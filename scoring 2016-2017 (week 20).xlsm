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nix\OneDrive\Documents\Bowling\scoresheets 16-17\"/>
    </mc:Choice>
  </mc:AlternateContent>
  <bookViews>
    <workbookView xWindow="0" yWindow="0" windowWidth="15000" windowHeight="7755" tabRatio="793"/>
  </bookViews>
  <sheets>
    <sheet name="Instructions" sheetId="144" r:id="rId1"/>
    <sheet name="wkly alpha" sheetId="4" r:id="rId2"/>
    <sheet name="YTD alpha" sheetId="76" r:id="rId3"/>
    <sheet name="wkly high average" sheetId="31" r:id="rId4"/>
    <sheet name="team scoring" sheetId="33" r:id="rId5"/>
    <sheet name="High Games " sheetId="35" r:id="rId6"/>
    <sheet name="ytd highs" sheetId="64" r:id="rId7"/>
    <sheet name="dummy" sheetId="74" r:id="rId8"/>
    <sheet name="Albanese" sheetId="176" r:id="rId9"/>
    <sheet name="Albergo" sheetId="201" r:id="rId10"/>
    <sheet name="Barbarisi" sheetId="286" r:id="rId11"/>
    <sheet name="Barnett" sheetId="219" r:id="rId12"/>
    <sheet name="Belyea" sheetId="58" r:id="rId13"/>
    <sheet name="Bigelsen" sheetId="263" r:id="rId14"/>
    <sheet name="Breslauer" sheetId="269" r:id="rId15"/>
    <sheet name="Brylawski" sheetId="79" r:id="rId16"/>
    <sheet name="Campanaro" sheetId="293" r:id="rId17"/>
    <sheet name="Cassidy" sheetId="153" r:id="rId18"/>
    <sheet name="Dages" sheetId="247" r:id="rId19"/>
    <sheet name="Dagger" sheetId="285" r:id="rId20"/>
    <sheet name="Driscoll" sheetId="304" r:id="rId21"/>
    <sheet name="Emr" sheetId="82" r:id="rId22"/>
    <sheet name="Fricke" sheetId="287" r:id="rId23"/>
    <sheet name="Gellert" sheetId="249" r:id="rId24"/>
    <sheet name="Gerity" sheetId="301" r:id="rId25"/>
    <sheet name="Gittle" sheetId="284" r:id="rId26"/>
    <sheet name="Gorman" sheetId="288" r:id="rId27"/>
    <sheet name="Gotthelf" sheetId="296" r:id="rId28"/>
    <sheet name="Grodofsky" sheetId="157" r:id="rId29"/>
    <sheet name="Happer" sheetId="118" r:id="rId30"/>
    <sheet name="Harris" sheetId="259" r:id="rId31"/>
    <sheet name="Harvey" sheetId="283" r:id="rId32"/>
    <sheet name="Hatton" sheetId="163" r:id="rId33"/>
    <sheet name="Hilton" sheetId="305" r:id="rId34"/>
    <sheet name="Hornyak" sheetId="159" r:id="rId35"/>
    <sheet name="Horowitz" sheetId="299" r:id="rId36"/>
    <sheet name="Jordan" sheetId="294" r:id="rId37"/>
    <sheet name="Kanaris" sheetId="308" r:id="rId38"/>
    <sheet name="Karczewski" sheetId="264" r:id="rId39"/>
    <sheet name="Kennedy" sheetId="119" r:id="rId40"/>
    <sheet name="Keyt" sheetId="279" r:id="rId41"/>
    <sheet name="Kincey" sheetId="160" r:id="rId42"/>
    <sheet name="Kinney" sheetId="120" r:id="rId43"/>
    <sheet name="Koy" sheetId="260" r:id="rId44"/>
    <sheet name="Kuehm" sheetId="202" r:id="rId45"/>
    <sheet name="Lalin" sheetId="161" r:id="rId46"/>
    <sheet name="Lamb" sheetId="306" r:id="rId47"/>
    <sheet name="LewisB" sheetId="297" r:id="rId48"/>
    <sheet name="LewisD" sheetId="241" r:id="rId49"/>
    <sheet name="Lowell" sheetId="295" r:id="rId50"/>
    <sheet name="Luzzi" sheetId="281" r:id="rId51"/>
    <sheet name="Maione" sheetId="300" r:id="rId52"/>
    <sheet name="Malady" sheetId="208" r:id="rId53"/>
    <sheet name="Martorana" sheetId="246" r:id="rId54"/>
    <sheet name="Maute" sheetId="235" r:id="rId55"/>
    <sheet name="Moran" sheetId="188" r:id="rId56"/>
    <sheet name="Nix" sheetId="123" r:id="rId57"/>
    <sheet name="Pond" sheetId="242" r:id="rId58"/>
    <sheet name="Proudlove" sheetId="257" r:id="rId59"/>
    <sheet name="Ramich" sheetId="261" r:id="rId60"/>
    <sheet name="Renahan" sheetId="195" r:id="rId61"/>
    <sheet name="Rioux" sheetId="291" r:id="rId62"/>
    <sheet name="Rogers" sheetId="220" r:id="rId63"/>
    <sheet name="Rose" sheetId="298" r:id="rId64"/>
    <sheet name="Schneider" sheetId="302" r:id="rId65"/>
    <sheet name="Scolaro" sheetId="217" r:id="rId66"/>
    <sheet name="ShawS" sheetId="289" r:id="rId67"/>
    <sheet name="Shepherd" sheetId="275" r:id="rId68"/>
    <sheet name="SmithM" sheetId="191" r:id="rId69"/>
    <sheet name="Stanton" sheetId="307" r:id="rId70"/>
    <sheet name="Stuss" sheetId="290" r:id="rId71"/>
    <sheet name="Sullivan" sheetId="272" r:id="rId72"/>
    <sheet name="Tellie" sheetId="271" r:id="rId73"/>
    <sheet name="Terhune" sheetId="213" r:id="rId74"/>
    <sheet name="Thompson" sheetId="276" r:id="rId75"/>
    <sheet name="Thomson" sheetId="245" r:id="rId76"/>
    <sheet name="Walker" sheetId="267" r:id="rId77"/>
    <sheet name="Wolkenstein" sheetId="303" r:id="rId78"/>
    <sheet name="Payout Formula" sheetId="71" r:id="rId79"/>
    <sheet name="indiv payout" sheetId="72" r:id="rId80"/>
    <sheet name="final handicap" sheetId="73" r:id="rId81"/>
  </sheets>
  <definedNames>
    <definedName name="_10_13_2004">Instructions!$E$6</definedName>
    <definedName name="first_week">Instructions!$E$6</definedName>
    <definedName name="_xlnm.Print_Area" localSheetId="5">'High Games '!$A$1:$I$46</definedName>
    <definedName name="_xlnm.Print_Area" localSheetId="79">'indiv payout'!$A$1:$M$80</definedName>
    <definedName name="_xlnm.Print_Area" localSheetId="78">'Payout Formula'!$A$3:$G$61</definedName>
    <definedName name="_xlnm.Print_Area" localSheetId="1">'wkly alpha'!$A$1:$M$77</definedName>
    <definedName name="rose" localSheetId="10">#REF!</definedName>
    <definedName name="rose" localSheetId="11">#REF!</definedName>
    <definedName name="rose" localSheetId="13">#REF!</definedName>
    <definedName name="rose" localSheetId="14">#REF!</definedName>
    <definedName name="rose" localSheetId="16">#REF!</definedName>
    <definedName name="rose" localSheetId="18">#REF!</definedName>
    <definedName name="rose" localSheetId="19">#REF!</definedName>
    <definedName name="rose" localSheetId="20">#REF!</definedName>
    <definedName name="rose" localSheetId="22">#REF!</definedName>
    <definedName name="rose" localSheetId="23">#REF!</definedName>
    <definedName name="rose" localSheetId="24">#REF!</definedName>
    <definedName name="rose" localSheetId="25">#REF!</definedName>
    <definedName name="rose" localSheetId="26">#REF!</definedName>
    <definedName name="rose" localSheetId="27">#REF!</definedName>
    <definedName name="rose" localSheetId="30">#REF!</definedName>
    <definedName name="rose" localSheetId="31">#REF!</definedName>
    <definedName name="rose" localSheetId="33">#REF!</definedName>
    <definedName name="rose" localSheetId="35">#REF!</definedName>
    <definedName name="rose" localSheetId="36">#REF!</definedName>
    <definedName name="rose" localSheetId="37">#REF!</definedName>
    <definedName name="rose" localSheetId="38">#REF!</definedName>
    <definedName name="rose" localSheetId="40">#REF!</definedName>
    <definedName name="rose" localSheetId="43">#REF!</definedName>
    <definedName name="rose" localSheetId="46">#REF!</definedName>
    <definedName name="rose" localSheetId="47">#REF!</definedName>
    <definedName name="rose" localSheetId="48">#REF!</definedName>
    <definedName name="rose" localSheetId="49">#REF!</definedName>
    <definedName name="rose" localSheetId="50">#REF!</definedName>
    <definedName name="rose" localSheetId="51">#REF!</definedName>
    <definedName name="rose" localSheetId="53">#REF!</definedName>
    <definedName name="rose" localSheetId="54">#REF!</definedName>
    <definedName name="rose" localSheetId="57">#REF!</definedName>
    <definedName name="rose" localSheetId="58">#REF!</definedName>
    <definedName name="rose" localSheetId="59">#REF!</definedName>
    <definedName name="rose" localSheetId="61">#REF!</definedName>
    <definedName name="rose" localSheetId="62">#REF!</definedName>
    <definedName name="rose" localSheetId="63">#REF!</definedName>
    <definedName name="rose" localSheetId="64">#REF!</definedName>
    <definedName name="rose" localSheetId="65">#REF!</definedName>
    <definedName name="rose" localSheetId="66">#REF!</definedName>
    <definedName name="rose" localSheetId="67">#REF!</definedName>
    <definedName name="rose" localSheetId="69">#REF!</definedName>
    <definedName name="rose" localSheetId="70">#REF!</definedName>
    <definedName name="rose" localSheetId="71">#REF!</definedName>
    <definedName name="rose" localSheetId="72">#REF!</definedName>
    <definedName name="rose" localSheetId="73">#REF!</definedName>
    <definedName name="rose" localSheetId="74">#REF!</definedName>
    <definedName name="rose" localSheetId="75">#REF!</definedName>
    <definedName name="rose" localSheetId="76">#REF!</definedName>
    <definedName name="rose" localSheetId="77">#REF!</definedName>
    <definedName name="rose">#REF!</definedName>
    <definedName name="Season">Instructions!$E$8</definedName>
    <definedName name="Week" localSheetId="8">Albanese!$C$7:$X$3023</definedName>
    <definedName name="Week" localSheetId="9">Albergo!$C$7:$X$3023</definedName>
    <definedName name="Week" localSheetId="10">Barbarisi!$C$7:$X$3023</definedName>
    <definedName name="Week" localSheetId="11">Barnett!$C$7:$X$3023</definedName>
    <definedName name="Week" localSheetId="12">Belyea!$C$7:$X$3023</definedName>
    <definedName name="Week" localSheetId="13">Bigelsen!$C$7:$X$3023</definedName>
    <definedName name="Week" localSheetId="14">Breslauer!$C$7:$X$3023</definedName>
    <definedName name="Week" localSheetId="15">Brylawski!$C$7:$X$3023</definedName>
    <definedName name="Week" localSheetId="16">Campanaro!$C$7:$X$3023</definedName>
    <definedName name="Week" localSheetId="17">Cassidy!$C$7:$X$3023</definedName>
    <definedName name="Week" localSheetId="18">Dages!$C$7:$X$3023</definedName>
    <definedName name="Week" localSheetId="19">Dagger!$C$7:$X$3023</definedName>
    <definedName name="Week" localSheetId="20">Driscoll!$C$7:$X$3023</definedName>
    <definedName name="Week" localSheetId="7">dummy!$C$7:$X$3023</definedName>
    <definedName name="Week" localSheetId="21">Emr!$C$7:$X$3023</definedName>
    <definedName name="Week" localSheetId="22">Fricke!$C$7:$X$3023</definedName>
    <definedName name="Week" localSheetId="23">Gellert!$C$7:$X$3023</definedName>
    <definedName name="Week" localSheetId="24">Gerity!$C$7:$X$3023</definedName>
    <definedName name="Week" localSheetId="25">Gittle!$C$7:$X$3023</definedName>
    <definedName name="Week" localSheetId="26">Gorman!$C$7:$X$3023</definedName>
    <definedName name="Week" localSheetId="27">Gotthelf!$C$7:$X$3023</definedName>
    <definedName name="Week" localSheetId="28">Grodofsky!$C$7:$X$3023</definedName>
    <definedName name="Week" localSheetId="29">Happer!$C$7:$X$3023</definedName>
    <definedName name="Week" localSheetId="30">Harris!$C$7:$X$3023</definedName>
    <definedName name="Week" localSheetId="31">Harvey!$C$7:$X$3023</definedName>
    <definedName name="Week" localSheetId="32">Hatton!$C$7:$X$3023</definedName>
    <definedName name="Week" localSheetId="33">Hilton!$C$7:$X$3023</definedName>
    <definedName name="Week" localSheetId="34">Hornyak!$C$7:$X$3023</definedName>
    <definedName name="Week" localSheetId="35">Horowitz!$C$7:$X$3023</definedName>
    <definedName name="Week" localSheetId="36">Jordan!$C$7:$X$3023</definedName>
    <definedName name="Week" localSheetId="37">Kanaris!$C$7:$X$3023</definedName>
    <definedName name="Week" localSheetId="38">Karczewski!$C$7:$X$3023</definedName>
    <definedName name="Week" localSheetId="39">Kennedy!$C$7:$X$3023</definedName>
    <definedName name="Week" localSheetId="40">Keyt!$C$7:$X$3023</definedName>
    <definedName name="Week" localSheetId="41">Kincey!$C$7:$X$3023</definedName>
    <definedName name="Week" localSheetId="42">Kinney!$C$7:$X$3023</definedName>
    <definedName name="Week" localSheetId="43">Koy!$C$7:$X$3023</definedName>
    <definedName name="Week" localSheetId="44">Kuehm!$C$7:$X$3023</definedName>
    <definedName name="Week" localSheetId="45">Lalin!$C$7:$X$3023</definedName>
    <definedName name="Week" localSheetId="46">Lamb!$C$7:$X$3023</definedName>
    <definedName name="Week" localSheetId="47">LewisB!$C$7:$X$3023</definedName>
    <definedName name="Week" localSheetId="48">LewisD!$C$7:$X$3023</definedName>
    <definedName name="Week" localSheetId="49">Lowell!$C$7:$X$3023</definedName>
    <definedName name="Week" localSheetId="50">Luzzi!$C$7:$X$3023</definedName>
    <definedName name="Week" localSheetId="51">Maione!$C$7:$X$3023</definedName>
    <definedName name="Week" localSheetId="52">Malady!$C$7:$X$3023</definedName>
    <definedName name="Week" localSheetId="53">Martorana!$C$7:$X$3023</definedName>
    <definedName name="Week" localSheetId="54">Maute!$C$7:$X$3023</definedName>
    <definedName name="Week" localSheetId="55">Moran!$C$7:$X$3023</definedName>
    <definedName name="Week" localSheetId="56">Nix!$C$7:$X$3023</definedName>
    <definedName name="Week" localSheetId="57">Pond!$C$7:$X$3023</definedName>
    <definedName name="Week" localSheetId="58">Proudlove!$C$7:$X$3023</definedName>
    <definedName name="Week" localSheetId="59">Ramich!$C$7:$X$3023</definedName>
    <definedName name="Week" localSheetId="60">Renahan!$C$7:$X$3023</definedName>
    <definedName name="Week" localSheetId="61">Rioux!$C$7:$X$3023</definedName>
    <definedName name="Week" localSheetId="62">Rogers!$C$7:$X$3023</definedName>
    <definedName name="Week" localSheetId="63">Rose!$C$7:$X$3023</definedName>
    <definedName name="Week" localSheetId="64">Schneider!$C$7:$X$3023</definedName>
    <definedName name="Week" localSheetId="65">Scolaro!$C$7:$X$3023</definedName>
    <definedName name="Week" localSheetId="66">ShawS!$C$7:$X$3023</definedName>
    <definedName name="Week" localSheetId="67">Shepherd!$C$7:$X$3023</definedName>
    <definedName name="Week" localSheetId="68">SmithM!$C$7:$X$3023</definedName>
    <definedName name="Week" localSheetId="69">Stanton!$C$7:$X$3023</definedName>
    <definedName name="Week" localSheetId="70">Stuss!$C$7:$X$3023</definedName>
    <definedName name="Week" localSheetId="71">Sullivan!$C$7:$X$3023</definedName>
    <definedName name="Week" localSheetId="72">Tellie!$C$7:$X$3023</definedName>
    <definedName name="Week" localSheetId="73">Terhune!$C$7:$X$3023</definedName>
    <definedName name="Week" localSheetId="74">Thompson!$C$7:$X$3023</definedName>
    <definedName name="Week" localSheetId="75">Thomson!$C$7:$X$3023</definedName>
    <definedName name="Week" localSheetId="76">Walker!$C$7:$X$3023</definedName>
    <definedName name="Week" localSheetId="77">Wolkenstein!$C$7:$X$3023</definedName>
    <definedName name="week">#REF!</definedName>
  </definedNames>
  <calcPr calcId="152511"/>
</workbook>
</file>

<file path=xl/calcChain.xml><?xml version="1.0" encoding="utf-8"?>
<calcChain xmlns="http://schemas.openxmlformats.org/spreadsheetml/2006/main">
  <c r="W23" i="271" l="1"/>
  <c r="W21" i="271"/>
  <c r="X23" i="220"/>
  <c r="X21" i="220"/>
  <c r="X23" i="291"/>
  <c r="X21" i="291"/>
  <c r="X23" i="257"/>
  <c r="X21" i="257"/>
  <c r="X23" i="246"/>
  <c r="X21" i="246"/>
  <c r="X23" i="295"/>
  <c r="X21" i="295"/>
  <c r="X23" i="294"/>
  <c r="X21" i="294"/>
  <c r="X23" i="296"/>
  <c r="X21" i="296"/>
  <c r="X23" i="288"/>
  <c r="X21" i="288"/>
  <c r="X23" i="284"/>
  <c r="X21" i="284"/>
  <c r="X23" i="249"/>
  <c r="X21" i="249"/>
  <c r="X23" i="82"/>
  <c r="X21" i="82"/>
  <c r="X23" i="287"/>
  <c r="X21" i="287"/>
  <c r="X23" i="247"/>
  <c r="X21" i="247"/>
  <c r="X23" i="269"/>
  <c r="X21" i="269"/>
  <c r="V23" i="271" l="1"/>
  <c r="V21" i="271"/>
  <c r="W23" i="220"/>
  <c r="W21" i="220"/>
  <c r="W23" i="291"/>
  <c r="W21" i="291"/>
  <c r="W23" i="257"/>
  <c r="W21" i="257"/>
  <c r="W23" i="246"/>
  <c r="W21" i="246"/>
  <c r="V23" i="281"/>
  <c r="V21" i="281"/>
  <c r="W23" i="295"/>
  <c r="W21" i="295"/>
  <c r="W23" i="294"/>
  <c r="W21" i="294"/>
  <c r="W23" i="296"/>
  <c r="W21" i="296"/>
  <c r="W23" i="288"/>
  <c r="W21" i="288"/>
  <c r="W23" i="284"/>
  <c r="W21" i="284"/>
  <c r="W23" i="249"/>
  <c r="W21" i="249"/>
  <c r="W23" i="287"/>
  <c r="W21" i="287"/>
  <c r="W23" i="82"/>
  <c r="W21" i="82"/>
  <c r="W23" i="247"/>
  <c r="W21" i="247"/>
  <c r="W23" i="269"/>
  <c r="W21" i="269"/>
  <c r="U23" i="271" l="1"/>
  <c r="U21" i="271"/>
  <c r="V23" i="220"/>
  <c r="V21" i="220"/>
  <c r="V23" i="291"/>
  <c r="V21" i="291"/>
  <c r="V23" i="257"/>
  <c r="V21" i="257"/>
  <c r="V23" i="246"/>
  <c r="V21" i="246"/>
  <c r="U23" i="281"/>
  <c r="U21" i="281"/>
  <c r="V23" i="295"/>
  <c r="V21" i="295"/>
  <c r="V23" i="294"/>
  <c r="V21" i="294"/>
  <c r="V23" i="296"/>
  <c r="V21" i="296"/>
  <c r="V23" i="288"/>
  <c r="V21" i="288"/>
  <c r="V23" i="284"/>
  <c r="V21" i="284"/>
  <c r="V23" i="249"/>
  <c r="V21" i="249"/>
  <c r="V23" i="287"/>
  <c r="V21" i="287"/>
  <c r="V23" i="82"/>
  <c r="V21" i="82"/>
  <c r="V23" i="247"/>
  <c r="V21" i="247"/>
  <c r="V23" i="269"/>
  <c r="V21" i="269"/>
  <c r="T23" i="271" l="1"/>
  <c r="T21" i="271"/>
  <c r="U23" i="220"/>
  <c r="U21" i="220"/>
  <c r="U23" i="291"/>
  <c r="U21" i="291"/>
  <c r="U23" i="257"/>
  <c r="U21" i="257"/>
  <c r="U23" i="246"/>
  <c r="U21" i="246"/>
  <c r="T23" i="281"/>
  <c r="T21" i="281"/>
  <c r="U23" i="295"/>
  <c r="U21" i="295"/>
  <c r="U23" i="294"/>
  <c r="U21" i="294"/>
  <c r="U23" i="296"/>
  <c r="U21" i="296"/>
  <c r="U23" i="288"/>
  <c r="U21" i="288"/>
  <c r="U23" i="284"/>
  <c r="U21" i="284"/>
  <c r="U23" i="249"/>
  <c r="U21" i="249"/>
  <c r="U23" i="287"/>
  <c r="U21" i="287"/>
  <c r="U23" i="82"/>
  <c r="U21" i="82"/>
  <c r="U23" i="247"/>
  <c r="U21" i="247"/>
  <c r="U23" i="269"/>
  <c r="U21" i="269"/>
  <c r="AK69" i="72" l="1"/>
  <c r="J69" i="72" s="1"/>
  <c r="K69" i="72"/>
  <c r="B69" i="72"/>
  <c r="A69" i="72"/>
  <c r="S23" i="271"/>
  <c r="S21" i="271"/>
  <c r="T23" i="220"/>
  <c r="T21" i="220"/>
  <c r="T23" i="291"/>
  <c r="T21" i="291"/>
  <c r="T23" i="257"/>
  <c r="T21" i="257"/>
  <c r="T23" i="246"/>
  <c r="T21" i="246"/>
  <c r="S23" i="281"/>
  <c r="S21" i="281"/>
  <c r="T23" i="295"/>
  <c r="T21" i="295"/>
  <c r="T23" i="294"/>
  <c r="T21" i="294"/>
  <c r="T23" i="296"/>
  <c r="T21" i="296"/>
  <c r="T23" i="288"/>
  <c r="T21" i="288"/>
  <c r="T23" i="284"/>
  <c r="T21" i="284"/>
  <c r="T23" i="249"/>
  <c r="T21" i="249"/>
  <c r="T23" i="287"/>
  <c r="T21" i="287"/>
  <c r="T23" i="82"/>
  <c r="T21" i="82"/>
  <c r="T23" i="247"/>
  <c r="T21" i="247"/>
  <c r="T23" i="269"/>
  <c r="T21" i="269"/>
  <c r="M69" i="72" l="1"/>
  <c r="L69" i="72"/>
  <c r="S23" i="269"/>
  <c r="S21" i="269"/>
  <c r="S23" i="247"/>
  <c r="S21" i="247"/>
  <c r="S23" i="82"/>
  <c r="S21" i="82"/>
  <c r="S23" i="287"/>
  <c r="S21" i="287"/>
  <c r="S23" i="249"/>
  <c r="S21" i="249"/>
  <c r="S23" i="284"/>
  <c r="S21" i="284"/>
  <c r="S23" i="288"/>
  <c r="S21" i="288"/>
  <c r="S23" i="296"/>
  <c r="S21" i="296"/>
  <c r="S23" i="294"/>
  <c r="S21" i="294"/>
  <c r="S23" i="295"/>
  <c r="S21" i="295"/>
  <c r="R23" i="281"/>
  <c r="R21" i="281"/>
  <c r="S23" i="246"/>
  <c r="S21" i="246"/>
  <c r="S23" i="257"/>
  <c r="S21" i="257"/>
  <c r="S23" i="291"/>
  <c r="S21" i="291"/>
  <c r="S23" i="220"/>
  <c r="S21" i="220"/>
  <c r="R23" i="271"/>
  <c r="R21" i="271"/>
  <c r="R23" i="269" l="1"/>
  <c r="R21" i="269"/>
  <c r="R23" i="247"/>
  <c r="R21" i="247"/>
  <c r="R23" i="82"/>
  <c r="R21" i="82"/>
  <c r="R23" i="287"/>
  <c r="R21" i="287"/>
  <c r="R23" i="249"/>
  <c r="R21" i="249"/>
  <c r="R23" i="284"/>
  <c r="R21" i="284"/>
  <c r="R23" i="288"/>
  <c r="R21" i="288"/>
  <c r="R23" i="296"/>
  <c r="R21" i="296"/>
  <c r="R23" i="294"/>
  <c r="R21" i="294"/>
  <c r="R23" i="295"/>
  <c r="R21" i="295"/>
  <c r="Q23" i="281"/>
  <c r="Q21" i="281"/>
  <c r="R23" i="246"/>
  <c r="R21" i="246"/>
  <c r="R23" i="257"/>
  <c r="R21" i="257"/>
  <c r="R23" i="291"/>
  <c r="R21" i="291"/>
  <c r="R23" i="220"/>
  <c r="R21" i="220"/>
  <c r="Q23" i="271"/>
  <c r="Q21" i="271"/>
  <c r="P23" i="271" l="1"/>
  <c r="P21" i="271"/>
  <c r="Q23" i="220"/>
  <c r="Q21" i="220"/>
  <c r="Q23" i="291"/>
  <c r="Q21" i="291"/>
  <c r="Q23" i="257"/>
  <c r="Q21" i="257"/>
  <c r="Q23" i="246"/>
  <c r="Q21" i="246"/>
  <c r="Q23" i="208"/>
  <c r="Q21" i="208"/>
  <c r="P23" i="281"/>
  <c r="P21" i="281"/>
  <c r="Q23" i="295"/>
  <c r="Q21" i="295"/>
  <c r="P23" i="260"/>
  <c r="P21" i="260"/>
  <c r="Q23" i="294"/>
  <c r="Q21" i="294"/>
  <c r="Q23" i="296"/>
  <c r="Q21" i="296"/>
  <c r="Q23" i="288"/>
  <c r="Q21" i="288"/>
  <c r="Q23" i="284"/>
  <c r="Q21" i="284"/>
  <c r="Q23" i="249"/>
  <c r="Q21" i="249"/>
  <c r="Q23" i="287"/>
  <c r="Q21" i="287"/>
  <c r="Q23" i="82"/>
  <c r="Q21" i="82"/>
  <c r="Q23" i="247"/>
  <c r="Q21" i="247"/>
  <c r="Q23" i="269"/>
  <c r="Q21" i="269"/>
  <c r="AK37" i="72" l="1"/>
  <c r="J37" i="72" s="1"/>
  <c r="K37" i="72"/>
  <c r="L37" i="72" s="1"/>
  <c r="B37" i="72"/>
  <c r="A37" i="72"/>
  <c r="L37" i="76"/>
  <c r="B37" i="76"/>
  <c r="A37" i="76"/>
  <c r="M37" i="4"/>
  <c r="K37" i="4"/>
  <c r="J37" i="4"/>
  <c r="I37" i="4"/>
  <c r="H37" i="4"/>
  <c r="G37" i="4"/>
  <c r="E37" i="4"/>
  <c r="E37" i="76" s="1"/>
  <c r="D37" i="4"/>
  <c r="D37" i="76" s="1"/>
  <c r="C37" i="4"/>
  <c r="C37" i="76" s="1"/>
  <c r="F37" i="4" l="1"/>
  <c r="M37" i="72"/>
  <c r="O23" i="271"/>
  <c r="O21" i="271"/>
  <c r="P23" i="220"/>
  <c r="P21" i="220"/>
  <c r="P23" i="291"/>
  <c r="P21" i="291"/>
  <c r="P23" i="257"/>
  <c r="P21" i="257"/>
  <c r="P23" i="246"/>
  <c r="P21" i="246"/>
  <c r="P23" i="208"/>
  <c r="P21" i="208"/>
  <c r="O23" i="281"/>
  <c r="O21" i="281"/>
  <c r="P23" i="295"/>
  <c r="P21" i="295"/>
  <c r="P23" i="294"/>
  <c r="P21" i="294"/>
  <c r="P23" i="296"/>
  <c r="P21" i="296"/>
  <c r="P23" i="288"/>
  <c r="P21" i="288"/>
  <c r="P23" i="284"/>
  <c r="P21" i="284"/>
  <c r="P23" i="249"/>
  <c r="P21" i="249"/>
  <c r="P23" i="287"/>
  <c r="P21" i="287"/>
  <c r="P23" i="82"/>
  <c r="P21" i="82"/>
  <c r="P23" i="247"/>
  <c r="P21" i="247"/>
  <c r="P23" i="269"/>
  <c r="P21" i="269"/>
  <c r="N23" i="308"/>
  <c r="N21" i="308"/>
  <c r="C29" i="308"/>
  <c r="D28" i="308"/>
  <c r="C27" i="308"/>
  <c r="Y24" i="308"/>
  <c r="D23" i="308"/>
  <c r="X22" i="308"/>
  <c r="W22" i="308"/>
  <c r="V22" i="308"/>
  <c r="U22" i="308"/>
  <c r="T22" i="308"/>
  <c r="S22" i="308"/>
  <c r="R22" i="308"/>
  <c r="Q22" i="308"/>
  <c r="P22" i="308"/>
  <c r="O22" i="308"/>
  <c r="N22" i="308"/>
  <c r="M22" i="308"/>
  <c r="L22" i="308"/>
  <c r="K22" i="308"/>
  <c r="J22" i="308"/>
  <c r="I22" i="308"/>
  <c r="H22" i="308"/>
  <c r="G22" i="308"/>
  <c r="F22" i="308"/>
  <c r="E22" i="308"/>
  <c r="D22" i="308"/>
  <c r="C22" i="308"/>
  <c r="D21" i="308"/>
  <c r="C21" i="308"/>
  <c r="X20" i="308"/>
  <c r="W20" i="308"/>
  <c r="V20" i="308"/>
  <c r="U20" i="308"/>
  <c r="T20" i="308"/>
  <c r="S20" i="308"/>
  <c r="R20" i="308"/>
  <c r="Q20" i="308"/>
  <c r="P20" i="308"/>
  <c r="O20" i="308"/>
  <c r="N20" i="308"/>
  <c r="M20" i="308"/>
  <c r="L20" i="308"/>
  <c r="K20" i="308"/>
  <c r="J20" i="308"/>
  <c r="I20" i="308"/>
  <c r="H20" i="308"/>
  <c r="G20" i="308"/>
  <c r="F20" i="308"/>
  <c r="E20" i="308"/>
  <c r="D20" i="308"/>
  <c r="C20" i="308"/>
  <c r="C19" i="308"/>
  <c r="D19" i="308" s="1"/>
  <c r="E19" i="308" s="1"/>
  <c r="F19" i="308" s="1"/>
  <c r="G19" i="308" s="1"/>
  <c r="H19" i="308" s="1"/>
  <c r="I19" i="308" s="1"/>
  <c r="J19" i="308" s="1"/>
  <c r="K19" i="308" s="1"/>
  <c r="L19" i="308" s="1"/>
  <c r="M19" i="308" s="1"/>
  <c r="N19" i="308" s="1"/>
  <c r="O19" i="308" s="1"/>
  <c r="P19" i="308" s="1"/>
  <c r="Q19" i="308" s="1"/>
  <c r="R19" i="308" s="1"/>
  <c r="S19" i="308" s="1"/>
  <c r="T19" i="308" s="1"/>
  <c r="U19" i="308" s="1"/>
  <c r="V19" i="308" s="1"/>
  <c r="W19" i="308" s="1"/>
  <c r="X19" i="308" s="1"/>
  <c r="D16" i="308"/>
  <c r="C16" i="308"/>
  <c r="C17" i="308" s="1"/>
  <c r="C18" i="308" s="1"/>
  <c r="X15" i="308"/>
  <c r="W15" i="308"/>
  <c r="V15" i="308"/>
  <c r="U15" i="308"/>
  <c r="T15" i="308"/>
  <c r="S15" i="308"/>
  <c r="R15" i="308"/>
  <c r="Q15" i="308"/>
  <c r="P15" i="308"/>
  <c r="O15" i="308"/>
  <c r="N15" i="308"/>
  <c r="M15" i="308"/>
  <c r="L15" i="308"/>
  <c r="K15" i="308"/>
  <c r="J15" i="308"/>
  <c r="I15" i="308"/>
  <c r="H15" i="308"/>
  <c r="G15" i="308"/>
  <c r="F15" i="308"/>
  <c r="E15" i="308"/>
  <c r="E16" i="308" s="1"/>
  <c r="D15" i="308"/>
  <c r="C15" i="308"/>
  <c r="V27" i="308" l="1"/>
  <c r="W29" i="308"/>
  <c r="V29" i="308"/>
  <c r="W27" i="308"/>
  <c r="E17" i="308"/>
  <c r="E18" i="308" s="1"/>
  <c r="F16" i="308"/>
  <c r="D17" i="308"/>
  <c r="D18" i="308" s="1"/>
  <c r="G27" i="308"/>
  <c r="K27" i="308"/>
  <c r="O27" i="308"/>
  <c r="S27" i="308"/>
  <c r="G29" i="308"/>
  <c r="K29" i="308"/>
  <c r="O29" i="308"/>
  <c r="S29" i="308"/>
  <c r="C23" i="308"/>
  <c r="D27" i="308"/>
  <c r="H27" i="308"/>
  <c r="L27" i="308"/>
  <c r="P27" i="308"/>
  <c r="T27" i="308"/>
  <c r="X27" i="308"/>
  <c r="D29" i="308"/>
  <c r="H29" i="308"/>
  <c r="L29" i="308"/>
  <c r="P29" i="308"/>
  <c r="T29" i="308"/>
  <c r="X29" i="308"/>
  <c r="E27" i="308"/>
  <c r="I27" i="308"/>
  <c r="M27" i="308"/>
  <c r="Q27" i="308"/>
  <c r="U27" i="308"/>
  <c r="C28" i="308"/>
  <c r="E29" i="308"/>
  <c r="I29" i="308"/>
  <c r="M29" i="308"/>
  <c r="Q29" i="308"/>
  <c r="U29" i="308"/>
  <c r="F27" i="308"/>
  <c r="J27" i="308"/>
  <c r="N27" i="308"/>
  <c r="R27" i="308"/>
  <c r="F29" i="308"/>
  <c r="J29" i="308"/>
  <c r="N29" i="308"/>
  <c r="R29" i="308"/>
  <c r="N23" i="271"/>
  <c r="N21" i="271"/>
  <c r="O23" i="220"/>
  <c r="O21" i="220"/>
  <c r="O23" i="291"/>
  <c r="O21" i="291"/>
  <c r="O23" i="257"/>
  <c r="O21" i="257"/>
  <c r="O23" i="246"/>
  <c r="O21" i="246"/>
  <c r="O23" i="208"/>
  <c r="O21" i="208"/>
  <c r="N23" i="281"/>
  <c r="N21" i="281"/>
  <c r="O23" i="295"/>
  <c r="O21" i="295"/>
  <c r="O23" i="260"/>
  <c r="O21" i="260"/>
  <c r="O23" i="294"/>
  <c r="O21" i="294"/>
  <c r="O23" i="296"/>
  <c r="O21" i="296"/>
  <c r="O23" i="288"/>
  <c r="O21" i="288"/>
  <c r="O23" i="284"/>
  <c r="O21" i="284"/>
  <c r="O23" i="249"/>
  <c r="O21" i="249"/>
  <c r="O23" i="287"/>
  <c r="O21" i="287"/>
  <c r="O23" i="82"/>
  <c r="O21" i="82"/>
  <c r="O23" i="247"/>
  <c r="O21" i="247"/>
  <c r="O23" i="269"/>
  <c r="O21" i="269"/>
  <c r="E23" i="308" l="1"/>
  <c r="E21" i="308"/>
  <c r="G16" i="308"/>
  <c r="F17" i="308"/>
  <c r="F18" i="308" s="1"/>
  <c r="X30" i="308"/>
  <c r="T30" i="308"/>
  <c r="P30" i="308"/>
  <c r="L30" i="308"/>
  <c r="H30" i="308"/>
  <c r="D30" i="308"/>
  <c r="W30" i="308"/>
  <c r="S30" i="308"/>
  <c r="O30" i="308"/>
  <c r="K30" i="308"/>
  <c r="G30" i="308"/>
  <c r="C30" i="308"/>
  <c r="V30" i="308"/>
  <c r="R30" i="308"/>
  <c r="N30" i="308"/>
  <c r="J30" i="308"/>
  <c r="F30" i="308"/>
  <c r="U30" i="308"/>
  <c r="Q30" i="308"/>
  <c r="M30" i="308"/>
  <c r="I30" i="308"/>
  <c r="E30" i="308"/>
  <c r="F23" i="308"/>
  <c r="F21" i="308"/>
  <c r="M23" i="271"/>
  <c r="M21" i="271"/>
  <c r="N23" i="220"/>
  <c r="N21" i="220"/>
  <c r="N23" i="291"/>
  <c r="N21" i="291"/>
  <c r="N23" i="257"/>
  <c r="N21" i="257"/>
  <c r="M23" i="235"/>
  <c r="M21" i="235"/>
  <c r="N23" i="246"/>
  <c r="N21" i="246"/>
  <c r="N23" i="208"/>
  <c r="N21" i="208"/>
  <c r="M23" i="281"/>
  <c r="M21" i="281"/>
  <c r="N23" i="295"/>
  <c r="N21" i="295"/>
  <c r="N23" i="260"/>
  <c r="N21" i="260"/>
  <c r="N23" i="294"/>
  <c r="N21" i="294"/>
  <c r="N23" i="296"/>
  <c r="N21" i="296"/>
  <c r="N23" i="288"/>
  <c r="N21" i="288"/>
  <c r="N23" i="284"/>
  <c r="N21" i="284"/>
  <c r="N23" i="249"/>
  <c r="N21" i="249"/>
  <c r="N23" i="287"/>
  <c r="N21" i="287"/>
  <c r="N23" i="82"/>
  <c r="N21" i="82"/>
  <c r="N23" i="247"/>
  <c r="N21" i="247"/>
  <c r="M23" i="293"/>
  <c r="M21" i="293"/>
  <c r="N23" i="269"/>
  <c r="N21" i="269"/>
  <c r="M23" i="219"/>
  <c r="M21" i="219"/>
  <c r="G17" i="308" l="1"/>
  <c r="G18" i="308" s="1"/>
  <c r="H16" i="308"/>
  <c r="X28" i="308"/>
  <c r="T28" i="308"/>
  <c r="P28" i="308"/>
  <c r="L28" i="308"/>
  <c r="H28" i="308"/>
  <c r="U28" i="308"/>
  <c r="Q28" i="308"/>
  <c r="M28" i="308"/>
  <c r="I28" i="308"/>
  <c r="E28" i="308"/>
  <c r="J28" i="308"/>
  <c r="G28" i="308"/>
  <c r="W28" i="308"/>
  <c r="F28" i="308"/>
  <c r="N28" i="308"/>
  <c r="K28" i="308"/>
  <c r="R28" i="308"/>
  <c r="O28" i="308"/>
  <c r="V28" i="308"/>
  <c r="S28" i="308"/>
  <c r="G23" i="308"/>
  <c r="G21" i="308"/>
  <c r="L76" i="4"/>
  <c r="H17" i="308" l="1"/>
  <c r="H18" i="308" s="1"/>
  <c r="I16" i="308"/>
  <c r="H23" i="308"/>
  <c r="H21" i="308"/>
  <c r="L23" i="271"/>
  <c r="L21" i="271"/>
  <c r="M23" i="220"/>
  <c r="M21" i="220"/>
  <c r="M23" i="291"/>
  <c r="M21" i="291"/>
  <c r="M23" i="257"/>
  <c r="M21" i="257"/>
  <c r="L23" i="235"/>
  <c r="L21" i="235"/>
  <c r="M23" i="246"/>
  <c r="M21" i="246"/>
  <c r="M23" i="208"/>
  <c r="M21" i="208"/>
  <c r="L23" i="281"/>
  <c r="L21" i="281"/>
  <c r="M23" i="295"/>
  <c r="M21" i="295"/>
  <c r="M23" i="260"/>
  <c r="M21" i="260"/>
  <c r="M23" i="294"/>
  <c r="M21" i="294"/>
  <c r="M23" i="296"/>
  <c r="M21" i="296"/>
  <c r="M23" i="288"/>
  <c r="M21" i="288"/>
  <c r="M23" i="284"/>
  <c r="M21" i="284"/>
  <c r="M23" i="249"/>
  <c r="M21" i="249"/>
  <c r="M23" i="287"/>
  <c r="M21" i="287"/>
  <c r="M23" i="82"/>
  <c r="M21" i="82"/>
  <c r="M23" i="247"/>
  <c r="M21" i="247"/>
  <c r="L23" i="293"/>
  <c r="L21" i="293"/>
  <c r="M23" i="269"/>
  <c r="L23" i="269"/>
  <c r="M21" i="269"/>
  <c r="I17" i="308" l="1"/>
  <c r="I18" i="308" s="1"/>
  <c r="J16" i="308"/>
  <c r="I23" i="308"/>
  <c r="I21" i="308"/>
  <c r="K23" i="271"/>
  <c r="K21" i="271"/>
  <c r="L23" i="220"/>
  <c r="L21" i="220"/>
  <c r="L23" i="291"/>
  <c r="L21" i="291"/>
  <c r="L23" i="257"/>
  <c r="L21" i="257"/>
  <c r="K23" i="235"/>
  <c r="K21" i="235"/>
  <c r="L23" i="246"/>
  <c r="L21" i="246"/>
  <c r="L23" i="208"/>
  <c r="L21" i="208"/>
  <c r="L23" i="295"/>
  <c r="L21" i="295"/>
  <c r="L23" i="260"/>
  <c r="L21" i="260"/>
  <c r="K23" i="279"/>
  <c r="K21" i="279"/>
  <c r="L23" i="294"/>
  <c r="L21" i="294"/>
  <c r="L23" i="296"/>
  <c r="L21" i="296"/>
  <c r="L23" i="288"/>
  <c r="L21" i="288"/>
  <c r="L23" i="284"/>
  <c r="L21" i="284"/>
  <c r="L23" i="249"/>
  <c r="L21" i="249"/>
  <c r="L23" i="287"/>
  <c r="L21" i="287"/>
  <c r="L23" i="82"/>
  <c r="L21" i="82"/>
  <c r="L23" i="247"/>
  <c r="L21" i="247"/>
  <c r="K23" i="293"/>
  <c r="K21" i="293"/>
  <c r="L21" i="269"/>
  <c r="L23" i="219"/>
  <c r="L21" i="219"/>
  <c r="K23" i="281"/>
  <c r="K21" i="281"/>
  <c r="K16" i="308" l="1"/>
  <c r="J17" i="308"/>
  <c r="J18" i="308" s="1"/>
  <c r="J23" i="308"/>
  <c r="J21" i="308"/>
  <c r="K23" i="267"/>
  <c r="K21" i="267"/>
  <c r="J23" i="271"/>
  <c r="J21" i="271"/>
  <c r="K23" i="220"/>
  <c r="K21" i="220"/>
  <c r="K23" i="291"/>
  <c r="K21" i="291"/>
  <c r="K23" i="257"/>
  <c r="K21" i="257"/>
  <c r="K23" i="246"/>
  <c r="K21" i="246"/>
  <c r="K23" i="208"/>
  <c r="K21" i="208"/>
  <c r="K23" i="295"/>
  <c r="K21" i="295"/>
  <c r="K23" i="260"/>
  <c r="K21" i="260"/>
  <c r="J23" i="279"/>
  <c r="J21" i="279"/>
  <c r="K23" i="294"/>
  <c r="K21" i="294"/>
  <c r="K23" i="296"/>
  <c r="K21" i="296"/>
  <c r="K23" i="288"/>
  <c r="K21" i="288"/>
  <c r="K23" i="284"/>
  <c r="K21" i="284"/>
  <c r="K23" i="249"/>
  <c r="K21" i="249"/>
  <c r="K23" i="287"/>
  <c r="K21" i="287"/>
  <c r="K23" i="82"/>
  <c r="K21" i="82"/>
  <c r="K23" i="247"/>
  <c r="K21" i="247"/>
  <c r="J23" i="293"/>
  <c r="J21" i="293"/>
  <c r="K23" i="269"/>
  <c r="K21" i="269"/>
  <c r="K23" i="219"/>
  <c r="K21" i="219"/>
  <c r="J23" i="157"/>
  <c r="J21" i="157"/>
  <c r="K23" i="308" l="1"/>
  <c r="K21" i="308"/>
  <c r="K17" i="308"/>
  <c r="K18" i="308" s="1"/>
  <c r="L16" i="308"/>
  <c r="J23" i="267"/>
  <c r="J21" i="267"/>
  <c r="I23" i="271"/>
  <c r="I21" i="271"/>
  <c r="I23" i="290"/>
  <c r="I21" i="290"/>
  <c r="J23" i="220"/>
  <c r="J21" i="220"/>
  <c r="J23" i="291"/>
  <c r="J21" i="291"/>
  <c r="J23" i="257"/>
  <c r="J21" i="257"/>
  <c r="J23" i="235"/>
  <c r="J21" i="235"/>
  <c r="J23" i="246"/>
  <c r="J21" i="246"/>
  <c r="J23" i="208"/>
  <c r="J21" i="208"/>
  <c r="J23" i="281"/>
  <c r="J21" i="281"/>
  <c r="J23" i="295"/>
  <c r="J21" i="295"/>
  <c r="J23" i="260"/>
  <c r="J21" i="260"/>
  <c r="I23" i="279"/>
  <c r="I21" i="279"/>
  <c r="J23" i="294"/>
  <c r="J21" i="294"/>
  <c r="J23" i="296"/>
  <c r="J21" i="296"/>
  <c r="J23" i="288"/>
  <c r="J21" i="288"/>
  <c r="J23" i="284"/>
  <c r="J21" i="284"/>
  <c r="J23" i="249"/>
  <c r="J21" i="249"/>
  <c r="J23" i="287"/>
  <c r="J21" i="287"/>
  <c r="J23" i="82"/>
  <c r="J21" i="82"/>
  <c r="J23" i="247"/>
  <c r="J21" i="247"/>
  <c r="I23" i="293"/>
  <c r="I21" i="293"/>
  <c r="J23" i="269"/>
  <c r="J21" i="269"/>
  <c r="J23" i="219"/>
  <c r="J21" i="219"/>
  <c r="I23" i="201"/>
  <c r="I21" i="201"/>
  <c r="I23" i="157"/>
  <c r="I21" i="157"/>
  <c r="L23" i="308" l="1"/>
  <c r="L21" i="308"/>
  <c r="L17" i="308"/>
  <c r="L18" i="308" s="1"/>
  <c r="M16" i="308"/>
  <c r="I23" i="267"/>
  <c r="I21" i="267"/>
  <c r="H23" i="271"/>
  <c r="H21" i="271"/>
  <c r="H23" i="290"/>
  <c r="H21" i="290"/>
  <c r="I23" i="220"/>
  <c r="I21" i="220"/>
  <c r="I23" i="291"/>
  <c r="I21" i="291"/>
  <c r="I23" i="257"/>
  <c r="I21" i="257"/>
  <c r="I23" i="235"/>
  <c r="I21" i="235"/>
  <c r="I23" i="246"/>
  <c r="I21" i="246"/>
  <c r="I23" i="208"/>
  <c r="I21" i="208"/>
  <c r="I23" i="281"/>
  <c r="I21" i="281"/>
  <c r="I23" i="295"/>
  <c r="I21" i="295"/>
  <c r="I23" i="260"/>
  <c r="I21" i="260"/>
  <c r="H23" i="279"/>
  <c r="H21" i="279"/>
  <c r="I23" i="294"/>
  <c r="I21" i="294"/>
  <c r="I23" i="296"/>
  <c r="I21" i="296"/>
  <c r="I23" i="288"/>
  <c r="I21" i="288"/>
  <c r="I23" i="284"/>
  <c r="I21" i="284"/>
  <c r="I23" i="249"/>
  <c r="I21" i="249"/>
  <c r="I23" i="287"/>
  <c r="I21" i="287"/>
  <c r="I23" i="82"/>
  <c r="I21" i="82"/>
  <c r="I23" i="247"/>
  <c r="I21" i="247"/>
  <c r="H23" i="293"/>
  <c r="H21" i="293"/>
  <c r="I23" i="269"/>
  <c r="I21" i="269"/>
  <c r="I23" i="219"/>
  <c r="I21" i="219"/>
  <c r="H23" i="201"/>
  <c r="H21" i="201"/>
  <c r="AK20" i="72"/>
  <c r="J20" i="72" s="1"/>
  <c r="B20" i="72"/>
  <c r="A20" i="72"/>
  <c r="B20" i="76"/>
  <c r="A20" i="76"/>
  <c r="M23" i="308" l="1"/>
  <c r="M21" i="308"/>
  <c r="M17" i="308"/>
  <c r="M18" i="308" s="1"/>
  <c r="N16" i="308"/>
  <c r="H23" i="267"/>
  <c r="H21" i="267"/>
  <c r="G23" i="271"/>
  <c r="G21" i="271"/>
  <c r="H23" i="220"/>
  <c r="H21" i="220"/>
  <c r="H23" i="291"/>
  <c r="H21" i="291"/>
  <c r="H23" i="257"/>
  <c r="H21" i="257"/>
  <c r="H23" i="235"/>
  <c r="H21" i="235"/>
  <c r="H23" i="246"/>
  <c r="H21" i="246"/>
  <c r="H23" i="208"/>
  <c r="H21" i="208"/>
  <c r="H23" i="281"/>
  <c r="H21" i="281"/>
  <c r="H23" i="295"/>
  <c r="H21" i="295"/>
  <c r="H23" i="260"/>
  <c r="H21" i="260"/>
  <c r="G23" i="279"/>
  <c r="G21" i="279"/>
  <c r="H23" i="294"/>
  <c r="H21" i="294"/>
  <c r="H23" i="157"/>
  <c r="H21" i="157"/>
  <c r="H23" i="296"/>
  <c r="H21" i="296"/>
  <c r="H23" i="288"/>
  <c r="H21" i="288"/>
  <c r="H23" i="284"/>
  <c r="H21" i="284"/>
  <c r="H23" i="249"/>
  <c r="H21" i="249"/>
  <c r="H23" i="287"/>
  <c r="H21" i="287"/>
  <c r="H23" i="82"/>
  <c r="H21" i="82"/>
  <c r="H23" i="247"/>
  <c r="H21" i="247"/>
  <c r="G23" i="293"/>
  <c r="G21" i="293"/>
  <c r="H23" i="269"/>
  <c r="H21" i="269"/>
  <c r="H23" i="219"/>
  <c r="H21" i="219"/>
  <c r="B69" i="76"/>
  <c r="A69" i="76"/>
  <c r="C28" i="307"/>
  <c r="Y24" i="307"/>
  <c r="M69" i="4" s="1"/>
  <c r="L69" i="76" s="1"/>
  <c r="D23" i="307"/>
  <c r="X22" i="307"/>
  <c r="W22" i="307"/>
  <c r="V22" i="307"/>
  <c r="U22" i="307"/>
  <c r="T22" i="307"/>
  <c r="S22" i="307"/>
  <c r="R22" i="307"/>
  <c r="Q22" i="307"/>
  <c r="P22" i="307"/>
  <c r="O22" i="307"/>
  <c r="N22" i="307"/>
  <c r="M22" i="307"/>
  <c r="L22" i="307"/>
  <c r="J69" i="4" s="1"/>
  <c r="K22" i="307"/>
  <c r="J22" i="307"/>
  <c r="I22" i="307"/>
  <c r="H22" i="307"/>
  <c r="G22" i="307"/>
  <c r="F22" i="307"/>
  <c r="E22" i="307"/>
  <c r="D22" i="307"/>
  <c r="C22" i="307"/>
  <c r="C29" i="307" s="1"/>
  <c r="D21" i="307"/>
  <c r="C21" i="307"/>
  <c r="X20" i="307"/>
  <c r="W20" i="307"/>
  <c r="V20" i="307"/>
  <c r="U20" i="307"/>
  <c r="T20" i="307"/>
  <c r="S20" i="307"/>
  <c r="R20" i="307"/>
  <c r="Q20" i="307"/>
  <c r="P20" i="307"/>
  <c r="O20" i="307"/>
  <c r="N20" i="307"/>
  <c r="M20" i="307"/>
  <c r="L20" i="307"/>
  <c r="H69" i="4" s="1"/>
  <c r="K20" i="307"/>
  <c r="J20" i="307"/>
  <c r="I20" i="307"/>
  <c r="H20" i="307"/>
  <c r="G20" i="307"/>
  <c r="F20" i="307"/>
  <c r="E20" i="307"/>
  <c r="D20" i="307"/>
  <c r="C20" i="307"/>
  <c r="C27" i="307" s="1"/>
  <c r="C19" i="307"/>
  <c r="D19" i="307" s="1"/>
  <c r="E19" i="307" s="1"/>
  <c r="F19" i="307" s="1"/>
  <c r="G19" i="307" s="1"/>
  <c r="H19" i="307" s="1"/>
  <c r="I19" i="307" s="1"/>
  <c r="J19" i="307" s="1"/>
  <c r="K19" i="307" s="1"/>
  <c r="L19" i="307" s="1"/>
  <c r="X15" i="307"/>
  <c r="W15" i="307"/>
  <c r="V15" i="307"/>
  <c r="U15" i="307"/>
  <c r="T15" i="307"/>
  <c r="S15" i="307"/>
  <c r="R15" i="307"/>
  <c r="Q15" i="307"/>
  <c r="P15" i="307"/>
  <c r="O15" i="307"/>
  <c r="N15" i="307"/>
  <c r="M15" i="307"/>
  <c r="L15" i="307"/>
  <c r="K15" i="307"/>
  <c r="J15" i="307"/>
  <c r="I15" i="307"/>
  <c r="H15" i="307"/>
  <c r="G15" i="307"/>
  <c r="F15" i="307"/>
  <c r="E15" i="307"/>
  <c r="D15" i="307"/>
  <c r="D16" i="307" s="1"/>
  <c r="C15" i="307"/>
  <c r="C16" i="307" s="1"/>
  <c r="U27" i="307" l="1"/>
  <c r="U29" i="307"/>
  <c r="O16" i="308"/>
  <c r="N17" i="308"/>
  <c r="N18" i="308" s="1"/>
  <c r="M19" i="307"/>
  <c r="N19" i="307" s="1"/>
  <c r="O19" i="307" s="1"/>
  <c r="P19" i="307" s="1"/>
  <c r="Q19" i="307" s="1"/>
  <c r="R19" i="307" s="1"/>
  <c r="S19" i="307" s="1"/>
  <c r="T19" i="307" s="1"/>
  <c r="U19" i="307" s="1"/>
  <c r="V19" i="307" s="1"/>
  <c r="W19" i="307" s="1"/>
  <c r="X19" i="307" s="1"/>
  <c r="D69" i="4"/>
  <c r="D69" i="76" s="1"/>
  <c r="D17" i="307"/>
  <c r="D18" i="307" s="1"/>
  <c r="E23" i="307" s="1"/>
  <c r="C17" i="307"/>
  <c r="C18" i="307" s="1"/>
  <c r="E21" i="307"/>
  <c r="E28" i="307" s="1"/>
  <c r="E16" i="307"/>
  <c r="E17" i="307" s="1"/>
  <c r="E18" i="307" s="1"/>
  <c r="X27" i="307"/>
  <c r="X28" i="307"/>
  <c r="X29" i="307"/>
  <c r="G27" i="307"/>
  <c r="K27" i="307"/>
  <c r="O27" i="307"/>
  <c r="S27" i="307"/>
  <c r="W27" i="307"/>
  <c r="I28" i="307"/>
  <c r="M28" i="307"/>
  <c r="Q28" i="307"/>
  <c r="G29" i="307"/>
  <c r="K29" i="307"/>
  <c r="O29" i="307"/>
  <c r="S29" i="307"/>
  <c r="W29" i="307"/>
  <c r="E27" i="307"/>
  <c r="I27" i="307"/>
  <c r="M27" i="307"/>
  <c r="Q27" i="307"/>
  <c r="G28" i="307"/>
  <c r="K28" i="307"/>
  <c r="S28" i="307"/>
  <c r="E29" i="307"/>
  <c r="I29" i="307"/>
  <c r="M29" i="307"/>
  <c r="Q29" i="307"/>
  <c r="C23" i="307"/>
  <c r="D27" i="307"/>
  <c r="F27" i="307"/>
  <c r="H27" i="307"/>
  <c r="J27" i="307"/>
  <c r="L27" i="307"/>
  <c r="N27" i="307"/>
  <c r="P27" i="307"/>
  <c r="R27" i="307"/>
  <c r="T27" i="307"/>
  <c r="V27" i="307"/>
  <c r="D28" i="307"/>
  <c r="F28" i="307"/>
  <c r="H28" i="307"/>
  <c r="L28" i="307"/>
  <c r="N28" i="307"/>
  <c r="P28" i="307"/>
  <c r="T28" i="307"/>
  <c r="V28" i="307"/>
  <c r="D29" i="307"/>
  <c r="F29" i="307"/>
  <c r="H29" i="307"/>
  <c r="J29" i="307"/>
  <c r="L29" i="307"/>
  <c r="N29" i="307"/>
  <c r="P29" i="307"/>
  <c r="R29" i="307"/>
  <c r="T29" i="307"/>
  <c r="V29" i="307"/>
  <c r="G23" i="267"/>
  <c r="G21" i="267"/>
  <c r="F23" i="213"/>
  <c r="F21" i="213"/>
  <c r="F23" i="272"/>
  <c r="F21" i="272"/>
  <c r="G23" i="290"/>
  <c r="G21" i="290"/>
  <c r="G23" i="220"/>
  <c r="G21" i="220"/>
  <c r="G23" i="291"/>
  <c r="G21" i="291"/>
  <c r="G23" i="257"/>
  <c r="G21" i="257"/>
  <c r="F23" i="188"/>
  <c r="F21" i="188"/>
  <c r="G23" i="235"/>
  <c r="G21" i="235"/>
  <c r="G23" i="246"/>
  <c r="G21" i="246"/>
  <c r="G23" i="208"/>
  <c r="G21" i="208"/>
  <c r="G23" i="281"/>
  <c r="G21" i="281"/>
  <c r="G23" i="295"/>
  <c r="G21" i="295"/>
  <c r="F23" i="297"/>
  <c r="F21" i="297"/>
  <c r="G23" i="260"/>
  <c r="G21" i="260"/>
  <c r="G23" i="120"/>
  <c r="G21" i="120"/>
  <c r="G23" i="294"/>
  <c r="G21" i="294"/>
  <c r="G23" i="157"/>
  <c r="G21" i="157"/>
  <c r="G23" i="296"/>
  <c r="G21" i="296"/>
  <c r="G23" i="288"/>
  <c r="G21" i="288"/>
  <c r="G23" i="284"/>
  <c r="G21" i="284"/>
  <c r="G23" i="249"/>
  <c r="G21" i="249"/>
  <c r="G23" i="287"/>
  <c r="G21" i="287"/>
  <c r="G23" i="82"/>
  <c r="G21" i="82"/>
  <c r="G23" i="247"/>
  <c r="G21" i="247"/>
  <c r="F23" i="293"/>
  <c r="F21" i="293"/>
  <c r="G23" i="269"/>
  <c r="G21" i="269"/>
  <c r="F23" i="58"/>
  <c r="F21" i="58"/>
  <c r="G23" i="219"/>
  <c r="G21" i="219"/>
  <c r="G23" i="201"/>
  <c r="G21" i="201"/>
  <c r="F23" i="176"/>
  <c r="F21" i="176"/>
  <c r="O17" i="308" l="1"/>
  <c r="O18" i="308" s="1"/>
  <c r="P16" i="308"/>
  <c r="O23" i="308"/>
  <c r="O21" i="308"/>
  <c r="W28" i="307"/>
  <c r="R28" i="307"/>
  <c r="J28" i="307"/>
  <c r="O28" i="307"/>
  <c r="U28" i="307"/>
  <c r="X30" i="307"/>
  <c r="V30" i="307"/>
  <c r="T30" i="307"/>
  <c r="R30" i="307"/>
  <c r="P30" i="307"/>
  <c r="N30" i="307"/>
  <c r="L30" i="307"/>
  <c r="J30" i="307"/>
  <c r="H30" i="307"/>
  <c r="F30" i="307"/>
  <c r="D30" i="307"/>
  <c r="W30" i="307"/>
  <c r="S30" i="307"/>
  <c r="O30" i="307"/>
  <c r="K30" i="307"/>
  <c r="G30" i="307"/>
  <c r="C30" i="307"/>
  <c r="U30" i="307"/>
  <c r="Q30" i="307"/>
  <c r="M30" i="307"/>
  <c r="I30" i="307"/>
  <c r="E30" i="307"/>
  <c r="F16" i="307"/>
  <c r="AK51" i="72"/>
  <c r="J51" i="72"/>
  <c r="B51" i="72"/>
  <c r="A51" i="72"/>
  <c r="B51" i="76"/>
  <c r="A51" i="76"/>
  <c r="P23" i="308" l="1"/>
  <c r="P21" i="308"/>
  <c r="P17" i="308"/>
  <c r="P18" i="308" s="1"/>
  <c r="Q16" i="308"/>
  <c r="F17" i="307"/>
  <c r="F18" i="307" s="1"/>
  <c r="G16" i="307"/>
  <c r="F23" i="267"/>
  <c r="F21" i="267"/>
  <c r="F23" i="271"/>
  <c r="F21" i="271"/>
  <c r="F23" i="290"/>
  <c r="F21" i="290"/>
  <c r="F23" i="191"/>
  <c r="F21" i="191"/>
  <c r="E23" i="289"/>
  <c r="E21" i="289"/>
  <c r="F23" i="220"/>
  <c r="F21" i="220"/>
  <c r="F23" i="291"/>
  <c r="F21" i="291"/>
  <c r="E23" i="261"/>
  <c r="E21" i="261"/>
  <c r="F23" i="257"/>
  <c r="F21" i="257"/>
  <c r="E23" i="242"/>
  <c r="E21" i="242"/>
  <c r="E23" i="123"/>
  <c r="E21" i="123"/>
  <c r="E23" i="188"/>
  <c r="E21" i="188"/>
  <c r="F23" i="235"/>
  <c r="F21" i="235"/>
  <c r="F23" i="246"/>
  <c r="F21" i="246"/>
  <c r="F23" i="208"/>
  <c r="F21" i="208"/>
  <c r="F23" i="281"/>
  <c r="F21" i="281"/>
  <c r="F23" i="295"/>
  <c r="F21" i="295"/>
  <c r="E23" i="297"/>
  <c r="E21" i="297"/>
  <c r="E23" i="161"/>
  <c r="E21" i="161"/>
  <c r="E23" i="202"/>
  <c r="E21" i="202"/>
  <c r="F23" i="260"/>
  <c r="F21" i="260"/>
  <c r="F23" i="120"/>
  <c r="F21" i="120"/>
  <c r="F23" i="279"/>
  <c r="F21" i="279"/>
  <c r="F23" i="294"/>
  <c r="F21" i="294"/>
  <c r="E23" i="163"/>
  <c r="E21" i="163"/>
  <c r="E23" i="283"/>
  <c r="E21" i="283"/>
  <c r="F23" i="157"/>
  <c r="F21" i="157"/>
  <c r="F23" i="296"/>
  <c r="F21" i="296"/>
  <c r="F23" i="288"/>
  <c r="F21" i="288"/>
  <c r="F23" i="284"/>
  <c r="F21" i="284"/>
  <c r="F23" i="249"/>
  <c r="F21" i="249"/>
  <c r="F23" i="287"/>
  <c r="F21" i="287"/>
  <c r="F23" i="82"/>
  <c r="F21" i="82"/>
  <c r="F23" i="247"/>
  <c r="F21" i="247"/>
  <c r="F23" i="269"/>
  <c r="F21" i="269"/>
  <c r="F23" i="219"/>
  <c r="F21" i="219"/>
  <c r="F23" i="201"/>
  <c r="F21" i="201"/>
  <c r="AK46" i="72"/>
  <c r="J46" i="72" s="1"/>
  <c r="B46" i="72"/>
  <c r="A46" i="72"/>
  <c r="B46" i="76"/>
  <c r="A46" i="76"/>
  <c r="Y24" i="306"/>
  <c r="M46" i="4" s="1"/>
  <c r="K46" i="72" s="1"/>
  <c r="L46" i="72" s="1"/>
  <c r="X22" i="306"/>
  <c r="W22" i="306"/>
  <c r="V22" i="306"/>
  <c r="U22" i="306"/>
  <c r="T22" i="306"/>
  <c r="S22" i="306"/>
  <c r="R22" i="306"/>
  <c r="Q22" i="306"/>
  <c r="P22" i="306"/>
  <c r="O22" i="306"/>
  <c r="N22" i="306"/>
  <c r="M22" i="306"/>
  <c r="L22" i="306"/>
  <c r="J46" i="4" s="1"/>
  <c r="K22" i="306"/>
  <c r="J22" i="306"/>
  <c r="I22" i="306"/>
  <c r="H22" i="306"/>
  <c r="G22" i="306"/>
  <c r="F22" i="306"/>
  <c r="E22" i="306"/>
  <c r="D22" i="306"/>
  <c r="C22" i="306"/>
  <c r="C29" i="306" s="1"/>
  <c r="C21" i="306"/>
  <c r="C28" i="306" s="1"/>
  <c r="X20" i="306"/>
  <c r="W20" i="306"/>
  <c r="V20" i="306"/>
  <c r="U20" i="306"/>
  <c r="T20" i="306"/>
  <c r="S20" i="306"/>
  <c r="R20" i="306"/>
  <c r="Q20" i="306"/>
  <c r="P20" i="306"/>
  <c r="O20" i="306"/>
  <c r="N20" i="306"/>
  <c r="M20" i="306"/>
  <c r="L20" i="306"/>
  <c r="H46" i="4" s="1"/>
  <c r="K20" i="306"/>
  <c r="J20" i="306"/>
  <c r="I20" i="306"/>
  <c r="H20" i="306"/>
  <c r="G20" i="306"/>
  <c r="F20" i="306"/>
  <c r="E20" i="306"/>
  <c r="D20" i="306"/>
  <c r="C20" i="306"/>
  <c r="C27" i="306" s="1"/>
  <c r="C19" i="306"/>
  <c r="D19" i="306" s="1"/>
  <c r="E19" i="306" s="1"/>
  <c r="F19" i="306" s="1"/>
  <c r="G19" i="306" s="1"/>
  <c r="H19" i="306" s="1"/>
  <c r="I19" i="306" s="1"/>
  <c r="J19" i="306" s="1"/>
  <c r="K19" i="306" s="1"/>
  <c r="L19" i="306" s="1"/>
  <c r="X15" i="306"/>
  <c r="W15" i="306"/>
  <c r="V15" i="306"/>
  <c r="U15" i="306"/>
  <c r="T15" i="306"/>
  <c r="S15" i="306"/>
  <c r="R15" i="306"/>
  <c r="Q15" i="306"/>
  <c r="P15" i="306"/>
  <c r="O15" i="306"/>
  <c r="N15" i="306"/>
  <c r="M15" i="306"/>
  <c r="L15" i="306"/>
  <c r="K15" i="306"/>
  <c r="J15" i="306"/>
  <c r="I15" i="306"/>
  <c r="H15" i="306"/>
  <c r="G15" i="306"/>
  <c r="F15" i="306"/>
  <c r="E15" i="306"/>
  <c r="D15" i="306"/>
  <c r="C15" i="306"/>
  <c r="C16" i="306" s="1"/>
  <c r="C17" i="306" s="1"/>
  <c r="C18" i="306" s="1"/>
  <c r="AK33" i="72"/>
  <c r="J33" i="72"/>
  <c r="B33" i="72"/>
  <c r="A33" i="72"/>
  <c r="B33" i="76"/>
  <c r="A33" i="76"/>
  <c r="Y24" i="305"/>
  <c r="M33" i="4" s="1"/>
  <c r="K33" i="72" s="1"/>
  <c r="L33" i="72" s="1"/>
  <c r="X22" i="305"/>
  <c r="W22" i="305"/>
  <c r="V22" i="305"/>
  <c r="U22" i="305"/>
  <c r="T22" i="305"/>
  <c r="S22" i="305"/>
  <c r="R22" i="305"/>
  <c r="Q22" i="305"/>
  <c r="P22" i="305"/>
  <c r="O22" i="305"/>
  <c r="N22" i="305"/>
  <c r="M22" i="305"/>
  <c r="L22" i="305"/>
  <c r="J33" i="4" s="1"/>
  <c r="K22" i="305"/>
  <c r="J22" i="305"/>
  <c r="I22" i="305"/>
  <c r="H22" i="305"/>
  <c r="G22" i="305"/>
  <c r="F22" i="305"/>
  <c r="E22" i="305"/>
  <c r="D22" i="305"/>
  <c r="C22" i="305"/>
  <c r="C29" i="305" s="1"/>
  <c r="C21" i="305"/>
  <c r="C28" i="305" s="1"/>
  <c r="X20" i="305"/>
  <c r="W20" i="305"/>
  <c r="V20" i="305"/>
  <c r="U20" i="305"/>
  <c r="T20" i="305"/>
  <c r="S20" i="305"/>
  <c r="R20" i="305"/>
  <c r="Q20" i="305"/>
  <c r="P20" i="305"/>
  <c r="O20" i="305"/>
  <c r="N20" i="305"/>
  <c r="M20" i="305"/>
  <c r="L20" i="305"/>
  <c r="H33" i="4" s="1"/>
  <c r="K20" i="305"/>
  <c r="J20" i="305"/>
  <c r="I20" i="305"/>
  <c r="H20" i="305"/>
  <c r="G20" i="305"/>
  <c r="F20" i="305"/>
  <c r="E20" i="305"/>
  <c r="D20" i="305"/>
  <c r="C20" i="305"/>
  <c r="C27" i="305" s="1"/>
  <c r="C19" i="305"/>
  <c r="D19" i="305" s="1"/>
  <c r="E19" i="305" s="1"/>
  <c r="F19" i="305" s="1"/>
  <c r="G19" i="305" s="1"/>
  <c r="H19" i="305" s="1"/>
  <c r="I19" i="305" s="1"/>
  <c r="J19" i="305" s="1"/>
  <c r="K19" i="305" s="1"/>
  <c r="L19" i="305" s="1"/>
  <c r="X15" i="305"/>
  <c r="W15" i="305"/>
  <c r="V15" i="305"/>
  <c r="U15" i="305"/>
  <c r="T15" i="305"/>
  <c r="S15" i="305"/>
  <c r="R15" i="305"/>
  <c r="Q15" i="305"/>
  <c r="P15" i="305"/>
  <c r="O15" i="305"/>
  <c r="N15" i="305"/>
  <c r="M15" i="305"/>
  <c r="L15" i="305"/>
  <c r="K15" i="305"/>
  <c r="J15" i="305"/>
  <c r="I15" i="305"/>
  <c r="H15" i="305"/>
  <c r="G15" i="305"/>
  <c r="F15" i="305"/>
  <c r="E15" i="305"/>
  <c r="D15" i="305"/>
  <c r="C15" i="305"/>
  <c r="C16" i="305" s="1"/>
  <c r="C17" i="305" s="1"/>
  <c r="C18" i="305" s="1"/>
  <c r="Y24" i="304"/>
  <c r="M20" i="4" s="1"/>
  <c r="X22" i="304"/>
  <c r="W22" i="304"/>
  <c r="V22" i="304"/>
  <c r="U22" i="304"/>
  <c r="T22" i="304"/>
  <c r="S22" i="304"/>
  <c r="R22" i="304"/>
  <c r="Q22" i="304"/>
  <c r="P22" i="304"/>
  <c r="O22" i="304"/>
  <c r="N22" i="304"/>
  <c r="M22" i="304"/>
  <c r="L22" i="304"/>
  <c r="J20" i="4" s="1"/>
  <c r="K22" i="304"/>
  <c r="J22" i="304"/>
  <c r="I22" i="304"/>
  <c r="H22" i="304"/>
  <c r="G22" i="304"/>
  <c r="F22" i="304"/>
  <c r="E22" i="304"/>
  <c r="D22" i="304"/>
  <c r="C22" i="304"/>
  <c r="C29" i="304" s="1"/>
  <c r="C21" i="304"/>
  <c r="C28" i="304" s="1"/>
  <c r="X20" i="304"/>
  <c r="W20" i="304"/>
  <c r="V20" i="304"/>
  <c r="U20" i="304"/>
  <c r="T20" i="304"/>
  <c r="S20" i="304"/>
  <c r="R20" i="304"/>
  <c r="Q20" i="304"/>
  <c r="P20" i="304"/>
  <c r="O20" i="304"/>
  <c r="N20" i="304"/>
  <c r="M20" i="304"/>
  <c r="L20" i="304"/>
  <c r="H20" i="4" s="1"/>
  <c r="K20" i="304"/>
  <c r="J20" i="304"/>
  <c r="I20" i="304"/>
  <c r="H20" i="304"/>
  <c r="G20" i="304"/>
  <c r="F20" i="304"/>
  <c r="E20" i="304"/>
  <c r="D20" i="304"/>
  <c r="C20" i="304"/>
  <c r="C27" i="304" s="1"/>
  <c r="D19" i="304"/>
  <c r="E19" i="304" s="1"/>
  <c r="F19" i="304" s="1"/>
  <c r="G19" i="304" s="1"/>
  <c r="H19" i="304" s="1"/>
  <c r="I19" i="304" s="1"/>
  <c r="J19" i="304" s="1"/>
  <c r="K19" i="304" s="1"/>
  <c r="L19" i="304" s="1"/>
  <c r="C19" i="304"/>
  <c r="X15" i="304"/>
  <c r="W15" i="304"/>
  <c r="V15" i="304"/>
  <c r="U15" i="304"/>
  <c r="T15" i="304"/>
  <c r="S15" i="304"/>
  <c r="R15" i="304"/>
  <c r="Q15" i="304"/>
  <c r="P15" i="304"/>
  <c r="O15" i="304"/>
  <c r="N15" i="304"/>
  <c r="M15" i="304"/>
  <c r="L15" i="304"/>
  <c r="K15" i="304"/>
  <c r="J15" i="304"/>
  <c r="I15" i="304"/>
  <c r="H15" i="304"/>
  <c r="G15" i="304"/>
  <c r="F15" i="304"/>
  <c r="E15" i="304"/>
  <c r="D15" i="304"/>
  <c r="C15" i="304"/>
  <c r="C16" i="304" s="1"/>
  <c r="C17" i="304" s="1"/>
  <c r="C18" i="304" s="1"/>
  <c r="AK76" i="72"/>
  <c r="J76" i="72" s="1"/>
  <c r="B76" i="72"/>
  <c r="A76" i="72"/>
  <c r="K76" i="76"/>
  <c r="B76" i="76"/>
  <c r="A76" i="76"/>
  <c r="Y24" i="303"/>
  <c r="M77" i="4" s="1"/>
  <c r="X22" i="303"/>
  <c r="W22" i="303"/>
  <c r="V22" i="303"/>
  <c r="U22" i="303"/>
  <c r="T22" i="303"/>
  <c r="S22" i="303"/>
  <c r="R22" i="303"/>
  <c r="Q22" i="303"/>
  <c r="P22" i="303"/>
  <c r="O22" i="303"/>
  <c r="N22" i="303"/>
  <c r="M22" i="303"/>
  <c r="L22" i="303"/>
  <c r="J77" i="4" s="1"/>
  <c r="K22" i="303"/>
  <c r="J22" i="303"/>
  <c r="I22" i="303"/>
  <c r="H22" i="303"/>
  <c r="G22" i="303"/>
  <c r="F22" i="303"/>
  <c r="E22" i="303"/>
  <c r="D22" i="303"/>
  <c r="C22" i="303"/>
  <c r="C29" i="303" s="1"/>
  <c r="C21" i="303"/>
  <c r="C28" i="303" s="1"/>
  <c r="X20" i="303"/>
  <c r="W20" i="303"/>
  <c r="V20" i="303"/>
  <c r="U20" i="303"/>
  <c r="T20" i="303"/>
  <c r="S20" i="303"/>
  <c r="R20" i="303"/>
  <c r="Q20" i="303"/>
  <c r="P20" i="303"/>
  <c r="O20" i="303"/>
  <c r="N20" i="303"/>
  <c r="M20" i="303"/>
  <c r="L20" i="303"/>
  <c r="H77" i="4" s="1"/>
  <c r="K20" i="303"/>
  <c r="J20" i="303"/>
  <c r="I20" i="303"/>
  <c r="H20" i="303"/>
  <c r="G20" i="303"/>
  <c r="F20" i="303"/>
  <c r="E20" i="303"/>
  <c r="D20" i="303"/>
  <c r="C20" i="303"/>
  <c r="C27" i="303" s="1"/>
  <c r="C19" i="303"/>
  <c r="D19" i="303" s="1"/>
  <c r="E19" i="303" s="1"/>
  <c r="F19" i="303" s="1"/>
  <c r="G19" i="303" s="1"/>
  <c r="H19" i="303" s="1"/>
  <c r="I19" i="303" s="1"/>
  <c r="J19" i="303" s="1"/>
  <c r="K19" i="303" s="1"/>
  <c r="L19" i="303" s="1"/>
  <c r="X15" i="303"/>
  <c r="W15" i="303"/>
  <c r="V15" i="303"/>
  <c r="U15" i="303"/>
  <c r="T15" i="303"/>
  <c r="S15" i="303"/>
  <c r="R15" i="303"/>
  <c r="Q15" i="303"/>
  <c r="P15" i="303"/>
  <c r="O15" i="303"/>
  <c r="N15" i="303"/>
  <c r="M15" i="303"/>
  <c r="L15" i="303"/>
  <c r="K15" i="303"/>
  <c r="J15" i="303"/>
  <c r="I15" i="303"/>
  <c r="H15" i="303"/>
  <c r="G15" i="303"/>
  <c r="F15" i="303"/>
  <c r="E15" i="303"/>
  <c r="D15" i="303"/>
  <c r="C15" i="303"/>
  <c r="C16" i="303" s="1"/>
  <c r="C17" i="303" s="1"/>
  <c r="C18" i="303" s="1"/>
  <c r="U29" i="304" l="1"/>
  <c r="Q17" i="308"/>
  <c r="Q18" i="308" s="1"/>
  <c r="R16" i="308"/>
  <c r="Q23" i="308"/>
  <c r="Q21" i="308"/>
  <c r="M19" i="303"/>
  <c r="N19" i="303" s="1"/>
  <c r="O19" i="303" s="1"/>
  <c r="P19" i="303" s="1"/>
  <c r="Q19" i="303" s="1"/>
  <c r="R19" i="303" s="1"/>
  <c r="S19" i="303" s="1"/>
  <c r="T19" i="303" s="1"/>
  <c r="U19" i="303" s="1"/>
  <c r="V19" i="303" s="1"/>
  <c r="W19" i="303" s="1"/>
  <c r="X19" i="303" s="1"/>
  <c r="D77" i="4"/>
  <c r="M19" i="306"/>
  <c r="N19" i="306" s="1"/>
  <c r="O19" i="306" s="1"/>
  <c r="P19" i="306" s="1"/>
  <c r="Q19" i="306" s="1"/>
  <c r="R19" i="306" s="1"/>
  <c r="S19" i="306" s="1"/>
  <c r="T19" i="306" s="1"/>
  <c r="U19" i="306" s="1"/>
  <c r="V19" i="306" s="1"/>
  <c r="W19" i="306" s="1"/>
  <c r="X19" i="306" s="1"/>
  <c r="D46" i="4"/>
  <c r="D46" i="76" s="1"/>
  <c r="M19" i="305"/>
  <c r="N19" i="305" s="1"/>
  <c r="O19" i="305" s="1"/>
  <c r="P19" i="305" s="1"/>
  <c r="Q19" i="305" s="1"/>
  <c r="R19" i="305" s="1"/>
  <c r="S19" i="305" s="1"/>
  <c r="T19" i="305" s="1"/>
  <c r="U19" i="305" s="1"/>
  <c r="V19" i="305" s="1"/>
  <c r="W19" i="305" s="1"/>
  <c r="X19" i="305" s="1"/>
  <c r="D33" i="4"/>
  <c r="D33" i="76" s="1"/>
  <c r="K20" i="72"/>
  <c r="L20" i="76"/>
  <c r="F23" i="307"/>
  <c r="F21" i="307"/>
  <c r="M19" i="304"/>
  <c r="N19" i="304" s="1"/>
  <c r="O19" i="304" s="1"/>
  <c r="P19" i="304" s="1"/>
  <c r="Q19" i="304" s="1"/>
  <c r="R19" i="304" s="1"/>
  <c r="S19" i="304" s="1"/>
  <c r="T19" i="304" s="1"/>
  <c r="U19" i="304" s="1"/>
  <c r="V19" i="304" s="1"/>
  <c r="W19" i="304" s="1"/>
  <c r="X19" i="304" s="1"/>
  <c r="D20" i="4"/>
  <c r="U27" i="304"/>
  <c r="U29" i="306"/>
  <c r="L46" i="76"/>
  <c r="G17" i="307"/>
  <c r="G18" i="307" s="1"/>
  <c r="H16" i="307"/>
  <c r="G23" i="307"/>
  <c r="G21" i="307"/>
  <c r="U29" i="305"/>
  <c r="U27" i="305"/>
  <c r="U27" i="306"/>
  <c r="U29" i="303"/>
  <c r="U27" i="303"/>
  <c r="L33" i="76"/>
  <c r="M46" i="72"/>
  <c r="X29" i="306"/>
  <c r="K29" i="306"/>
  <c r="S29" i="306"/>
  <c r="G27" i="306"/>
  <c r="O27" i="306"/>
  <c r="W27" i="306"/>
  <c r="X27" i="306"/>
  <c r="K27" i="306"/>
  <c r="S27" i="306"/>
  <c r="G29" i="306"/>
  <c r="O29" i="306"/>
  <c r="W29" i="306"/>
  <c r="D16" i="306"/>
  <c r="D17" i="306" s="1"/>
  <c r="D18" i="306" s="1"/>
  <c r="E27" i="306"/>
  <c r="I27" i="306"/>
  <c r="M27" i="306"/>
  <c r="Q27" i="306"/>
  <c r="E29" i="306"/>
  <c r="I29" i="306"/>
  <c r="M29" i="306"/>
  <c r="Q29" i="306"/>
  <c r="C23" i="306"/>
  <c r="D27" i="306"/>
  <c r="F27" i="306"/>
  <c r="H27" i="306"/>
  <c r="J27" i="306"/>
  <c r="L27" i="306"/>
  <c r="N27" i="306"/>
  <c r="P27" i="306"/>
  <c r="R27" i="306"/>
  <c r="T27" i="306"/>
  <c r="V27" i="306"/>
  <c r="D29" i="306"/>
  <c r="F29" i="306"/>
  <c r="H29" i="306"/>
  <c r="J29" i="306"/>
  <c r="L29" i="306"/>
  <c r="N29" i="306"/>
  <c r="P29" i="306"/>
  <c r="R29" i="306"/>
  <c r="T29" i="306"/>
  <c r="V29" i="306"/>
  <c r="M33" i="72"/>
  <c r="X29" i="305"/>
  <c r="K29" i="305"/>
  <c r="S29" i="305"/>
  <c r="G27" i="305"/>
  <c r="O27" i="305"/>
  <c r="W27" i="305"/>
  <c r="X27" i="305"/>
  <c r="K27" i="305"/>
  <c r="S27" i="305"/>
  <c r="G29" i="305"/>
  <c r="O29" i="305"/>
  <c r="W29" i="305"/>
  <c r="D16" i="305"/>
  <c r="D17" i="305" s="1"/>
  <c r="D18" i="305" s="1"/>
  <c r="E27" i="305"/>
  <c r="I27" i="305"/>
  <c r="M27" i="305"/>
  <c r="Q27" i="305"/>
  <c r="E29" i="305"/>
  <c r="I29" i="305"/>
  <c r="M29" i="305"/>
  <c r="Q29" i="305"/>
  <c r="C23" i="305"/>
  <c r="D27" i="305"/>
  <c r="F27" i="305"/>
  <c r="H27" i="305"/>
  <c r="J27" i="305"/>
  <c r="L27" i="305"/>
  <c r="N27" i="305"/>
  <c r="P27" i="305"/>
  <c r="R27" i="305"/>
  <c r="T27" i="305"/>
  <c r="V27" i="305"/>
  <c r="D29" i="305"/>
  <c r="F29" i="305"/>
  <c r="H29" i="305"/>
  <c r="J29" i="305"/>
  <c r="L29" i="305"/>
  <c r="N29" i="305"/>
  <c r="P29" i="305"/>
  <c r="R29" i="305"/>
  <c r="T29" i="305"/>
  <c r="V29" i="305"/>
  <c r="X29" i="304"/>
  <c r="K29" i="304"/>
  <c r="S29" i="304"/>
  <c r="G27" i="304"/>
  <c r="O27" i="304"/>
  <c r="W27" i="304"/>
  <c r="X27" i="304"/>
  <c r="K27" i="304"/>
  <c r="S27" i="304"/>
  <c r="G29" i="304"/>
  <c r="O29" i="304"/>
  <c r="W29" i="304"/>
  <c r="D16" i="304"/>
  <c r="D17" i="304" s="1"/>
  <c r="D18" i="304" s="1"/>
  <c r="E27" i="304"/>
  <c r="I27" i="304"/>
  <c r="M27" i="304"/>
  <c r="Q27" i="304"/>
  <c r="E29" i="304"/>
  <c r="I29" i="304"/>
  <c r="M29" i="304"/>
  <c r="Q29" i="304"/>
  <c r="C23" i="304"/>
  <c r="D27" i="304"/>
  <c r="F27" i="304"/>
  <c r="H27" i="304"/>
  <c r="J27" i="304"/>
  <c r="L27" i="304"/>
  <c r="N27" i="304"/>
  <c r="P27" i="304"/>
  <c r="R27" i="304"/>
  <c r="T27" i="304"/>
  <c r="V27" i="304"/>
  <c r="D29" i="304"/>
  <c r="F29" i="304"/>
  <c r="H29" i="304"/>
  <c r="J29" i="304"/>
  <c r="L29" i="304"/>
  <c r="N29" i="304"/>
  <c r="P29" i="304"/>
  <c r="R29" i="304"/>
  <c r="T29" i="304"/>
  <c r="V29" i="304"/>
  <c r="G27" i="303"/>
  <c r="O27" i="303"/>
  <c r="W27" i="303"/>
  <c r="K29" i="303"/>
  <c r="S29" i="303"/>
  <c r="X27" i="303"/>
  <c r="X29" i="303"/>
  <c r="K27" i="303"/>
  <c r="S27" i="303"/>
  <c r="G29" i="303"/>
  <c r="O29" i="303"/>
  <c r="W29" i="303"/>
  <c r="D16" i="303"/>
  <c r="D17" i="303" s="1"/>
  <c r="D18" i="303" s="1"/>
  <c r="E27" i="303"/>
  <c r="I27" i="303"/>
  <c r="M27" i="303"/>
  <c r="Q27" i="303"/>
  <c r="E29" i="303"/>
  <c r="I29" i="303"/>
  <c r="M29" i="303"/>
  <c r="Q29" i="303"/>
  <c r="C23" i="303"/>
  <c r="D27" i="303"/>
  <c r="F27" i="303"/>
  <c r="H27" i="303"/>
  <c r="J27" i="303"/>
  <c r="L27" i="303"/>
  <c r="N27" i="303"/>
  <c r="P27" i="303"/>
  <c r="R27" i="303"/>
  <c r="T27" i="303"/>
  <c r="V27" i="303"/>
  <c r="D29" i="303"/>
  <c r="F29" i="303"/>
  <c r="H29" i="303"/>
  <c r="J29" i="303"/>
  <c r="L29" i="303"/>
  <c r="N29" i="303"/>
  <c r="P29" i="303"/>
  <c r="R29" i="303"/>
  <c r="T29" i="303"/>
  <c r="V29" i="303"/>
  <c r="E23" i="267"/>
  <c r="E21" i="267"/>
  <c r="E23" i="213"/>
  <c r="E21" i="213"/>
  <c r="E23" i="271"/>
  <c r="E21" i="271"/>
  <c r="E23" i="272"/>
  <c r="E21" i="272"/>
  <c r="E23" i="290"/>
  <c r="E21" i="290"/>
  <c r="E23" i="191"/>
  <c r="E21" i="191"/>
  <c r="E23" i="220"/>
  <c r="E21" i="220"/>
  <c r="E23" i="291"/>
  <c r="E21" i="291"/>
  <c r="E23" i="195"/>
  <c r="E21" i="195"/>
  <c r="E23" i="257"/>
  <c r="E21" i="257"/>
  <c r="E23" i="235"/>
  <c r="E21" i="235"/>
  <c r="E23" i="246"/>
  <c r="E21" i="246"/>
  <c r="E23" i="208"/>
  <c r="E21" i="208"/>
  <c r="E23" i="281"/>
  <c r="E21" i="281"/>
  <c r="E23" i="295"/>
  <c r="E21" i="295"/>
  <c r="E23" i="260"/>
  <c r="E21" i="260"/>
  <c r="E23" i="120"/>
  <c r="E21" i="120"/>
  <c r="E23" i="160"/>
  <c r="E21" i="160"/>
  <c r="E23" i="279"/>
  <c r="E21" i="279"/>
  <c r="E23" i="294"/>
  <c r="E21" i="294"/>
  <c r="E23" i="157"/>
  <c r="E21" i="157"/>
  <c r="E23" i="296"/>
  <c r="E21" i="296"/>
  <c r="E23" i="288"/>
  <c r="E21" i="288"/>
  <c r="E23" i="284"/>
  <c r="E21" i="284"/>
  <c r="E23" i="249"/>
  <c r="E21" i="249"/>
  <c r="E23" i="287"/>
  <c r="E21" i="287"/>
  <c r="E23" i="82"/>
  <c r="E21" i="82"/>
  <c r="E23" i="247"/>
  <c r="E21" i="247"/>
  <c r="E23" i="293"/>
  <c r="E21" i="293"/>
  <c r="E23" i="79"/>
  <c r="E21" i="79"/>
  <c r="E23" i="269"/>
  <c r="E21" i="269"/>
  <c r="E23" i="263"/>
  <c r="E21" i="263"/>
  <c r="E23" i="58"/>
  <c r="E21" i="58"/>
  <c r="E23" i="219"/>
  <c r="E21" i="219"/>
  <c r="E23" i="201"/>
  <c r="E21" i="201"/>
  <c r="E23" i="176"/>
  <c r="E21" i="176"/>
  <c r="AK24" i="72"/>
  <c r="J24" i="72" s="1"/>
  <c r="B24" i="72"/>
  <c r="A24" i="72"/>
  <c r="B24" i="76"/>
  <c r="A24" i="76"/>
  <c r="AK64" i="72"/>
  <c r="J64" i="72" s="1"/>
  <c r="B64" i="72"/>
  <c r="A64" i="72"/>
  <c r="B64" i="76"/>
  <c r="A64" i="76"/>
  <c r="M64" i="4"/>
  <c r="L64" i="76" s="1"/>
  <c r="Y24" i="302"/>
  <c r="X22" i="302"/>
  <c r="W22" i="302"/>
  <c r="V22" i="302"/>
  <c r="U22" i="302"/>
  <c r="T22" i="302"/>
  <c r="S22" i="302"/>
  <c r="R22" i="302"/>
  <c r="Q22" i="302"/>
  <c r="P22" i="302"/>
  <c r="O22" i="302"/>
  <c r="N22" i="302"/>
  <c r="M22" i="302"/>
  <c r="L22" i="302"/>
  <c r="J64" i="4" s="1"/>
  <c r="K22" i="302"/>
  <c r="J22" i="302"/>
  <c r="I22" i="302"/>
  <c r="H22" i="302"/>
  <c r="G22" i="302"/>
  <c r="F22" i="302"/>
  <c r="E22" i="302"/>
  <c r="D22" i="302"/>
  <c r="C22" i="302"/>
  <c r="X20" i="302"/>
  <c r="W20" i="302"/>
  <c r="V20" i="302"/>
  <c r="U20" i="302"/>
  <c r="T20" i="302"/>
  <c r="S20" i="302"/>
  <c r="R20" i="302"/>
  <c r="Q20" i="302"/>
  <c r="P20" i="302"/>
  <c r="O20" i="302"/>
  <c r="N20" i="302"/>
  <c r="M20" i="302"/>
  <c r="L20" i="302"/>
  <c r="H64" i="4" s="1"/>
  <c r="K20" i="302"/>
  <c r="J20" i="302"/>
  <c r="I20" i="302"/>
  <c r="H20" i="302"/>
  <c r="G20" i="302"/>
  <c r="F20" i="302"/>
  <c r="E20" i="302"/>
  <c r="D20" i="302"/>
  <c r="C20" i="302"/>
  <c r="C19" i="302"/>
  <c r="D19" i="302" s="1"/>
  <c r="E19" i="302" s="1"/>
  <c r="F19" i="302" s="1"/>
  <c r="G19" i="302" s="1"/>
  <c r="H19" i="302" s="1"/>
  <c r="I19" i="302" s="1"/>
  <c r="J19" i="302" s="1"/>
  <c r="K19" i="302" s="1"/>
  <c r="L19" i="302" s="1"/>
  <c r="M19" i="302" s="1"/>
  <c r="N19" i="302" s="1"/>
  <c r="O19" i="302" s="1"/>
  <c r="P19" i="302" s="1"/>
  <c r="Q19" i="302" s="1"/>
  <c r="R19" i="302" s="1"/>
  <c r="S19" i="302" s="1"/>
  <c r="T19" i="302" s="1"/>
  <c r="U19" i="302" s="1"/>
  <c r="V19" i="302" s="1"/>
  <c r="W19" i="302" s="1"/>
  <c r="X19" i="302" s="1"/>
  <c r="X15" i="302"/>
  <c r="W15" i="302"/>
  <c r="V15" i="302"/>
  <c r="U15" i="302"/>
  <c r="T15" i="302"/>
  <c r="S15" i="302"/>
  <c r="R15" i="302"/>
  <c r="Q15" i="302"/>
  <c r="P15" i="302"/>
  <c r="O15" i="302"/>
  <c r="N15" i="302"/>
  <c r="M15" i="302"/>
  <c r="L15" i="302"/>
  <c r="K15" i="302"/>
  <c r="J15" i="302"/>
  <c r="I15" i="302"/>
  <c r="H15" i="302"/>
  <c r="G15" i="302"/>
  <c r="F15" i="302"/>
  <c r="E15" i="302"/>
  <c r="D15" i="302"/>
  <c r="C15" i="302"/>
  <c r="C16" i="302" s="1"/>
  <c r="C17" i="302" s="1"/>
  <c r="C18" i="302" s="1"/>
  <c r="C21" i="302" s="1"/>
  <c r="C28" i="302" s="1"/>
  <c r="Y24" i="301"/>
  <c r="M24" i="4" s="1"/>
  <c r="K24" i="72" s="1"/>
  <c r="L24" i="72" s="1"/>
  <c r="X22" i="301"/>
  <c r="W22" i="301"/>
  <c r="V22" i="301"/>
  <c r="U22" i="301"/>
  <c r="T22" i="301"/>
  <c r="S22" i="301"/>
  <c r="R22" i="301"/>
  <c r="Q22" i="301"/>
  <c r="P22" i="301"/>
  <c r="O22" i="301"/>
  <c r="N22" i="301"/>
  <c r="M22" i="301"/>
  <c r="L22" i="301"/>
  <c r="J24" i="4" s="1"/>
  <c r="K22" i="301"/>
  <c r="J22" i="301"/>
  <c r="I22" i="301"/>
  <c r="H22" i="301"/>
  <c r="G22" i="301"/>
  <c r="F22" i="301"/>
  <c r="E22" i="301"/>
  <c r="D22" i="301"/>
  <c r="C22" i="301"/>
  <c r="C29" i="301" s="1"/>
  <c r="X20" i="301"/>
  <c r="W20" i="301"/>
  <c r="V20" i="301"/>
  <c r="U20" i="301"/>
  <c r="T20" i="301"/>
  <c r="S20" i="301"/>
  <c r="R20" i="301"/>
  <c r="Q20" i="301"/>
  <c r="P20" i="301"/>
  <c r="O20" i="301"/>
  <c r="N20" i="301"/>
  <c r="M20" i="301"/>
  <c r="L20" i="301"/>
  <c r="H24" i="4" s="1"/>
  <c r="K20" i="301"/>
  <c r="J20" i="301"/>
  <c r="I20" i="301"/>
  <c r="H20" i="301"/>
  <c r="G20" i="301"/>
  <c r="F20" i="301"/>
  <c r="E20" i="301"/>
  <c r="D20" i="301"/>
  <c r="C20" i="301"/>
  <c r="C27" i="301" s="1"/>
  <c r="C19" i="301"/>
  <c r="D19" i="301" s="1"/>
  <c r="E19" i="301" s="1"/>
  <c r="F19" i="301" s="1"/>
  <c r="G19" i="301" s="1"/>
  <c r="H19" i="301" s="1"/>
  <c r="I19" i="301" s="1"/>
  <c r="J19" i="301" s="1"/>
  <c r="K19" i="301" s="1"/>
  <c r="L19" i="301" s="1"/>
  <c r="M19" i="301" s="1"/>
  <c r="N19" i="301" s="1"/>
  <c r="O19" i="301" s="1"/>
  <c r="P19" i="301" s="1"/>
  <c r="Q19" i="301" s="1"/>
  <c r="R19" i="301" s="1"/>
  <c r="S19" i="301" s="1"/>
  <c r="T19" i="301" s="1"/>
  <c r="U19" i="301" s="1"/>
  <c r="V19" i="301" s="1"/>
  <c r="W19" i="301" s="1"/>
  <c r="X19" i="301" s="1"/>
  <c r="X15" i="301"/>
  <c r="W15" i="301"/>
  <c r="V15" i="301"/>
  <c r="U15" i="301"/>
  <c r="T15" i="301"/>
  <c r="S15" i="301"/>
  <c r="R15" i="301"/>
  <c r="Q15" i="301"/>
  <c r="P15" i="301"/>
  <c r="O15" i="301"/>
  <c r="N15" i="301"/>
  <c r="M15" i="301"/>
  <c r="L15" i="301"/>
  <c r="K15" i="301"/>
  <c r="J15" i="301"/>
  <c r="I15" i="301"/>
  <c r="H15" i="301"/>
  <c r="G15" i="301"/>
  <c r="F15" i="301"/>
  <c r="E15" i="301"/>
  <c r="D15" i="301"/>
  <c r="C15" i="301"/>
  <c r="C16" i="301" s="1"/>
  <c r="C17" i="301" s="1"/>
  <c r="C18" i="301" s="1"/>
  <c r="C21" i="301" s="1"/>
  <c r="C28" i="301" s="1"/>
  <c r="Y24" i="300"/>
  <c r="M51" i="4" s="1"/>
  <c r="X22" i="300"/>
  <c r="W22" i="300"/>
  <c r="V22" i="300"/>
  <c r="U22" i="300"/>
  <c r="T22" i="300"/>
  <c r="S22" i="300"/>
  <c r="R22" i="300"/>
  <c r="Q22" i="300"/>
  <c r="P22" i="300"/>
  <c r="O22" i="300"/>
  <c r="N22" i="300"/>
  <c r="M22" i="300"/>
  <c r="L22" i="300"/>
  <c r="J51" i="4" s="1"/>
  <c r="K22" i="300"/>
  <c r="J22" i="300"/>
  <c r="I22" i="300"/>
  <c r="H22" i="300"/>
  <c r="G22" i="300"/>
  <c r="F22" i="300"/>
  <c r="E22" i="300"/>
  <c r="D22" i="300"/>
  <c r="C22" i="300"/>
  <c r="X20" i="300"/>
  <c r="W20" i="300"/>
  <c r="V20" i="300"/>
  <c r="U20" i="300"/>
  <c r="T20" i="300"/>
  <c r="S20" i="300"/>
  <c r="R20" i="300"/>
  <c r="Q20" i="300"/>
  <c r="P20" i="300"/>
  <c r="O20" i="300"/>
  <c r="N20" i="300"/>
  <c r="M20" i="300"/>
  <c r="L20" i="300"/>
  <c r="H51" i="4" s="1"/>
  <c r="K20" i="300"/>
  <c r="J20" i="300"/>
  <c r="I20" i="300"/>
  <c r="H20" i="300"/>
  <c r="G20" i="300"/>
  <c r="F20" i="300"/>
  <c r="E20" i="300"/>
  <c r="D20" i="300"/>
  <c r="C20" i="300"/>
  <c r="C19" i="300"/>
  <c r="D19" i="300" s="1"/>
  <c r="E19" i="300" s="1"/>
  <c r="F19" i="300" s="1"/>
  <c r="G19" i="300" s="1"/>
  <c r="H19" i="300" s="1"/>
  <c r="I19" i="300" s="1"/>
  <c r="J19" i="300" s="1"/>
  <c r="K19" i="300" s="1"/>
  <c r="L19" i="300" s="1"/>
  <c r="X15" i="300"/>
  <c r="W15" i="300"/>
  <c r="V15" i="300"/>
  <c r="U15" i="300"/>
  <c r="T15" i="300"/>
  <c r="S15" i="300"/>
  <c r="R15" i="300"/>
  <c r="Q15" i="300"/>
  <c r="P15" i="300"/>
  <c r="O15" i="300"/>
  <c r="N15" i="300"/>
  <c r="M15" i="300"/>
  <c r="L15" i="300"/>
  <c r="K15" i="300"/>
  <c r="J15" i="300"/>
  <c r="I15" i="300"/>
  <c r="H15" i="300"/>
  <c r="G15" i="300"/>
  <c r="F15" i="300"/>
  <c r="E15" i="300"/>
  <c r="D15" i="300"/>
  <c r="C15" i="300"/>
  <c r="C16" i="300" s="1"/>
  <c r="C17" i="300" s="1"/>
  <c r="C18" i="300" s="1"/>
  <c r="C23" i="300" s="1"/>
  <c r="AK35" i="72"/>
  <c r="J35" i="72" s="1"/>
  <c r="B35" i="72"/>
  <c r="A35" i="72"/>
  <c r="B35" i="76"/>
  <c r="A35" i="76"/>
  <c r="M35" i="4"/>
  <c r="L35" i="76" s="1"/>
  <c r="H35" i="4"/>
  <c r="Y24" i="299"/>
  <c r="X22" i="299"/>
  <c r="W22" i="299"/>
  <c r="V22" i="299"/>
  <c r="U22" i="299"/>
  <c r="T22" i="299"/>
  <c r="S22" i="299"/>
  <c r="R22" i="299"/>
  <c r="Q22" i="299"/>
  <c r="P22" i="299"/>
  <c r="O22" i="299"/>
  <c r="N22" i="299"/>
  <c r="M22" i="299"/>
  <c r="L22" i="299"/>
  <c r="J35" i="4" s="1"/>
  <c r="K22" i="299"/>
  <c r="J22" i="299"/>
  <c r="I22" i="299"/>
  <c r="H22" i="299"/>
  <c r="G22" i="299"/>
  <c r="F22" i="299"/>
  <c r="E22" i="299"/>
  <c r="D22" i="299"/>
  <c r="C22" i="299"/>
  <c r="X20" i="299"/>
  <c r="W20" i="299"/>
  <c r="V20" i="299"/>
  <c r="U20" i="299"/>
  <c r="T20" i="299"/>
  <c r="S20" i="299"/>
  <c r="R20" i="299"/>
  <c r="Q20" i="299"/>
  <c r="P20" i="299"/>
  <c r="O20" i="299"/>
  <c r="N20" i="299"/>
  <c r="M20" i="299"/>
  <c r="L20" i="299"/>
  <c r="K20" i="299"/>
  <c r="J20" i="299"/>
  <c r="I20" i="299"/>
  <c r="H20" i="299"/>
  <c r="G20" i="299"/>
  <c r="F20" i="299"/>
  <c r="E20" i="299"/>
  <c r="D20" i="299"/>
  <c r="C20" i="299"/>
  <c r="C19" i="299"/>
  <c r="D19" i="299" s="1"/>
  <c r="E19" i="299" s="1"/>
  <c r="F19" i="299" s="1"/>
  <c r="G19" i="299" s="1"/>
  <c r="H19" i="299" s="1"/>
  <c r="I19" i="299" s="1"/>
  <c r="J19" i="299" s="1"/>
  <c r="K19" i="299" s="1"/>
  <c r="L19" i="299" s="1"/>
  <c r="M19" i="299" s="1"/>
  <c r="N19" i="299" s="1"/>
  <c r="O19" i="299" s="1"/>
  <c r="P19" i="299" s="1"/>
  <c r="Q19" i="299" s="1"/>
  <c r="R19" i="299" s="1"/>
  <c r="S19" i="299" s="1"/>
  <c r="T19" i="299" s="1"/>
  <c r="U19" i="299" s="1"/>
  <c r="V19" i="299" s="1"/>
  <c r="W19" i="299" s="1"/>
  <c r="X19" i="299" s="1"/>
  <c r="X15" i="299"/>
  <c r="W15" i="299"/>
  <c r="V15" i="299"/>
  <c r="U15" i="299"/>
  <c r="T15" i="299"/>
  <c r="S15" i="299"/>
  <c r="R15" i="299"/>
  <c r="Q15" i="299"/>
  <c r="P15" i="299"/>
  <c r="O15" i="299"/>
  <c r="N15" i="299"/>
  <c r="M15" i="299"/>
  <c r="L15" i="299"/>
  <c r="K15" i="299"/>
  <c r="J15" i="299"/>
  <c r="I15" i="299"/>
  <c r="H15" i="299"/>
  <c r="G15" i="299"/>
  <c r="F15" i="299"/>
  <c r="E15" i="299"/>
  <c r="D15" i="299"/>
  <c r="C15" i="299"/>
  <c r="C16" i="299" s="1"/>
  <c r="C17" i="299" s="1"/>
  <c r="C18" i="299" s="1"/>
  <c r="C23" i="299" s="1"/>
  <c r="S16" i="308" l="1"/>
  <c r="R17" i="308"/>
  <c r="R18" i="308" s="1"/>
  <c r="R23" i="308"/>
  <c r="R21" i="308"/>
  <c r="M19" i="300"/>
  <c r="N19" i="300" s="1"/>
  <c r="O19" i="300" s="1"/>
  <c r="P19" i="300" s="1"/>
  <c r="Q19" i="300" s="1"/>
  <c r="R19" i="300" s="1"/>
  <c r="S19" i="300" s="1"/>
  <c r="T19" i="300" s="1"/>
  <c r="U19" i="300" s="1"/>
  <c r="V19" i="300" s="1"/>
  <c r="W19" i="300" s="1"/>
  <c r="X19" i="300" s="1"/>
  <c r="D51" i="4"/>
  <c r="D21" i="299"/>
  <c r="C21" i="299"/>
  <c r="C28" i="299" s="1"/>
  <c r="D35" i="4"/>
  <c r="D35" i="76" s="1"/>
  <c r="D64" i="4"/>
  <c r="D64" i="76" s="1"/>
  <c r="D20" i="76"/>
  <c r="D23" i="299"/>
  <c r="K51" i="72"/>
  <c r="L51" i="76"/>
  <c r="L20" i="72"/>
  <c r="M20" i="72" s="1"/>
  <c r="D21" i="300"/>
  <c r="D23" i="303"/>
  <c r="D21" i="303"/>
  <c r="D28" i="303" s="1"/>
  <c r="D24" i="4"/>
  <c r="X29" i="299"/>
  <c r="X27" i="299"/>
  <c r="H17" i="307"/>
  <c r="H18" i="307" s="1"/>
  <c r="I16" i="307"/>
  <c r="H21" i="307"/>
  <c r="H23" i="307"/>
  <c r="X27" i="302"/>
  <c r="X29" i="302"/>
  <c r="D21" i="306"/>
  <c r="D28" i="306" s="1"/>
  <c r="D23" i="306"/>
  <c r="E23" i="306"/>
  <c r="E30" i="306" s="1"/>
  <c r="E21" i="306"/>
  <c r="C30" i="306"/>
  <c r="E16" i="306"/>
  <c r="D21" i="305"/>
  <c r="D28" i="305" s="1"/>
  <c r="D23" i="305"/>
  <c r="D30" i="305" s="1"/>
  <c r="C30" i="305"/>
  <c r="E23" i="305"/>
  <c r="E21" i="305"/>
  <c r="E16" i="305"/>
  <c r="D23" i="304"/>
  <c r="D30" i="304" s="1"/>
  <c r="D21" i="304"/>
  <c r="D28" i="304" s="1"/>
  <c r="C30" i="304"/>
  <c r="E23" i="304"/>
  <c r="E21" i="304"/>
  <c r="E16" i="304"/>
  <c r="K64" i="72"/>
  <c r="L64" i="72" s="1"/>
  <c r="L24" i="76"/>
  <c r="D30" i="303"/>
  <c r="C30" i="303"/>
  <c r="E23" i="303"/>
  <c r="E21" i="303"/>
  <c r="E16" i="303"/>
  <c r="X27" i="300"/>
  <c r="X29" i="300"/>
  <c r="M24" i="72"/>
  <c r="K35" i="72"/>
  <c r="L35" i="72" s="1"/>
  <c r="D21" i="302"/>
  <c r="C23" i="302"/>
  <c r="G27" i="302"/>
  <c r="O27" i="302"/>
  <c r="W27" i="302"/>
  <c r="G29" i="302"/>
  <c r="O29" i="302"/>
  <c r="W29" i="302"/>
  <c r="U27" i="302"/>
  <c r="U29" i="302"/>
  <c r="C27" i="302"/>
  <c r="K27" i="302"/>
  <c r="S27" i="302"/>
  <c r="C29" i="302"/>
  <c r="K29" i="302"/>
  <c r="S29" i="302"/>
  <c r="D23" i="302"/>
  <c r="D16" i="302"/>
  <c r="D17" i="302" s="1"/>
  <c r="D18" i="302" s="1"/>
  <c r="E27" i="302"/>
  <c r="I27" i="302"/>
  <c r="M27" i="302"/>
  <c r="Q27" i="302"/>
  <c r="E29" i="302"/>
  <c r="I29" i="302"/>
  <c r="M29" i="302"/>
  <c r="Q29" i="302"/>
  <c r="D27" i="302"/>
  <c r="F27" i="302"/>
  <c r="H27" i="302"/>
  <c r="J27" i="302"/>
  <c r="L27" i="302"/>
  <c r="N27" i="302"/>
  <c r="P27" i="302"/>
  <c r="R27" i="302"/>
  <c r="T27" i="302"/>
  <c r="V27" i="302"/>
  <c r="D28" i="302"/>
  <c r="D29" i="302"/>
  <c r="F29" i="302"/>
  <c r="H29" i="302"/>
  <c r="J29" i="302"/>
  <c r="L29" i="302"/>
  <c r="N29" i="302"/>
  <c r="P29" i="302"/>
  <c r="R29" i="302"/>
  <c r="T29" i="302"/>
  <c r="V29" i="302"/>
  <c r="D21" i="301"/>
  <c r="D28" i="301" s="1"/>
  <c r="C23" i="301"/>
  <c r="D16" i="301"/>
  <c r="D17" i="301" s="1"/>
  <c r="D18" i="301" s="1"/>
  <c r="E23" i="301" s="1"/>
  <c r="Q27" i="301"/>
  <c r="D23" i="301"/>
  <c r="W29" i="301"/>
  <c r="S29" i="301"/>
  <c r="O29" i="301"/>
  <c r="K29" i="301"/>
  <c r="G29" i="301"/>
  <c r="U29" i="301"/>
  <c r="Q29" i="301"/>
  <c r="I27" i="301"/>
  <c r="I29" i="301"/>
  <c r="W27" i="301"/>
  <c r="S27" i="301"/>
  <c r="O27" i="301"/>
  <c r="K27" i="301"/>
  <c r="G27" i="301"/>
  <c r="E27" i="301"/>
  <c r="M27" i="301"/>
  <c r="U27" i="301"/>
  <c r="E29" i="301"/>
  <c r="M29" i="301"/>
  <c r="X27" i="301"/>
  <c r="X29" i="301"/>
  <c r="D27" i="301"/>
  <c r="F27" i="301"/>
  <c r="H27" i="301"/>
  <c r="J27" i="301"/>
  <c r="L27" i="301"/>
  <c r="N27" i="301"/>
  <c r="P27" i="301"/>
  <c r="R27" i="301"/>
  <c r="T27" i="301"/>
  <c r="V27" i="301"/>
  <c r="D29" i="301"/>
  <c r="F29" i="301"/>
  <c r="H29" i="301"/>
  <c r="J29" i="301"/>
  <c r="L29" i="301"/>
  <c r="N29" i="301"/>
  <c r="P29" i="301"/>
  <c r="R29" i="301"/>
  <c r="T29" i="301"/>
  <c r="V29" i="301"/>
  <c r="C21" i="300"/>
  <c r="C28" i="300" s="1"/>
  <c r="G27" i="300"/>
  <c r="O27" i="300"/>
  <c r="W27" i="300"/>
  <c r="G29" i="300"/>
  <c r="O29" i="300"/>
  <c r="W29" i="300"/>
  <c r="U27" i="300"/>
  <c r="U29" i="300"/>
  <c r="C27" i="300"/>
  <c r="K27" i="300"/>
  <c r="S27" i="300"/>
  <c r="C29" i="300"/>
  <c r="K29" i="300"/>
  <c r="S29" i="300"/>
  <c r="D23" i="300"/>
  <c r="D16" i="300"/>
  <c r="D17" i="300" s="1"/>
  <c r="D18" i="300" s="1"/>
  <c r="E27" i="300"/>
  <c r="I27" i="300"/>
  <c r="M27" i="300"/>
  <c r="Q27" i="300"/>
  <c r="E29" i="300"/>
  <c r="I29" i="300"/>
  <c r="M29" i="300"/>
  <c r="Q29" i="300"/>
  <c r="D27" i="300"/>
  <c r="F27" i="300"/>
  <c r="H27" i="300"/>
  <c r="J27" i="300"/>
  <c r="L27" i="300"/>
  <c r="N27" i="300"/>
  <c r="P27" i="300"/>
  <c r="R27" i="300"/>
  <c r="T27" i="300"/>
  <c r="V27" i="300"/>
  <c r="D28" i="300"/>
  <c r="D29" i="300"/>
  <c r="F29" i="300"/>
  <c r="H29" i="300"/>
  <c r="J29" i="300"/>
  <c r="L29" i="300"/>
  <c r="N29" i="300"/>
  <c r="P29" i="300"/>
  <c r="R29" i="300"/>
  <c r="T29" i="300"/>
  <c r="V29" i="300"/>
  <c r="G27" i="299"/>
  <c r="W27" i="299"/>
  <c r="K29" i="299"/>
  <c r="U27" i="299"/>
  <c r="U29" i="299"/>
  <c r="O27" i="299"/>
  <c r="C29" i="299"/>
  <c r="S29" i="299"/>
  <c r="C27" i="299"/>
  <c r="K27" i="299"/>
  <c r="S27" i="299"/>
  <c r="G29" i="299"/>
  <c r="O29" i="299"/>
  <c r="W29" i="299"/>
  <c r="D16" i="299"/>
  <c r="D17" i="299" s="1"/>
  <c r="D18" i="299" s="1"/>
  <c r="E27" i="299"/>
  <c r="I27" i="299"/>
  <c r="M27" i="299"/>
  <c r="Q27" i="299"/>
  <c r="E29" i="299"/>
  <c r="I29" i="299"/>
  <c r="M29" i="299"/>
  <c r="Q29" i="299"/>
  <c r="D27" i="299"/>
  <c r="F27" i="299"/>
  <c r="H27" i="299"/>
  <c r="J27" i="299"/>
  <c r="L27" i="299"/>
  <c r="N27" i="299"/>
  <c r="P27" i="299"/>
  <c r="R27" i="299"/>
  <c r="T27" i="299"/>
  <c r="V27" i="299"/>
  <c r="D28" i="299"/>
  <c r="D29" i="299"/>
  <c r="F29" i="299"/>
  <c r="H29" i="299"/>
  <c r="J29" i="299"/>
  <c r="L29" i="299"/>
  <c r="N29" i="299"/>
  <c r="P29" i="299"/>
  <c r="R29" i="299"/>
  <c r="T29" i="299"/>
  <c r="V29" i="299"/>
  <c r="K75" i="76"/>
  <c r="K74" i="76"/>
  <c r="K73" i="76"/>
  <c r="K72" i="76"/>
  <c r="K71" i="76"/>
  <c r="K70" i="76"/>
  <c r="K68" i="76"/>
  <c r="K67" i="76"/>
  <c r="K66" i="76"/>
  <c r="K65" i="76"/>
  <c r="K63" i="76"/>
  <c r="K62" i="76"/>
  <c r="K61" i="76"/>
  <c r="K60" i="76"/>
  <c r="K59" i="76"/>
  <c r="K58" i="76"/>
  <c r="K57" i="76"/>
  <c r="K56" i="76"/>
  <c r="K55" i="76"/>
  <c r="K54" i="76"/>
  <c r="K53" i="76"/>
  <c r="K52" i="76"/>
  <c r="K50" i="76"/>
  <c r="K49" i="76"/>
  <c r="K48" i="76"/>
  <c r="K47" i="76"/>
  <c r="K45" i="76"/>
  <c r="K44" i="76"/>
  <c r="K43" i="76"/>
  <c r="K42" i="76"/>
  <c r="K41" i="76"/>
  <c r="K40" i="76"/>
  <c r="K39" i="76"/>
  <c r="K38" i="76"/>
  <c r="K36" i="76"/>
  <c r="K34" i="76"/>
  <c r="K32" i="76"/>
  <c r="K31" i="76"/>
  <c r="K30" i="76"/>
  <c r="K29" i="76"/>
  <c r="K28" i="76"/>
  <c r="K27" i="76"/>
  <c r="K26" i="76"/>
  <c r="K25" i="76"/>
  <c r="K23" i="76"/>
  <c r="K22" i="76"/>
  <c r="K21" i="76"/>
  <c r="K19" i="76"/>
  <c r="K18" i="76"/>
  <c r="K17" i="76"/>
  <c r="K16" i="76"/>
  <c r="K15" i="76"/>
  <c r="K14" i="76"/>
  <c r="K13" i="76"/>
  <c r="K12" i="76"/>
  <c r="K11" i="76"/>
  <c r="K10" i="76"/>
  <c r="K9" i="76"/>
  <c r="L75" i="4"/>
  <c r="L74" i="4"/>
  <c r="L73" i="4"/>
  <c r="L72" i="4"/>
  <c r="L71" i="4"/>
  <c r="L70" i="4"/>
  <c r="L68" i="4"/>
  <c r="L67" i="4"/>
  <c r="L66" i="4"/>
  <c r="L65" i="4"/>
  <c r="L63" i="4"/>
  <c r="L62" i="4"/>
  <c r="L61" i="4"/>
  <c r="L60" i="4"/>
  <c r="L59" i="4"/>
  <c r="L58" i="4"/>
  <c r="L57" i="4"/>
  <c r="L56" i="4"/>
  <c r="L55" i="4"/>
  <c r="L54" i="4"/>
  <c r="L53" i="4"/>
  <c r="L52" i="4"/>
  <c r="L50" i="4"/>
  <c r="L49" i="4"/>
  <c r="L48" i="4"/>
  <c r="L47" i="4"/>
  <c r="L45" i="4"/>
  <c r="L44" i="4"/>
  <c r="L43" i="4"/>
  <c r="L42" i="4"/>
  <c r="L41" i="4"/>
  <c r="L40" i="4"/>
  <c r="L39" i="4"/>
  <c r="L38" i="4"/>
  <c r="L36" i="4"/>
  <c r="L34" i="4"/>
  <c r="L32" i="4"/>
  <c r="L31" i="4"/>
  <c r="L30" i="4"/>
  <c r="L29" i="4"/>
  <c r="L28" i="4"/>
  <c r="L27" i="4"/>
  <c r="L26" i="4"/>
  <c r="L25" i="4"/>
  <c r="L23" i="4"/>
  <c r="L22" i="4"/>
  <c r="L21" i="4"/>
  <c r="L19" i="4"/>
  <c r="L18" i="4"/>
  <c r="L17" i="4"/>
  <c r="L16" i="4"/>
  <c r="L15" i="4"/>
  <c r="L14" i="4"/>
  <c r="L13" i="4"/>
  <c r="L12" i="4"/>
  <c r="L11" i="4"/>
  <c r="L10" i="4"/>
  <c r="L9" i="4"/>
  <c r="C28" i="267"/>
  <c r="Y24" i="267"/>
  <c r="M76" i="4" s="1"/>
  <c r="D23" i="267"/>
  <c r="X22" i="267"/>
  <c r="W22" i="267"/>
  <c r="V22" i="267"/>
  <c r="U22" i="267"/>
  <c r="T22" i="267"/>
  <c r="S22" i="267"/>
  <c r="R22" i="267"/>
  <c r="Q22" i="267"/>
  <c r="P22" i="267"/>
  <c r="O22" i="267"/>
  <c r="N22" i="267"/>
  <c r="M22" i="267"/>
  <c r="L22" i="267"/>
  <c r="J76" i="4" s="1"/>
  <c r="K22" i="267"/>
  <c r="J22" i="267"/>
  <c r="I22" i="267"/>
  <c r="H22" i="267"/>
  <c r="G22" i="267"/>
  <c r="F22" i="267"/>
  <c r="E22" i="267"/>
  <c r="D22" i="267"/>
  <c r="C22" i="267"/>
  <c r="C29" i="267" s="1"/>
  <c r="D21" i="267"/>
  <c r="C21" i="267"/>
  <c r="X20" i="267"/>
  <c r="W20" i="267"/>
  <c r="V20" i="267"/>
  <c r="U20" i="267"/>
  <c r="T20" i="267"/>
  <c r="S20" i="267"/>
  <c r="R20" i="267"/>
  <c r="Q20" i="267"/>
  <c r="P20" i="267"/>
  <c r="O20" i="267"/>
  <c r="N20" i="267"/>
  <c r="M20" i="267"/>
  <c r="L20" i="267"/>
  <c r="H76" i="4" s="1"/>
  <c r="K20" i="267"/>
  <c r="J20" i="267"/>
  <c r="I20" i="267"/>
  <c r="H20" i="267"/>
  <c r="G20" i="267"/>
  <c r="F20" i="267"/>
  <c r="E20" i="267"/>
  <c r="D20" i="267"/>
  <c r="C20" i="267"/>
  <c r="C27" i="267" s="1"/>
  <c r="D19" i="267"/>
  <c r="E19" i="267" s="1"/>
  <c r="F19" i="267" s="1"/>
  <c r="G19" i="267" s="1"/>
  <c r="H19" i="267" s="1"/>
  <c r="I19" i="267" s="1"/>
  <c r="J19" i="267" s="1"/>
  <c r="K19" i="267" s="1"/>
  <c r="L19" i="267" s="1"/>
  <c r="C19" i="267"/>
  <c r="X15" i="267"/>
  <c r="W15" i="267"/>
  <c r="V15" i="267"/>
  <c r="U15" i="267"/>
  <c r="T15" i="267"/>
  <c r="S15" i="267"/>
  <c r="R15" i="267"/>
  <c r="Q15" i="267"/>
  <c r="P15" i="267"/>
  <c r="O15" i="267"/>
  <c r="N15" i="267"/>
  <c r="M15" i="267"/>
  <c r="L15" i="267"/>
  <c r="K15" i="267"/>
  <c r="J15" i="267"/>
  <c r="I15" i="267"/>
  <c r="H15" i="267"/>
  <c r="G15" i="267"/>
  <c r="F15" i="267"/>
  <c r="E15" i="267"/>
  <c r="D15" i="267"/>
  <c r="D16" i="267" s="1"/>
  <c r="D17" i="267" s="1"/>
  <c r="D18" i="267" s="1"/>
  <c r="C15" i="267"/>
  <c r="C16" i="267" s="1"/>
  <c r="C17" i="267" s="1"/>
  <c r="C18" i="267" s="1"/>
  <c r="Y24" i="245"/>
  <c r="D23" i="245"/>
  <c r="X22" i="245"/>
  <c r="W22" i="245"/>
  <c r="V22" i="245"/>
  <c r="U22" i="245"/>
  <c r="T22" i="245"/>
  <c r="S22" i="245"/>
  <c r="R22" i="245"/>
  <c r="Q22" i="245"/>
  <c r="P22" i="245"/>
  <c r="O22" i="245"/>
  <c r="N22" i="245"/>
  <c r="M22" i="245"/>
  <c r="L22" i="245"/>
  <c r="K22" i="245"/>
  <c r="J22" i="245"/>
  <c r="I22" i="245"/>
  <c r="H22" i="245"/>
  <c r="G22" i="245"/>
  <c r="F22" i="245"/>
  <c r="E22" i="245"/>
  <c r="D22" i="245"/>
  <c r="C22" i="245"/>
  <c r="D21" i="245"/>
  <c r="C21" i="245"/>
  <c r="C28" i="245" s="1"/>
  <c r="X20" i="245"/>
  <c r="W20" i="245"/>
  <c r="V20" i="245"/>
  <c r="U20" i="245"/>
  <c r="T20" i="245"/>
  <c r="S20" i="245"/>
  <c r="R20" i="245"/>
  <c r="Q20" i="245"/>
  <c r="P20" i="245"/>
  <c r="O20" i="245"/>
  <c r="N20" i="245"/>
  <c r="M20" i="245"/>
  <c r="L20" i="245"/>
  <c r="K20" i="245"/>
  <c r="J20" i="245"/>
  <c r="I20" i="245"/>
  <c r="H20" i="245"/>
  <c r="G20" i="245"/>
  <c r="F20" i="245"/>
  <c r="E20" i="245"/>
  <c r="D20" i="245"/>
  <c r="C20" i="245"/>
  <c r="C27" i="245" s="1"/>
  <c r="C19" i="245"/>
  <c r="D19" i="245" s="1"/>
  <c r="E19" i="245" s="1"/>
  <c r="F19" i="245" s="1"/>
  <c r="G19" i="245" s="1"/>
  <c r="H19" i="245" s="1"/>
  <c r="I19" i="245" s="1"/>
  <c r="J19" i="245" s="1"/>
  <c r="K19" i="245" s="1"/>
  <c r="L19" i="245" s="1"/>
  <c r="M19" i="245" s="1"/>
  <c r="N19" i="245" s="1"/>
  <c r="O19" i="245" s="1"/>
  <c r="P19" i="245" s="1"/>
  <c r="Q19" i="245" s="1"/>
  <c r="R19" i="245" s="1"/>
  <c r="S19" i="245" s="1"/>
  <c r="T19" i="245" s="1"/>
  <c r="U19" i="245" s="1"/>
  <c r="V19" i="245" s="1"/>
  <c r="W19" i="245" s="1"/>
  <c r="X19" i="245" s="1"/>
  <c r="X15" i="245"/>
  <c r="W15" i="245"/>
  <c r="V15" i="245"/>
  <c r="U15" i="245"/>
  <c r="T15" i="245"/>
  <c r="S15" i="245"/>
  <c r="R15" i="245"/>
  <c r="Q15" i="245"/>
  <c r="P15" i="245"/>
  <c r="O15" i="245"/>
  <c r="N15" i="245"/>
  <c r="M15" i="245"/>
  <c r="L15" i="245"/>
  <c r="K15" i="245"/>
  <c r="J15" i="245"/>
  <c r="I15" i="245"/>
  <c r="H15" i="245"/>
  <c r="G15" i="245"/>
  <c r="F15" i="245"/>
  <c r="E15" i="245"/>
  <c r="D15" i="245"/>
  <c r="C15" i="245"/>
  <c r="C16" i="245" s="1"/>
  <c r="C17" i="245" s="1"/>
  <c r="C18" i="245" s="1"/>
  <c r="Y24" i="276"/>
  <c r="D23" i="276"/>
  <c r="X22" i="276"/>
  <c r="W22" i="276"/>
  <c r="V22" i="276"/>
  <c r="U22" i="276"/>
  <c r="T22" i="276"/>
  <c r="S22" i="276"/>
  <c r="R22" i="276"/>
  <c r="Q22" i="276"/>
  <c r="P22" i="276"/>
  <c r="O22" i="276"/>
  <c r="N22" i="276"/>
  <c r="M22" i="276"/>
  <c r="L22" i="276"/>
  <c r="K22" i="276"/>
  <c r="J22" i="276"/>
  <c r="I22" i="276"/>
  <c r="H22" i="276"/>
  <c r="G22" i="276"/>
  <c r="F22" i="276"/>
  <c r="E22" i="276"/>
  <c r="D22" i="276"/>
  <c r="C22" i="276"/>
  <c r="D21" i="276"/>
  <c r="C21" i="276"/>
  <c r="X20" i="276"/>
  <c r="W20" i="276"/>
  <c r="V20" i="276"/>
  <c r="U20" i="276"/>
  <c r="T20" i="276"/>
  <c r="S20" i="276"/>
  <c r="R20" i="276"/>
  <c r="Q20" i="276"/>
  <c r="P20" i="276"/>
  <c r="O20" i="276"/>
  <c r="N20" i="276"/>
  <c r="M20" i="276"/>
  <c r="L20" i="276"/>
  <c r="K20" i="276"/>
  <c r="J20" i="276"/>
  <c r="I20" i="276"/>
  <c r="H20" i="276"/>
  <c r="G20" i="276"/>
  <c r="F20" i="276"/>
  <c r="E20" i="276"/>
  <c r="D20" i="276"/>
  <c r="C20" i="276"/>
  <c r="C19" i="276"/>
  <c r="D19" i="276" s="1"/>
  <c r="E19" i="276" s="1"/>
  <c r="F19" i="276" s="1"/>
  <c r="G19" i="276" s="1"/>
  <c r="H19" i="276" s="1"/>
  <c r="I19" i="276" s="1"/>
  <c r="J19" i="276" s="1"/>
  <c r="K19" i="276" s="1"/>
  <c r="L19" i="276" s="1"/>
  <c r="M19" i="276" s="1"/>
  <c r="N19" i="276" s="1"/>
  <c r="O19" i="276" s="1"/>
  <c r="P19" i="276" s="1"/>
  <c r="Q19" i="276" s="1"/>
  <c r="R19" i="276" s="1"/>
  <c r="S19" i="276" s="1"/>
  <c r="T19" i="276" s="1"/>
  <c r="U19" i="276" s="1"/>
  <c r="V19" i="276" s="1"/>
  <c r="W19" i="276" s="1"/>
  <c r="X19" i="276" s="1"/>
  <c r="X15" i="276"/>
  <c r="W15" i="276"/>
  <c r="V15" i="276"/>
  <c r="U15" i="276"/>
  <c r="T15" i="276"/>
  <c r="S15" i="276"/>
  <c r="R15" i="276"/>
  <c r="Q15" i="276"/>
  <c r="P15" i="276"/>
  <c r="O15" i="276"/>
  <c r="N15" i="276"/>
  <c r="M15" i="276"/>
  <c r="L15" i="276"/>
  <c r="K15" i="276"/>
  <c r="J15" i="276"/>
  <c r="I15" i="276"/>
  <c r="H15" i="276"/>
  <c r="G15" i="276"/>
  <c r="F15" i="276"/>
  <c r="E15" i="276"/>
  <c r="D15" i="276"/>
  <c r="C15" i="276"/>
  <c r="C16" i="276" s="1"/>
  <c r="C17" i="276" s="1"/>
  <c r="C18" i="276" s="1"/>
  <c r="Y24" i="213"/>
  <c r="D23" i="213"/>
  <c r="X22" i="213"/>
  <c r="W22" i="213"/>
  <c r="V22" i="213"/>
  <c r="U22" i="213"/>
  <c r="T22" i="213"/>
  <c r="S22" i="213"/>
  <c r="R22" i="213"/>
  <c r="Q22" i="213"/>
  <c r="P22" i="213"/>
  <c r="O22" i="213"/>
  <c r="N22" i="213"/>
  <c r="M22" i="213"/>
  <c r="L22" i="213"/>
  <c r="K22" i="213"/>
  <c r="J22" i="213"/>
  <c r="I22" i="213"/>
  <c r="H22" i="213"/>
  <c r="G22" i="213"/>
  <c r="F22" i="213"/>
  <c r="E22" i="213"/>
  <c r="D22" i="213"/>
  <c r="C22" i="213"/>
  <c r="C29" i="213" s="1"/>
  <c r="D21" i="213"/>
  <c r="C21" i="213"/>
  <c r="C28" i="213" s="1"/>
  <c r="X20" i="213"/>
  <c r="W20" i="213"/>
  <c r="V20" i="213"/>
  <c r="U20" i="213"/>
  <c r="T20" i="213"/>
  <c r="S20" i="213"/>
  <c r="R20" i="213"/>
  <c r="Q20" i="213"/>
  <c r="P20" i="213"/>
  <c r="O20" i="213"/>
  <c r="N20" i="213"/>
  <c r="M20" i="213"/>
  <c r="L20" i="213"/>
  <c r="K20" i="213"/>
  <c r="J20" i="213"/>
  <c r="I20" i="213"/>
  <c r="H20" i="213"/>
  <c r="G20" i="213"/>
  <c r="F20" i="213"/>
  <c r="E20" i="213"/>
  <c r="D20" i="213"/>
  <c r="C20" i="213"/>
  <c r="C27" i="213" s="1"/>
  <c r="C19" i="213"/>
  <c r="D19" i="213" s="1"/>
  <c r="E19" i="213" s="1"/>
  <c r="F19" i="213" s="1"/>
  <c r="G19" i="213" s="1"/>
  <c r="H19" i="213" s="1"/>
  <c r="I19" i="213" s="1"/>
  <c r="J19" i="213" s="1"/>
  <c r="K19" i="213" s="1"/>
  <c r="L19" i="213" s="1"/>
  <c r="M19" i="213" s="1"/>
  <c r="N19" i="213" s="1"/>
  <c r="O19" i="213" s="1"/>
  <c r="P19" i="213" s="1"/>
  <c r="Q19" i="213" s="1"/>
  <c r="R19" i="213" s="1"/>
  <c r="S19" i="213" s="1"/>
  <c r="T19" i="213" s="1"/>
  <c r="U19" i="213" s="1"/>
  <c r="V19" i="213" s="1"/>
  <c r="W19" i="213" s="1"/>
  <c r="X19" i="213" s="1"/>
  <c r="X15" i="213"/>
  <c r="W15" i="213"/>
  <c r="V15" i="213"/>
  <c r="U15" i="213"/>
  <c r="T15" i="213"/>
  <c r="S15" i="213"/>
  <c r="R15" i="213"/>
  <c r="Q15" i="213"/>
  <c r="P15" i="213"/>
  <c r="O15" i="213"/>
  <c r="N15" i="213"/>
  <c r="M15" i="213"/>
  <c r="L15" i="213"/>
  <c r="K15" i="213"/>
  <c r="J15" i="213"/>
  <c r="I15" i="213"/>
  <c r="H15" i="213"/>
  <c r="G15" i="213"/>
  <c r="F15" i="213"/>
  <c r="E15" i="213"/>
  <c r="D15" i="213"/>
  <c r="C15" i="213"/>
  <c r="C16" i="213" s="1"/>
  <c r="C17" i="213" s="1"/>
  <c r="C18" i="213" s="1"/>
  <c r="C28" i="271"/>
  <c r="Y24" i="271"/>
  <c r="D23" i="271"/>
  <c r="X22" i="271"/>
  <c r="W22" i="271"/>
  <c r="V22" i="271"/>
  <c r="U22" i="271"/>
  <c r="T22" i="271"/>
  <c r="S22" i="271"/>
  <c r="R22" i="271"/>
  <c r="Q22" i="271"/>
  <c r="P22" i="271"/>
  <c r="O22" i="271"/>
  <c r="N22" i="271"/>
  <c r="M22" i="271"/>
  <c r="L22" i="271"/>
  <c r="K22" i="271"/>
  <c r="J22" i="271"/>
  <c r="I22" i="271"/>
  <c r="H22" i="271"/>
  <c r="G22" i="271"/>
  <c r="F22" i="271"/>
  <c r="E22" i="271"/>
  <c r="D22" i="271"/>
  <c r="C22" i="271"/>
  <c r="C29" i="271" s="1"/>
  <c r="D21" i="271"/>
  <c r="C21" i="271"/>
  <c r="X20" i="271"/>
  <c r="W20" i="271"/>
  <c r="V20" i="271"/>
  <c r="U20" i="271"/>
  <c r="T20" i="271"/>
  <c r="S20" i="271"/>
  <c r="R20" i="271"/>
  <c r="Q20" i="271"/>
  <c r="P20" i="271"/>
  <c r="O20" i="271"/>
  <c r="N20" i="271"/>
  <c r="M20" i="271"/>
  <c r="L20" i="271"/>
  <c r="K20" i="271"/>
  <c r="J20" i="271"/>
  <c r="I20" i="271"/>
  <c r="H20" i="271"/>
  <c r="G20" i="271"/>
  <c r="F20" i="271"/>
  <c r="E20" i="271"/>
  <c r="D20" i="271"/>
  <c r="C20" i="271"/>
  <c r="C27" i="271" s="1"/>
  <c r="D19" i="271"/>
  <c r="E19" i="271" s="1"/>
  <c r="F19" i="271" s="1"/>
  <c r="G19" i="271" s="1"/>
  <c r="H19" i="271" s="1"/>
  <c r="I19" i="271" s="1"/>
  <c r="J19" i="271" s="1"/>
  <c r="K19" i="271" s="1"/>
  <c r="L19" i="271" s="1"/>
  <c r="M19" i="271" s="1"/>
  <c r="N19" i="271" s="1"/>
  <c r="O19" i="271" s="1"/>
  <c r="P19" i="271" s="1"/>
  <c r="Q19" i="271" s="1"/>
  <c r="R19" i="271" s="1"/>
  <c r="S19" i="271" s="1"/>
  <c r="T19" i="271" s="1"/>
  <c r="U19" i="271" s="1"/>
  <c r="V19" i="271" s="1"/>
  <c r="W19" i="271" s="1"/>
  <c r="X19" i="271" s="1"/>
  <c r="C19" i="271"/>
  <c r="X15" i="271"/>
  <c r="W15" i="271"/>
  <c r="V15" i="271"/>
  <c r="U15" i="271"/>
  <c r="T15" i="271"/>
  <c r="S15" i="271"/>
  <c r="R15" i="271"/>
  <c r="Q15" i="271"/>
  <c r="P15" i="271"/>
  <c r="O15" i="271"/>
  <c r="N15" i="271"/>
  <c r="M15" i="271"/>
  <c r="L15" i="271"/>
  <c r="K15" i="271"/>
  <c r="J15" i="271"/>
  <c r="I15" i="271"/>
  <c r="H15" i="271"/>
  <c r="G15" i="271"/>
  <c r="F15" i="271"/>
  <c r="E15" i="271"/>
  <c r="D15" i="271"/>
  <c r="C15" i="271"/>
  <c r="C16" i="271" s="1"/>
  <c r="C17" i="271" s="1"/>
  <c r="C18" i="271" s="1"/>
  <c r="C29" i="272"/>
  <c r="Y24" i="272"/>
  <c r="D23" i="272"/>
  <c r="X22" i="272"/>
  <c r="W22" i="272"/>
  <c r="V22" i="272"/>
  <c r="U22" i="272"/>
  <c r="T22" i="272"/>
  <c r="S22" i="272"/>
  <c r="R22" i="272"/>
  <c r="Q22" i="272"/>
  <c r="P22" i="272"/>
  <c r="O22" i="272"/>
  <c r="N22" i="272"/>
  <c r="M22" i="272"/>
  <c r="L22" i="272"/>
  <c r="K22" i="272"/>
  <c r="J22" i="272"/>
  <c r="I22" i="272"/>
  <c r="H22" i="272"/>
  <c r="G22" i="272"/>
  <c r="F22" i="272"/>
  <c r="E22" i="272"/>
  <c r="E29" i="272" s="1"/>
  <c r="D22" i="272"/>
  <c r="C22" i="272"/>
  <c r="D21" i="272"/>
  <c r="C21" i="272"/>
  <c r="C28" i="272" s="1"/>
  <c r="X20" i="272"/>
  <c r="W20" i="272"/>
  <c r="V20" i="272"/>
  <c r="U20" i="272"/>
  <c r="T20" i="272"/>
  <c r="S20" i="272"/>
  <c r="R20" i="272"/>
  <c r="Q20" i="272"/>
  <c r="P20" i="272"/>
  <c r="O20" i="272"/>
  <c r="N20" i="272"/>
  <c r="M20" i="272"/>
  <c r="L20" i="272"/>
  <c r="K20" i="272"/>
  <c r="J20" i="272"/>
  <c r="I20" i="272"/>
  <c r="H20" i="272"/>
  <c r="G20" i="272"/>
  <c r="F20" i="272"/>
  <c r="E20" i="272"/>
  <c r="D20" i="272"/>
  <c r="C20" i="272"/>
  <c r="C27" i="272" s="1"/>
  <c r="C19" i="272"/>
  <c r="D19" i="272" s="1"/>
  <c r="E19" i="272" s="1"/>
  <c r="F19" i="272" s="1"/>
  <c r="G19" i="272" s="1"/>
  <c r="H19" i="272" s="1"/>
  <c r="I19" i="272" s="1"/>
  <c r="J19" i="272" s="1"/>
  <c r="K19" i="272" s="1"/>
  <c r="L19" i="272" s="1"/>
  <c r="M19" i="272" s="1"/>
  <c r="N19" i="272" s="1"/>
  <c r="O19" i="272" s="1"/>
  <c r="P19" i="272" s="1"/>
  <c r="Q19" i="272" s="1"/>
  <c r="R19" i="272" s="1"/>
  <c r="S19" i="272" s="1"/>
  <c r="T19" i="272" s="1"/>
  <c r="U19" i="272" s="1"/>
  <c r="V19" i="272" s="1"/>
  <c r="W19" i="272" s="1"/>
  <c r="X19" i="272" s="1"/>
  <c r="X15" i="272"/>
  <c r="W15" i="272"/>
  <c r="V15" i="272"/>
  <c r="U15" i="272"/>
  <c r="T15" i="272"/>
  <c r="S15" i="272"/>
  <c r="R15" i="272"/>
  <c r="Q15" i="272"/>
  <c r="P15" i="272"/>
  <c r="O15" i="272"/>
  <c r="N15" i="272"/>
  <c r="M15" i="272"/>
  <c r="L15" i="272"/>
  <c r="K15" i="272"/>
  <c r="J15" i="272"/>
  <c r="I15" i="272"/>
  <c r="H15" i="272"/>
  <c r="G15" i="272"/>
  <c r="F15" i="272"/>
  <c r="E15" i="272"/>
  <c r="D15" i="272"/>
  <c r="C15" i="272"/>
  <c r="C16" i="272" s="1"/>
  <c r="C29" i="290"/>
  <c r="Y24" i="290"/>
  <c r="D23" i="290"/>
  <c r="X22" i="290"/>
  <c r="W22" i="290"/>
  <c r="V22" i="290"/>
  <c r="U22" i="290"/>
  <c r="T22" i="290"/>
  <c r="S22" i="290"/>
  <c r="R22" i="290"/>
  <c r="Q22" i="290"/>
  <c r="P22" i="290"/>
  <c r="O22" i="290"/>
  <c r="N22" i="290"/>
  <c r="M22" i="290"/>
  <c r="L22" i="290"/>
  <c r="K22" i="290"/>
  <c r="J22" i="290"/>
  <c r="I22" i="290"/>
  <c r="H22" i="290"/>
  <c r="G22" i="290"/>
  <c r="F22" i="290"/>
  <c r="E22" i="290"/>
  <c r="D22" i="290"/>
  <c r="C22" i="290"/>
  <c r="E29" i="290" s="1"/>
  <c r="D21" i="290"/>
  <c r="C21" i="290"/>
  <c r="C28" i="290" s="1"/>
  <c r="X20" i="290"/>
  <c r="W20" i="290"/>
  <c r="V20" i="290"/>
  <c r="U20" i="290"/>
  <c r="T20" i="290"/>
  <c r="S20" i="290"/>
  <c r="R20" i="290"/>
  <c r="Q20" i="290"/>
  <c r="P20" i="290"/>
  <c r="O20" i="290"/>
  <c r="N20" i="290"/>
  <c r="M20" i="290"/>
  <c r="L20" i="290"/>
  <c r="K20" i="290"/>
  <c r="J20" i="290"/>
  <c r="I20" i="290"/>
  <c r="H20" i="290"/>
  <c r="G20" i="290"/>
  <c r="F20" i="290"/>
  <c r="E20" i="290"/>
  <c r="D20" i="290"/>
  <c r="C20" i="290"/>
  <c r="C27" i="290" s="1"/>
  <c r="C19" i="290"/>
  <c r="D19" i="290" s="1"/>
  <c r="E19" i="290" s="1"/>
  <c r="F19" i="290" s="1"/>
  <c r="G19" i="290" s="1"/>
  <c r="H19" i="290" s="1"/>
  <c r="I19" i="290" s="1"/>
  <c r="J19" i="290" s="1"/>
  <c r="K19" i="290" s="1"/>
  <c r="L19" i="290" s="1"/>
  <c r="M19" i="290" s="1"/>
  <c r="N19" i="290" s="1"/>
  <c r="O19" i="290" s="1"/>
  <c r="P19" i="290" s="1"/>
  <c r="Q19" i="290" s="1"/>
  <c r="R19" i="290" s="1"/>
  <c r="S19" i="290" s="1"/>
  <c r="T19" i="290" s="1"/>
  <c r="U19" i="290" s="1"/>
  <c r="V19" i="290" s="1"/>
  <c r="W19" i="290" s="1"/>
  <c r="X19" i="290" s="1"/>
  <c r="X15" i="290"/>
  <c r="W15" i="290"/>
  <c r="V15" i="290"/>
  <c r="U15" i="290"/>
  <c r="T15" i="290"/>
  <c r="S15" i="290"/>
  <c r="R15" i="290"/>
  <c r="Q15" i="290"/>
  <c r="P15" i="290"/>
  <c r="O15" i="290"/>
  <c r="N15" i="290"/>
  <c r="M15" i="290"/>
  <c r="L15" i="290"/>
  <c r="K15" i="290"/>
  <c r="J15" i="290"/>
  <c r="I15" i="290"/>
  <c r="H15" i="290"/>
  <c r="G15" i="290"/>
  <c r="F15" i="290"/>
  <c r="E15" i="290"/>
  <c r="D15" i="290"/>
  <c r="C15" i="290"/>
  <c r="C16" i="290" s="1"/>
  <c r="C28" i="191"/>
  <c r="Y24" i="191"/>
  <c r="D23" i="191"/>
  <c r="X22" i="191"/>
  <c r="W22" i="191"/>
  <c r="V22" i="191"/>
  <c r="U22" i="191"/>
  <c r="T22" i="191"/>
  <c r="S22" i="191"/>
  <c r="R22" i="191"/>
  <c r="Q22" i="191"/>
  <c r="P22" i="191"/>
  <c r="O22" i="191"/>
  <c r="N22" i="191"/>
  <c r="M22" i="191"/>
  <c r="L22" i="191"/>
  <c r="K22" i="191"/>
  <c r="J22" i="191"/>
  <c r="I22" i="191"/>
  <c r="H22" i="191"/>
  <c r="G22" i="191"/>
  <c r="F22" i="191"/>
  <c r="E22" i="191"/>
  <c r="D22" i="191"/>
  <c r="C22" i="191"/>
  <c r="C29" i="191" s="1"/>
  <c r="D21" i="191"/>
  <c r="C21" i="191"/>
  <c r="X20" i="191"/>
  <c r="W20" i="191"/>
  <c r="V20" i="191"/>
  <c r="U20" i="191"/>
  <c r="T20" i="191"/>
  <c r="S20" i="191"/>
  <c r="R20" i="191"/>
  <c r="Q20" i="191"/>
  <c r="P20" i="191"/>
  <c r="O20" i="191"/>
  <c r="N20" i="191"/>
  <c r="M20" i="191"/>
  <c r="L20" i="191"/>
  <c r="K20" i="191"/>
  <c r="J20" i="191"/>
  <c r="I20" i="191"/>
  <c r="H20" i="191"/>
  <c r="G20" i="191"/>
  <c r="F20" i="191"/>
  <c r="E20" i="191"/>
  <c r="D20" i="191"/>
  <c r="C20" i="191"/>
  <c r="C27" i="191" s="1"/>
  <c r="D19" i="191"/>
  <c r="E19" i="191" s="1"/>
  <c r="F19" i="191" s="1"/>
  <c r="G19" i="191" s="1"/>
  <c r="H19" i="191" s="1"/>
  <c r="I19" i="191" s="1"/>
  <c r="J19" i="191" s="1"/>
  <c r="K19" i="191" s="1"/>
  <c r="L19" i="191" s="1"/>
  <c r="M19" i="191" s="1"/>
  <c r="N19" i="191" s="1"/>
  <c r="O19" i="191" s="1"/>
  <c r="P19" i="191" s="1"/>
  <c r="Q19" i="191" s="1"/>
  <c r="R19" i="191" s="1"/>
  <c r="S19" i="191" s="1"/>
  <c r="T19" i="191" s="1"/>
  <c r="U19" i="191" s="1"/>
  <c r="V19" i="191" s="1"/>
  <c r="W19" i="191" s="1"/>
  <c r="X19" i="191" s="1"/>
  <c r="C19" i="191"/>
  <c r="X15" i="191"/>
  <c r="W15" i="191"/>
  <c r="V15" i="191"/>
  <c r="U15" i="191"/>
  <c r="T15" i="191"/>
  <c r="S15" i="191"/>
  <c r="R15" i="191"/>
  <c r="Q15" i="191"/>
  <c r="P15" i="191"/>
  <c r="O15" i="191"/>
  <c r="N15" i="191"/>
  <c r="M15" i="191"/>
  <c r="L15" i="191"/>
  <c r="K15" i="191"/>
  <c r="J15" i="191"/>
  <c r="I15" i="191"/>
  <c r="H15" i="191"/>
  <c r="G15" i="191"/>
  <c r="F15" i="191"/>
  <c r="E15" i="191"/>
  <c r="D15" i="191"/>
  <c r="C15" i="191"/>
  <c r="C16" i="191" s="1"/>
  <c r="C17" i="191" s="1"/>
  <c r="C18" i="191" s="1"/>
  <c r="Y24" i="275"/>
  <c r="D23" i="275"/>
  <c r="X22" i="275"/>
  <c r="W22" i="275"/>
  <c r="V22" i="275"/>
  <c r="U22" i="275"/>
  <c r="T22" i="275"/>
  <c r="S22" i="275"/>
  <c r="R22" i="275"/>
  <c r="Q22" i="275"/>
  <c r="P22" i="275"/>
  <c r="O22" i="275"/>
  <c r="N22" i="275"/>
  <c r="M22" i="275"/>
  <c r="L22" i="275"/>
  <c r="K22" i="275"/>
  <c r="J22" i="275"/>
  <c r="I22" i="275"/>
  <c r="H22" i="275"/>
  <c r="G22" i="275"/>
  <c r="F22" i="275"/>
  <c r="E22" i="275"/>
  <c r="D22" i="275"/>
  <c r="C22" i="275"/>
  <c r="D21" i="275"/>
  <c r="C21" i="275"/>
  <c r="C28" i="275" s="1"/>
  <c r="X20" i="275"/>
  <c r="W20" i="275"/>
  <c r="V20" i="275"/>
  <c r="U20" i="275"/>
  <c r="T20" i="275"/>
  <c r="S20" i="275"/>
  <c r="R20" i="275"/>
  <c r="Q20" i="275"/>
  <c r="P20" i="275"/>
  <c r="O20" i="275"/>
  <c r="N20" i="275"/>
  <c r="M20" i="275"/>
  <c r="L20" i="275"/>
  <c r="K20" i="275"/>
  <c r="J20" i="275"/>
  <c r="I20" i="275"/>
  <c r="H20" i="275"/>
  <c r="G20" i="275"/>
  <c r="F20" i="275"/>
  <c r="E20" i="275"/>
  <c r="D20" i="275"/>
  <c r="C20" i="275"/>
  <c r="C27" i="275" s="1"/>
  <c r="C19" i="275"/>
  <c r="D19" i="275" s="1"/>
  <c r="E19" i="275" s="1"/>
  <c r="F19" i="275" s="1"/>
  <c r="G19" i="275" s="1"/>
  <c r="H19" i="275" s="1"/>
  <c r="I19" i="275" s="1"/>
  <c r="J19" i="275" s="1"/>
  <c r="K19" i="275" s="1"/>
  <c r="L19" i="275" s="1"/>
  <c r="M19" i="275" s="1"/>
  <c r="N19" i="275" s="1"/>
  <c r="O19" i="275" s="1"/>
  <c r="P19" i="275" s="1"/>
  <c r="Q19" i="275" s="1"/>
  <c r="R19" i="275" s="1"/>
  <c r="S19" i="275" s="1"/>
  <c r="T19" i="275" s="1"/>
  <c r="U19" i="275" s="1"/>
  <c r="V19" i="275" s="1"/>
  <c r="W19" i="275" s="1"/>
  <c r="X19" i="275" s="1"/>
  <c r="X15" i="275"/>
  <c r="W15" i="275"/>
  <c r="V15" i="275"/>
  <c r="U15" i="275"/>
  <c r="T15" i="275"/>
  <c r="S15" i="275"/>
  <c r="R15" i="275"/>
  <c r="Q15" i="275"/>
  <c r="P15" i="275"/>
  <c r="O15" i="275"/>
  <c r="N15" i="275"/>
  <c r="M15" i="275"/>
  <c r="L15" i="275"/>
  <c r="K15" i="275"/>
  <c r="J15" i="275"/>
  <c r="I15" i="275"/>
  <c r="H15" i="275"/>
  <c r="G15" i="275"/>
  <c r="F15" i="275"/>
  <c r="E15" i="275"/>
  <c r="D15" i="275"/>
  <c r="C15" i="275"/>
  <c r="C16" i="275" s="1"/>
  <c r="Y24" i="289"/>
  <c r="D23" i="289"/>
  <c r="X22" i="289"/>
  <c r="W22" i="289"/>
  <c r="V22" i="289"/>
  <c r="U22" i="289"/>
  <c r="T22" i="289"/>
  <c r="S22" i="289"/>
  <c r="R22" i="289"/>
  <c r="Q22" i="289"/>
  <c r="P22" i="289"/>
  <c r="O22" i="289"/>
  <c r="N22" i="289"/>
  <c r="M22" i="289"/>
  <c r="L22" i="289"/>
  <c r="K22" i="289"/>
  <c r="J22" i="289"/>
  <c r="I22" i="289"/>
  <c r="H22" i="289"/>
  <c r="G22" i="289"/>
  <c r="F22" i="289"/>
  <c r="E22" i="289"/>
  <c r="D22" i="289"/>
  <c r="C22" i="289"/>
  <c r="C29" i="289" s="1"/>
  <c r="D21" i="289"/>
  <c r="C21" i="289"/>
  <c r="C28" i="289" s="1"/>
  <c r="X20" i="289"/>
  <c r="W20" i="289"/>
  <c r="V20" i="289"/>
  <c r="U20" i="289"/>
  <c r="T20" i="289"/>
  <c r="S20" i="289"/>
  <c r="R20" i="289"/>
  <c r="Q20" i="289"/>
  <c r="P20" i="289"/>
  <c r="O20" i="289"/>
  <c r="N20" i="289"/>
  <c r="M20" i="289"/>
  <c r="L20" i="289"/>
  <c r="K20" i="289"/>
  <c r="J20" i="289"/>
  <c r="I20" i="289"/>
  <c r="H20" i="289"/>
  <c r="G20" i="289"/>
  <c r="F20" i="289"/>
  <c r="E20" i="289"/>
  <c r="D20" i="289"/>
  <c r="C20" i="289"/>
  <c r="C27" i="289" s="1"/>
  <c r="C19" i="289"/>
  <c r="D19" i="289" s="1"/>
  <c r="E19" i="289" s="1"/>
  <c r="F19" i="289" s="1"/>
  <c r="G19" i="289" s="1"/>
  <c r="H19" i="289" s="1"/>
  <c r="I19" i="289" s="1"/>
  <c r="J19" i="289" s="1"/>
  <c r="K19" i="289" s="1"/>
  <c r="L19" i="289" s="1"/>
  <c r="M19" i="289" s="1"/>
  <c r="N19" i="289" s="1"/>
  <c r="O19" i="289" s="1"/>
  <c r="P19" i="289" s="1"/>
  <c r="Q19" i="289" s="1"/>
  <c r="R19" i="289" s="1"/>
  <c r="S19" i="289" s="1"/>
  <c r="T19" i="289" s="1"/>
  <c r="U19" i="289" s="1"/>
  <c r="V19" i="289" s="1"/>
  <c r="W19" i="289" s="1"/>
  <c r="X19" i="289" s="1"/>
  <c r="X15" i="289"/>
  <c r="W15" i="289"/>
  <c r="V15" i="289"/>
  <c r="U15" i="289"/>
  <c r="T15" i="289"/>
  <c r="S15" i="289"/>
  <c r="R15" i="289"/>
  <c r="Q15" i="289"/>
  <c r="P15" i="289"/>
  <c r="O15" i="289"/>
  <c r="N15" i="289"/>
  <c r="M15" i="289"/>
  <c r="L15" i="289"/>
  <c r="K15" i="289"/>
  <c r="J15" i="289"/>
  <c r="I15" i="289"/>
  <c r="H15" i="289"/>
  <c r="G15" i="289"/>
  <c r="F15" i="289"/>
  <c r="E15" i="289"/>
  <c r="D15" i="289"/>
  <c r="C15" i="289"/>
  <c r="C16" i="289" s="1"/>
  <c r="C17" i="289" s="1"/>
  <c r="C18" i="289" s="1"/>
  <c r="Y24" i="217"/>
  <c r="D23" i="217"/>
  <c r="X22" i="217"/>
  <c r="W22" i="217"/>
  <c r="V22" i="217"/>
  <c r="U22" i="217"/>
  <c r="T22" i="217"/>
  <c r="S22" i="217"/>
  <c r="R22" i="217"/>
  <c r="Q22" i="217"/>
  <c r="P22" i="217"/>
  <c r="O22" i="217"/>
  <c r="N22" i="217"/>
  <c r="M22" i="217"/>
  <c r="L22" i="217"/>
  <c r="K22" i="217"/>
  <c r="J22" i="217"/>
  <c r="I22" i="217"/>
  <c r="H22" i="217"/>
  <c r="G22" i="217"/>
  <c r="F22" i="217"/>
  <c r="E22" i="217"/>
  <c r="D22" i="217"/>
  <c r="C22" i="217"/>
  <c r="D21" i="217"/>
  <c r="C21" i="217"/>
  <c r="C28" i="217" s="1"/>
  <c r="X20" i="217"/>
  <c r="W20" i="217"/>
  <c r="V20" i="217"/>
  <c r="U20" i="217"/>
  <c r="T20" i="217"/>
  <c r="S20" i="217"/>
  <c r="R20" i="217"/>
  <c r="Q20" i="217"/>
  <c r="P20" i="217"/>
  <c r="O20" i="217"/>
  <c r="N20" i="217"/>
  <c r="M20" i="217"/>
  <c r="L20" i="217"/>
  <c r="K20" i="217"/>
  <c r="J20" i="217"/>
  <c r="I20" i="217"/>
  <c r="H20" i="217"/>
  <c r="G20" i="217"/>
  <c r="F20" i="217"/>
  <c r="E20" i="217"/>
  <c r="D20" i="217"/>
  <c r="C20" i="217"/>
  <c r="C27" i="217" s="1"/>
  <c r="C19" i="217"/>
  <c r="D19" i="217" s="1"/>
  <c r="E19" i="217" s="1"/>
  <c r="F19" i="217" s="1"/>
  <c r="G19" i="217" s="1"/>
  <c r="H19" i="217" s="1"/>
  <c r="I19" i="217" s="1"/>
  <c r="J19" i="217" s="1"/>
  <c r="K19" i="217" s="1"/>
  <c r="L19" i="217" s="1"/>
  <c r="M19" i="217" s="1"/>
  <c r="N19" i="217" s="1"/>
  <c r="O19" i="217" s="1"/>
  <c r="P19" i="217" s="1"/>
  <c r="Q19" i="217" s="1"/>
  <c r="R19" i="217" s="1"/>
  <c r="S19" i="217" s="1"/>
  <c r="T19" i="217" s="1"/>
  <c r="U19" i="217" s="1"/>
  <c r="V19" i="217" s="1"/>
  <c r="W19" i="217" s="1"/>
  <c r="X19" i="217" s="1"/>
  <c r="X15" i="217"/>
  <c r="W15" i="217"/>
  <c r="V15" i="217"/>
  <c r="U15" i="217"/>
  <c r="T15" i="217"/>
  <c r="S15" i="217"/>
  <c r="R15" i="217"/>
  <c r="Q15" i="217"/>
  <c r="P15" i="217"/>
  <c r="O15" i="217"/>
  <c r="N15" i="217"/>
  <c r="M15" i="217"/>
  <c r="L15" i="217"/>
  <c r="K15" i="217"/>
  <c r="J15" i="217"/>
  <c r="I15" i="217"/>
  <c r="H15" i="217"/>
  <c r="G15" i="217"/>
  <c r="F15" i="217"/>
  <c r="E15" i="217"/>
  <c r="D15" i="217"/>
  <c r="C15" i="217"/>
  <c r="C16" i="217" s="1"/>
  <c r="C17" i="217" s="1"/>
  <c r="C18" i="217" s="1"/>
  <c r="Y24" i="298"/>
  <c r="D23" i="298"/>
  <c r="X22" i="298"/>
  <c r="W22" i="298"/>
  <c r="V22" i="298"/>
  <c r="U22" i="298"/>
  <c r="T22" i="298"/>
  <c r="S22" i="298"/>
  <c r="R22" i="298"/>
  <c r="Q22" i="298"/>
  <c r="P22" i="298"/>
  <c r="O22" i="298"/>
  <c r="N22" i="298"/>
  <c r="M22" i="298"/>
  <c r="L22" i="298"/>
  <c r="K22" i="298"/>
  <c r="J22" i="298"/>
  <c r="I22" i="298"/>
  <c r="H22" i="298"/>
  <c r="G22" i="298"/>
  <c r="F22" i="298"/>
  <c r="E22" i="298"/>
  <c r="D22" i="298"/>
  <c r="C22" i="298"/>
  <c r="C29" i="298" s="1"/>
  <c r="D21" i="298"/>
  <c r="C21" i="298"/>
  <c r="C28" i="298" s="1"/>
  <c r="X20" i="298"/>
  <c r="W20" i="298"/>
  <c r="V20" i="298"/>
  <c r="U20" i="298"/>
  <c r="T20" i="298"/>
  <c r="S20" i="298"/>
  <c r="R20" i="298"/>
  <c r="Q20" i="298"/>
  <c r="P20" i="298"/>
  <c r="O20" i="298"/>
  <c r="N20" i="298"/>
  <c r="M20" i="298"/>
  <c r="L20" i="298"/>
  <c r="K20" i="298"/>
  <c r="J20" i="298"/>
  <c r="I20" i="298"/>
  <c r="H20" i="298"/>
  <c r="G20" i="298"/>
  <c r="F20" i="298"/>
  <c r="E20" i="298"/>
  <c r="D20" i="298"/>
  <c r="C20" i="298"/>
  <c r="C27" i="298" s="1"/>
  <c r="C19" i="298"/>
  <c r="D19" i="298" s="1"/>
  <c r="E19" i="298" s="1"/>
  <c r="F19" i="298" s="1"/>
  <c r="G19" i="298" s="1"/>
  <c r="H19" i="298" s="1"/>
  <c r="I19" i="298" s="1"/>
  <c r="J19" i="298" s="1"/>
  <c r="K19" i="298" s="1"/>
  <c r="L19" i="298" s="1"/>
  <c r="M19" i="298" s="1"/>
  <c r="N19" i="298" s="1"/>
  <c r="O19" i="298" s="1"/>
  <c r="P19" i="298" s="1"/>
  <c r="Q19" i="298" s="1"/>
  <c r="R19" i="298" s="1"/>
  <c r="S19" i="298" s="1"/>
  <c r="T19" i="298" s="1"/>
  <c r="U19" i="298" s="1"/>
  <c r="V19" i="298" s="1"/>
  <c r="W19" i="298" s="1"/>
  <c r="X19" i="298" s="1"/>
  <c r="X15" i="298"/>
  <c r="W15" i="298"/>
  <c r="V15" i="298"/>
  <c r="U15" i="298"/>
  <c r="T15" i="298"/>
  <c r="S15" i="298"/>
  <c r="R15" i="298"/>
  <c r="Q15" i="298"/>
  <c r="P15" i="298"/>
  <c r="O15" i="298"/>
  <c r="N15" i="298"/>
  <c r="M15" i="298"/>
  <c r="L15" i="298"/>
  <c r="K15" i="298"/>
  <c r="J15" i="298"/>
  <c r="I15" i="298"/>
  <c r="H15" i="298"/>
  <c r="G15" i="298"/>
  <c r="F15" i="298"/>
  <c r="E15" i="298"/>
  <c r="D15" i="298"/>
  <c r="C15" i="298"/>
  <c r="C16" i="298" s="1"/>
  <c r="C17" i="298" s="1"/>
  <c r="C18" i="298" s="1"/>
  <c r="C28" i="220"/>
  <c r="Y24" i="220"/>
  <c r="D23" i="220"/>
  <c r="X22" i="220"/>
  <c r="W22" i="220"/>
  <c r="V22" i="220"/>
  <c r="U22" i="220"/>
  <c r="T22" i="220"/>
  <c r="S22" i="220"/>
  <c r="R22" i="220"/>
  <c r="Q22" i="220"/>
  <c r="P22" i="220"/>
  <c r="O22" i="220"/>
  <c r="N22" i="220"/>
  <c r="M22" i="220"/>
  <c r="L22" i="220"/>
  <c r="K22" i="220"/>
  <c r="J22" i="220"/>
  <c r="I22" i="220"/>
  <c r="H22" i="220"/>
  <c r="G22" i="220"/>
  <c r="F22" i="220"/>
  <c r="E22" i="220"/>
  <c r="D22" i="220"/>
  <c r="C22" i="220"/>
  <c r="C29" i="220" s="1"/>
  <c r="D21" i="220"/>
  <c r="C21" i="220"/>
  <c r="X20" i="220"/>
  <c r="W20" i="220"/>
  <c r="V20" i="220"/>
  <c r="U20" i="220"/>
  <c r="T20" i="220"/>
  <c r="S20" i="220"/>
  <c r="R20" i="220"/>
  <c r="Q20" i="220"/>
  <c r="P20" i="220"/>
  <c r="O20" i="220"/>
  <c r="N20" i="220"/>
  <c r="M20" i="220"/>
  <c r="L20" i="220"/>
  <c r="K20" i="220"/>
  <c r="J20" i="220"/>
  <c r="I20" i="220"/>
  <c r="H20" i="220"/>
  <c r="G20" i="220"/>
  <c r="F20" i="220"/>
  <c r="E20" i="220"/>
  <c r="D20" i="220"/>
  <c r="C20" i="220"/>
  <c r="C27" i="220" s="1"/>
  <c r="C19" i="220"/>
  <c r="D19" i="220" s="1"/>
  <c r="E19" i="220" s="1"/>
  <c r="F19" i="220" s="1"/>
  <c r="G19" i="220" s="1"/>
  <c r="H19" i="220" s="1"/>
  <c r="I19" i="220" s="1"/>
  <c r="J19" i="220" s="1"/>
  <c r="K19" i="220" s="1"/>
  <c r="L19" i="220" s="1"/>
  <c r="M19" i="220" s="1"/>
  <c r="N19" i="220" s="1"/>
  <c r="O19" i="220" s="1"/>
  <c r="P19" i="220" s="1"/>
  <c r="Q19" i="220" s="1"/>
  <c r="R19" i="220" s="1"/>
  <c r="S19" i="220" s="1"/>
  <c r="T19" i="220" s="1"/>
  <c r="U19" i="220" s="1"/>
  <c r="V19" i="220" s="1"/>
  <c r="W19" i="220" s="1"/>
  <c r="X19" i="220" s="1"/>
  <c r="X15" i="220"/>
  <c r="W15" i="220"/>
  <c r="V15" i="220"/>
  <c r="U15" i="220"/>
  <c r="T15" i="220"/>
  <c r="S15" i="220"/>
  <c r="R15" i="220"/>
  <c r="Q15" i="220"/>
  <c r="P15" i="220"/>
  <c r="O15" i="220"/>
  <c r="N15" i="220"/>
  <c r="M15" i="220"/>
  <c r="L15" i="220"/>
  <c r="K15" i="220"/>
  <c r="J15" i="220"/>
  <c r="I15" i="220"/>
  <c r="H15" i="220"/>
  <c r="G15" i="220"/>
  <c r="F15" i="220"/>
  <c r="E15" i="220"/>
  <c r="D15" i="220"/>
  <c r="C15" i="220"/>
  <c r="C16" i="220" s="1"/>
  <c r="C17" i="220" s="1"/>
  <c r="C18" i="220" s="1"/>
  <c r="Y24" i="291"/>
  <c r="D23" i="291"/>
  <c r="X22" i="291"/>
  <c r="W22" i="291"/>
  <c r="V22" i="291"/>
  <c r="U22" i="291"/>
  <c r="T22" i="291"/>
  <c r="S22" i="291"/>
  <c r="R22" i="291"/>
  <c r="Q22" i="291"/>
  <c r="P22" i="291"/>
  <c r="O22" i="291"/>
  <c r="N22" i="291"/>
  <c r="M22" i="291"/>
  <c r="L22" i="291"/>
  <c r="K22" i="291"/>
  <c r="J22" i="291"/>
  <c r="I22" i="291"/>
  <c r="H22" i="291"/>
  <c r="G22" i="291"/>
  <c r="F22" i="291"/>
  <c r="E22" i="291"/>
  <c r="D22" i="291"/>
  <c r="E29" i="291" s="1"/>
  <c r="C22" i="291"/>
  <c r="C29" i="291" s="1"/>
  <c r="D21" i="291"/>
  <c r="C21" i="291"/>
  <c r="C28" i="291" s="1"/>
  <c r="X20" i="291"/>
  <c r="W20" i="291"/>
  <c r="V20" i="291"/>
  <c r="U20" i="291"/>
  <c r="T20" i="291"/>
  <c r="S20" i="291"/>
  <c r="R20" i="291"/>
  <c r="Q20" i="291"/>
  <c r="P20" i="291"/>
  <c r="O20" i="291"/>
  <c r="N20" i="291"/>
  <c r="M20" i="291"/>
  <c r="L20" i="291"/>
  <c r="K20" i="291"/>
  <c r="J20" i="291"/>
  <c r="I20" i="291"/>
  <c r="H20" i="291"/>
  <c r="G20" i="291"/>
  <c r="F20" i="291"/>
  <c r="E20" i="291"/>
  <c r="D20" i="291"/>
  <c r="C20" i="291"/>
  <c r="C27" i="291" s="1"/>
  <c r="D19" i="291"/>
  <c r="E19" i="291" s="1"/>
  <c r="F19" i="291" s="1"/>
  <c r="G19" i="291" s="1"/>
  <c r="H19" i="291" s="1"/>
  <c r="I19" i="291" s="1"/>
  <c r="J19" i="291" s="1"/>
  <c r="K19" i="291" s="1"/>
  <c r="L19" i="291" s="1"/>
  <c r="M19" i="291" s="1"/>
  <c r="N19" i="291" s="1"/>
  <c r="O19" i="291" s="1"/>
  <c r="P19" i="291" s="1"/>
  <c r="Q19" i="291" s="1"/>
  <c r="R19" i="291" s="1"/>
  <c r="S19" i="291" s="1"/>
  <c r="T19" i="291" s="1"/>
  <c r="U19" i="291" s="1"/>
  <c r="V19" i="291" s="1"/>
  <c r="W19" i="291" s="1"/>
  <c r="X19" i="291" s="1"/>
  <c r="C19" i="291"/>
  <c r="X15" i="291"/>
  <c r="W15" i="291"/>
  <c r="V15" i="291"/>
  <c r="U15" i="291"/>
  <c r="T15" i="291"/>
  <c r="S15" i="291"/>
  <c r="R15" i="291"/>
  <c r="Q15" i="291"/>
  <c r="P15" i="291"/>
  <c r="O15" i="291"/>
  <c r="N15" i="291"/>
  <c r="M15" i="291"/>
  <c r="L15" i="291"/>
  <c r="K15" i="291"/>
  <c r="J15" i="291"/>
  <c r="I15" i="291"/>
  <c r="H15" i="291"/>
  <c r="G15" i="291"/>
  <c r="F15" i="291"/>
  <c r="E15" i="291"/>
  <c r="D15" i="291"/>
  <c r="C15" i="291"/>
  <c r="C16" i="291" s="1"/>
  <c r="C17" i="291" s="1"/>
  <c r="C18" i="291" s="1"/>
  <c r="Y24" i="195"/>
  <c r="D23" i="195"/>
  <c r="X22" i="195"/>
  <c r="W22" i="195"/>
  <c r="V22" i="195"/>
  <c r="U22" i="195"/>
  <c r="T22" i="195"/>
  <c r="S22" i="195"/>
  <c r="R22" i="195"/>
  <c r="Q22" i="195"/>
  <c r="P22" i="195"/>
  <c r="O22" i="195"/>
  <c r="N22" i="195"/>
  <c r="M22" i="195"/>
  <c r="L22" i="195"/>
  <c r="K22" i="195"/>
  <c r="J22" i="195"/>
  <c r="I22" i="195"/>
  <c r="H22" i="195"/>
  <c r="G22" i="195"/>
  <c r="F22" i="195"/>
  <c r="E22" i="195"/>
  <c r="D22" i="195"/>
  <c r="C22" i="195"/>
  <c r="D21" i="195"/>
  <c r="C21" i="195"/>
  <c r="X20" i="195"/>
  <c r="W20" i="195"/>
  <c r="V20" i="195"/>
  <c r="U20" i="195"/>
  <c r="T20" i="195"/>
  <c r="S20" i="195"/>
  <c r="R20" i="195"/>
  <c r="Q20" i="195"/>
  <c r="P20" i="195"/>
  <c r="O20" i="195"/>
  <c r="N20" i="195"/>
  <c r="M20" i="195"/>
  <c r="L20" i="195"/>
  <c r="K20" i="195"/>
  <c r="J20" i="195"/>
  <c r="I20" i="195"/>
  <c r="H20" i="195"/>
  <c r="G20" i="195"/>
  <c r="F20" i="195"/>
  <c r="E20" i="195"/>
  <c r="D20" i="195"/>
  <c r="C20" i="195"/>
  <c r="C19" i="195"/>
  <c r="D19" i="195" s="1"/>
  <c r="E19" i="195" s="1"/>
  <c r="F19" i="195" s="1"/>
  <c r="G19" i="195" s="1"/>
  <c r="H19" i="195" s="1"/>
  <c r="I19" i="195" s="1"/>
  <c r="J19" i="195" s="1"/>
  <c r="K19" i="195" s="1"/>
  <c r="L19" i="195" s="1"/>
  <c r="M19" i="195" s="1"/>
  <c r="N19" i="195" s="1"/>
  <c r="O19" i="195" s="1"/>
  <c r="P19" i="195" s="1"/>
  <c r="Q19" i="195" s="1"/>
  <c r="R19" i="195" s="1"/>
  <c r="S19" i="195" s="1"/>
  <c r="T19" i="195" s="1"/>
  <c r="U19" i="195" s="1"/>
  <c r="V19" i="195" s="1"/>
  <c r="W19" i="195" s="1"/>
  <c r="X19" i="195" s="1"/>
  <c r="X15" i="195"/>
  <c r="W15" i="195"/>
  <c r="V15" i="195"/>
  <c r="U15" i="195"/>
  <c r="T15" i="195"/>
  <c r="S15" i="195"/>
  <c r="R15" i="195"/>
  <c r="Q15" i="195"/>
  <c r="P15" i="195"/>
  <c r="O15" i="195"/>
  <c r="N15" i="195"/>
  <c r="M15" i="195"/>
  <c r="L15" i="195"/>
  <c r="K15" i="195"/>
  <c r="J15" i="195"/>
  <c r="I15" i="195"/>
  <c r="H15" i="195"/>
  <c r="G15" i="195"/>
  <c r="F15" i="195"/>
  <c r="E15" i="195"/>
  <c r="D15" i="195"/>
  <c r="C15" i="195"/>
  <c r="C16" i="195" s="1"/>
  <c r="Y24" i="261"/>
  <c r="D23" i="261"/>
  <c r="X22" i="261"/>
  <c r="W22" i="261"/>
  <c r="V22" i="261"/>
  <c r="U22" i="261"/>
  <c r="T22" i="261"/>
  <c r="S22" i="261"/>
  <c r="R22" i="261"/>
  <c r="Q22" i="261"/>
  <c r="P22" i="261"/>
  <c r="O22" i="261"/>
  <c r="N22" i="261"/>
  <c r="M22" i="261"/>
  <c r="L22" i="261"/>
  <c r="K22" i="261"/>
  <c r="J22" i="261"/>
  <c r="I22" i="261"/>
  <c r="H22" i="261"/>
  <c r="G22" i="261"/>
  <c r="F22" i="261"/>
  <c r="E22" i="261"/>
  <c r="D22" i="261"/>
  <c r="C22" i="261"/>
  <c r="D21" i="261"/>
  <c r="C21" i="261"/>
  <c r="C28" i="261" s="1"/>
  <c r="X20" i="261"/>
  <c r="W20" i="261"/>
  <c r="V20" i="261"/>
  <c r="U20" i="261"/>
  <c r="T20" i="261"/>
  <c r="S20" i="261"/>
  <c r="R20" i="261"/>
  <c r="Q20" i="261"/>
  <c r="P20" i="261"/>
  <c r="O20" i="261"/>
  <c r="N20" i="261"/>
  <c r="M20" i="261"/>
  <c r="L20" i="261"/>
  <c r="K20" i="261"/>
  <c r="J20" i="261"/>
  <c r="I20" i="261"/>
  <c r="H20" i="261"/>
  <c r="G20" i="261"/>
  <c r="F20" i="261"/>
  <c r="E20" i="261"/>
  <c r="D20" i="261"/>
  <c r="C20" i="261"/>
  <c r="C19" i="261"/>
  <c r="D19" i="261" s="1"/>
  <c r="E19" i="261" s="1"/>
  <c r="F19" i="261" s="1"/>
  <c r="G19" i="261" s="1"/>
  <c r="H19" i="261" s="1"/>
  <c r="I19" i="261" s="1"/>
  <c r="J19" i="261" s="1"/>
  <c r="K19" i="261" s="1"/>
  <c r="L19" i="261" s="1"/>
  <c r="M19" i="261" s="1"/>
  <c r="N19" i="261" s="1"/>
  <c r="O19" i="261" s="1"/>
  <c r="P19" i="261" s="1"/>
  <c r="Q19" i="261" s="1"/>
  <c r="R19" i="261" s="1"/>
  <c r="S19" i="261" s="1"/>
  <c r="T19" i="261" s="1"/>
  <c r="U19" i="261" s="1"/>
  <c r="V19" i="261" s="1"/>
  <c r="W19" i="261" s="1"/>
  <c r="X19" i="261" s="1"/>
  <c r="X15" i="261"/>
  <c r="W15" i="261"/>
  <c r="V15" i="261"/>
  <c r="U15" i="261"/>
  <c r="T15" i="261"/>
  <c r="S15" i="261"/>
  <c r="R15" i="261"/>
  <c r="Q15" i="261"/>
  <c r="P15" i="261"/>
  <c r="O15" i="261"/>
  <c r="N15" i="261"/>
  <c r="M15" i="261"/>
  <c r="L15" i="261"/>
  <c r="K15" i="261"/>
  <c r="J15" i="261"/>
  <c r="I15" i="261"/>
  <c r="H15" i="261"/>
  <c r="G15" i="261"/>
  <c r="F15" i="261"/>
  <c r="E15" i="261"/>
  <c r="D15" i="261"/>
  <c r="C15" i="261"/>
  <c r="C16" i="261" s="1"/>
  <c r="C28" i="257"/>
  <c r="Y24" i="257"/>
  <c r="D23" i="257"/>
  <c r="X22" i="257"/>
  <c r="W22" i="257"/>
  <c r="V22" i="257"/>
  <c r="U22" i="257"/>
  <c r="T22" i="257"/>
  <c r="S22" i="257"/>
  <c r="R22" i="257"/>
  <c r="Q22" i="257"/>
  <c r="P22" i="257"/>
  <c r="O22" i="257"/>
  <c r="N22" i="257"/>
  <c r="M22" i="257"/>
  <c r="L22" i="257"/>
  <c r="K22" i="257"/>
  <c r="J22" i="257"/>
  <c r="I22" i="257"/>
  <c r="H22" i="257"/>
  <c r="G22" i="257"/>
  <c r="F22" i="257"/>
  <c r="E22" i="257"/>
  <c r="D22" i="257"/>
  <c r="C22" i="257"/>
  <c r="C29" i="257" s="1"/>
  <c r="D21" i="257"/>
  <c r="C21" i="257"/>
  <c r="X20" i="257"/>
  <c r="W20" i="257"/>
  <c r="V20" i="257"/>
  <c r="U20" i="257"/>
  <c r="T20" i="257"/>
  <c r="S20" i="257"/>
  <c r="R20" i="257"/>
  <c r="Q20" i="257"/>
  <c r="P20" i="257"/>
  <c r="O20" i="257"/>
  <c r="N20" i="257"/>
  <c r="M20" i="257"/>
  <c r="L20" i="257"/>
  <c r="K20" i="257"/>
  <c r="J20" i="257"/>
  <c r="I20" i="257"/>
  <c r="H20" i="257"/>
  <c r="G20" i="257"/>
  <c r="F20" i="257"/>
  <c r="E20" i="257"/>
  <c r="D20" i="257"/>
  <c r="C20" i="257"/>
  <c r="C27" i="257" s="1"/>
  <c r="D19" i="257"/>
  <c r="E19" i="257" s="1"/>
  <c r="F19" i="257" s="1"/>
  <c r="G19" i="257" s="1"/>
  <c r="H19" i="257" s="1"/>
  <c r="I19" i="257" s="1"/>
  <c r="J19" i="257" s="1"/>
  <c r="K19" i="257" s="1"/>
  <c r="L19" i="257" s="1"/>
  <c r="M19" i="257" s="1"/>
  <c r="N19" i="257" s="1"/>
  <c r="O19" i="257" s="1"/>
  <c r="P19" i="257" s="1"/>
  <c r="Q19" i="257" s="1"/>
  <c r="R19" i="257" s="1"/>
  <c r="S19" i="257" s="1"/>
  <c r="T19" i="257" s="1"/>
  <c r="U19" i="257" s="1"/>
  <c r="V19" i="257" s="1"/>
  <c r="W19" i="257" s="1"/>
  <c r="X19" i="257" s="1"/>
  <c r="C19" i="257"/>
  <c r="X15" i="257"/>
  <c r="W15" i="257"/>
  <c r="V15" i="257"/>
  <c r="U15" i="257"/>
  <c r="T15" i="257"/>
  <c r="S15" i="257"/>
  <c r="R15" i="257"/>
  <c r="Q15" i="257"/>
  <c r="P15" i="257"/>
  <c r="O15" i="257"/>
  <c r="N15" i="257"/>
  <c r="M15" i="257"/>
  <c r="L15" i="257"/>
  <c r="K15" i="257"/>
  <c r="J15" i="257"/>
  <c r="I15" i="257"/>
  <c r="H15" i="257"/>
  <c r="G15" i="257"/>
  <c r="F15" i="257"/>
  <c r="E15" i="257"/>
  <c r="D15" i="257"/>
  <c r="C15" i="257"/>
  <c r="C16" i="257" s="1"/>
  <c r="C17" i="257" s="1"/>
  <c r="C18" i="257" s="1"/>
  <c r="Y24" i="242"/>
  <c r="D23" i="242"/>
  <c r="X22" i="242"/>
  <c r="W22" i="242"/>
  <c r="V22" i="242"/>
  <c r="U22" i="242"/>
  <c r="T22" i="242"/>
  <c r="S22" i="242"/>
  <c r="R22" i="242"/>
  <c r="Q22" i="242"/>
  <c r="P22" i="242"/>
  <c r="O22" i="242"/>
  <c r="N22" i="242"/>
  <c r="M22" i="242"/>
  <c r="L22" i="242"/>
  <c r="K22" i="242"/>
  <c r="J22" i="242"/>
  <c r="I22" i="242"/>
  <c r="H22" i="242"/>
  <c r="G22" i="242"/>
  <c r="F22" i="242"/>
  <c r="E22" i="242"/>
  <c r="D22" i="242"/>
  <c r="C22" i="242"/>
  <c r="C29" i="242" s="1"/>
  <c r="D21" i="242"/>
  <c r="C21" i="242"/>
  <c r="C28" i="242" s="1"/>
  <c r="X20" i="242"/>
  <c r="W20" i="242"/>
  <c r="V20" i="242"/>
  <c r="U20" i="242"/>
  <c r="T20" i="242"/>
  <c r="S20" i="242"/>
  <c r="R20" i="242"/>
  <c r="Q20" i="242"/>
  <c r="P20" i="242"/>
  <c r="O20" i="242"/>
  <c r="N20" i="242"/>
  <c r="M20" i="242"/>
  <c r="L20" i="242"/>
  <c r="K20" i="242"/>
  <c r="J20" i="242"/>
  <c r="I20" i="242"/>
  <c r="H20" i="242"/>
  <c r="G20" i="242"/>
  <c r="F20" i="242"/>
  <c r="E20" i="242"/>
  <c r="D20" i="242"/>
  <c r="C20" i="242"/>
  <c r="C27" i="242" s="1"/>
  <c r="C19" i="242"/>
  <c r="D19" i="242" s="1"/>
  <c r="E19" i="242" s="1"/>
  <c r="F19" i="242" s="1"/>
  <c r="G19" i="242" s="1"/>
  <c r="H19" i="242" s="1"/>
  <c r="I19" i="242" s="1"/>
  <c r="J19" i="242" s="1"/>
  <c r="K19" i="242" s="1"/>
  <c r="L19" i="242" s="1"/>
  <c r="M19" i="242" s="1"/>
  <c r="N19" i="242" s="1"/>
  <c r="O19" i="242" s="1"/>
  <c r="P19" i="242" s="1"/>
  <c r="Q19" i="242" s="1"/>
  <c r="R19" i="242" s="1"/>
  <c r="S19" i="242" s="1"/>
  <c r="T19" i="242" s="1"/>
  <c r="U19" i="242" s="1"/>
  <c r="V19" i="242" s="1"/>
  <c r="W19" i="242" s="1"/>
  <c r="X19" i="242" s="1"/>
  <c r="X15" i="242"/>
  <c r="W15" i="242"/>
  <c r="V15" i="242"/>
  <c r="U15" i="242"/>
  <c r="T15" i="242"/>
  <c r="S15" i="242"/>
  <c r="R15" i="242"/>
  <c r="Q15" i="242"/>
  <c r="P15" i="242"/>
  <c r="O15" i="242"/>
  <c r="N15" i="242"/>
  <c r="M15" i="242"/>
  <c r="L15" i="242"/>
  <c r="K15" i="242"/>
  <c r="J15" i="242"/>
  <c r="I15" i="242"/>
  <c r="H15" i="242"/>
  <c r="G15" i="242"/>
  <c r="F15" i="242"/>
  <c r="E15" i="242"/>
  <c r="D15" i="242"/>
  <c r="C15" i="242"/>
  <c r="C16" i="242" s="1"/>
  <c r="C17" i="242" s="1"/>
  <c r="C18" i="242" s="1"/>
  <c r="Y24" i="123"/>
  <c r="D23" i="123"/>
  <c r="X22" i="123"/>
  <c r="W22" i="123"/>
  <c r="V22" i="123"/>
  <c r="U22" i="123"/>
  <c r="T22" i="123"/>
  <c r="S22" i="123"/>
  <c r="R22" i="123"/>
  <c r="Q22" i="123"/>
  <c r="P22" i="123"/>
  <c r="O22" i="123"/>
  <c r="N22" i="123"/>
  <c r="M22" i="123"/>
  <c r="L22" i="123"/>
  <c r="K22" i="123"/>
  <c r="J22" i="123"/>
  <c r="I22" i="123"/>
  <c r="H22" i="123"/>
  <c r="G22" i="123"/>
  <c r="F22" i="123"/>
  <c r="E22" i="123"/>
  <c r="D22" i="123"/>
  <c r="C22" i="123"/>
  <c r="D21" i="123"/>
  <c r="C21" i="123"/>
  <c r="C28" i="123" s="1"/>
  <c r="X20" i="123"/>
  <c r="W20" i="123"/>
  <c r="V20" i="123"/>
  <c r="U20" i="123"/>
  <c r="T20" i="123"/>
  <c r="S20" i="123"/>
  <c r="R20" i="123"/>
  <c r="Q20" i="123"/>
  <c r="P20" i="123"/>
  <c r="O20" i="123"/>
  <c r="N20" i="123"/>
  <c r="M20" i="123"/>
  <c r="L20" i="123"/>
  <c r="K20" i="123"/>
  <c r="J20" i="123"/>
  <c r="I20" i="123"/>
  <c r="H20" i="123"/>
  <c r="G20" i="123"/>
  <c r="F20" i="123"/>
  <c r="E20" i="123"/>
  <c r="D20" i="123"/>
  <c r="C20" i="123"/>
  <c r="C19" i="123"/>
  <c r="D19" i="123" s="1"/>
  <c r="E19" i="123" s="1"/>
  <c r="F19" i="123" s="1"/>
  <c r="G19" i="123" s="1"/>
  <c r="H19" i="123" s="1"/>
  <c r="I19" i="123" s="1"/>
  <c r="J19" i="123" s="1"/>
  <c r="K19" i="123" s="1"/>
  <c r="L19" i="123" s="1"/>
  <c r="M19" i="123" s="1"/>
  <c r="N19" i="123" s="1"/>
  <c r="O19" i="123" s="1"/>
  <c r="P19" i="123" s="1"/>
  <c r="Q19" i="123" s="1"/>
  <c r="R19" i="123" s="1"/>
  <c r="S19" i="123" s="1"/>
  <c r="T19" i="123" s="1"/>
  <c r="U19" i="123" s="1"/>
  <c r="V19" i="123" s="1"/>
  <c r="W19" i="123" s="1"/>
  <c r="X19" i="123" s="1"/>
  <c r="X15" i="123"/>
  <c r="W15" i="123"/>
  <c r="V15" i="123"/>
  <c r="U15" i="123"/>
  <c r="T15" i="123"/>
  <c r="S15" i="123"/>
  <c r="R15" i="123"/>
  <c r="Q15" i="123"/>
  <c r="P15" i="123"/>
  <c r="O15" i="123"/>
  <c r="N15" i="123"/>
  <c r="M15" i="123"/>
  <c r="L15" i="123"/>
  <c r="K15" i="123"/>
  <c r="J15" i="123"/>
  <c r="I15" i="123"/>
  <c r="H15" i="123"/>
  <c r="G15" i="123"/>
  <c r="F15" i="123"/>
  <c r="E15" i="123"/>
  <c r="D15" i="123"/>
  <c r="C15" i="123"/>
  <c r="C16" i="123" s="1"/>
  <c r="Y24" i="188"/>
  <c r="D23" i="188"/>
  <c r="X22" i="188"/>
  <c r="W22" i="188"/>
  <c r="V22" i="188"/>
  <c r="U22" i="188"/>
  <c r="T22" i="188"/>
  <c r="S22" i="188"/>
  <c r="R22" i="188"/>
  <c r="Q22" i="188"/>
  <c r="P22" i="188"/>
  <c r="O22" i="188"/>
  <c r="N22" i="188"/>
  <c r="M22" i="188"/>
  <c r="L22" i="188"/>
  <c r="K22" i="188"/>
  <c r="J22" i="188"/>
  <c r="I22" i="188"/>
  <c r="H22" i="188"/>
  <c r="G22" i="188"/>
  <c r="F22" i="188"/>
  <c r="E22" i="188"/>
  <c r="D22" i="188"/>
  <c r="C22" i="188"/>
  <c r="D21" i="188"/>
  <c r="C21" i="188"/>
  <c r="C28" i="188" s="1"/>
  <c r="X20" i="188"/>
  <c r="W20" i="188"/>
  <c r="V20" i="188"/>
  <c r="U20" i="188"/>
  <c r="T20" i="188"/>
  <c r="S20" i="188"/>
  <c r="R20" i="188"/>
  <c r="Q20" i="188"/>
  <c r="P20" i="188"/>
  <c r="O20" i="188"/>
  <c r="N20" i="188"/>
  <c r="M20" i="188"/>
  <c r="L20" i="188"/>
  <c r="K20" i="188"/>
  <c r="J20" i="188"/>
  <c r="I20" i="188"/>
  <c r="H20" i="188"/>
  <c r="G20" i="188"/>
  <c r="F20" i="188"/>
  <c r="E20" i="188"/>
  <c r="D20" i="188"/>
  <c r="C20" i="188"/>
  <c r="C19" i="188"/>
  <c r="D19" i="188" s="1"/>
  <c r="E19" i="188" s="1"/>
  <c r="F19" i="188" s="1"/>
  <c r="G19" i="188" s="1"/>
  <c r="H19" i="188" s="1"/>
  <c r="I19" i="188" s="1"/>
  <c r="J19" i="188" s="1"/>
  <c r="K19" i="188" s="1"/>
  <c r="L19" i="188" s="1"/>
  <c r="M19" i="188" s="1"/>
  <c r="N19" i="188" s="1"/>
  <c r="O19" i="188" s="1"/>
  <c r="P19" i="188" s="1"/>
  <c r="Q19" i="188" s="1"/>
  <c r="R19" i="188" s="1"/>
  <c r="S19" i="188" s="1"/>
  <c r="T19" i="188" s="1"/>
  <c r="U19" i="188" s="1"/>
  <c r="V19" i="188" s="1"/>
  <c r="W19" i="188" s="1"/>
  <c r="X19" i="188" s="1"/>
  <c r="X15" i="188"/>
  <c r="W15" i="188"/>
  <c r="V15" i="188"/>
  <c r="U15" i="188"/>
  <c r="T15" i="188"/>
  <c r="S15" i="188"/>
  <c r="R15" i="188"/>
  <c r="Q15" i="188"/>
  <c r="P15" i="188"/>
  <c r="O15" i="188"/>
  <c r="N15" i="188"/>
  <c r="M15" i="188"/>
  <c r="L15" i="188"/>
  <c r="K15" i="188"/>
  <c r="J15" i="188"/>
  <c r="I15" i="188"/>
  <c r="H15" i="188"/>
  <c r="G15" i="188"/>
  <c r="F15" i="188"/>
  <c r="E15" i="188"/>
  <c r="D15" i="188"/>
  <c r="C15" i="188"/>
  <c r="C16" i="188" s="1"/>
  <c r="C17" i="188" s="1"/>
  <c r="C18" i="188" s="1"/>
  <c r="Y24" i="235"/>
  <c r="D23" i="235"/>
  <c r="X22" i="235"/>
  <c r="W22" i="235"/>
  <c r="V22" i="235"/>
  <c r="U22" i="235"/>
  <c r="T22" i="235"/>
  <c r="S22" i="235"/>
  <c r="R22" i="235"/>
  <c r="Q22" i="235"/>
  <c r="P22" i="235"/>
  <c r="O22" i="235"/>
  <c r="N22" i="235"/>
  <c r="M22" i="235"/>
  <c r="L22" i="235"/>
  <c r="K22" i="235"/>
  <c r="J22" i="235"/>
  <c r="I22" i="235"/>
  <c r="H22" i="235"/>
  <c r="G22" i="235"/>
  <c r="F22" i="235"/>
  <c r="E22" i="235"/>
  <c r="D22" i="235"/>
  <c r="C22" i="235"/>
  <c r="C29" i="235" s="1"/>
  <c r="D21" i="235"/>
  <c r="C21" i="235"/>
  <c r="C28" i="235" s="1"/>
  <c r="X20" i="235"/>
  <c r="W20" i="235"/>
  <c r="V20" i="235"/>
  <c r="U20" i="235"/>
  <c r="T20" i="235"/>
  <c r="S20" i="235"/>
  <c r="R20" i="235"/>
  <c r="Q20" i="235"/>
  <c r="P20" i="235"/>
  <c r="O20" i="235"/>
  <c r="N20" i="235"/>
  <c r="M20" i="235"/>
  <c r="L20" i="235"/>
  <c r="K20" i="235"/>
  <c r="J20" i="235"/>
  <c r="I20" i="235"/>
  <c r="H20" i="235"/>
  <c r="G20" i="235"/>
  <c r="F20" i="235"/>
  <c r="E20" i="235"/>
  <c r="D20" i="235"/>
  <c r="C20" i="235"/>
  <c r="C27" i="235" s="1"/>
  <c r="D19" i="235"/>
  <c r="E19" i="235" s="1"/>
  <c r="F19" i="235" s="1"/>
  <c r="G19" i="235" s="1"/>
  <c r="H19" i="235" s="1"/>
  <c r="I19" i="235" s="1"/>
  <c r="J19" i="235" s="1"/>
  <c r="K19" i="235" s="1"/>
  <c r="L19" i="235" s="1"/>
  <c r="M19" i="235" s="1"/>
  <c r="N19" i="235" s="1"/>
  <c r="O19" i="235" s="1"/>
  <c r="P19" i="235" s="1"/>
  <c r="Q19" i="235" s="1"/>
  <c r="R19" i="235" s="1"/>
  <c r="S19" i="235" s="1"/>
  <c r="T19" i="235" s="1"/>
  <c r="U19" i="235" s="1"/>
  <c r="V19" i="235" s="1"/>
  <c r="W19" i="235" s="1"/>
  <c r="X19" i="235" s="1"/>
  <c r="C19" i="235"/>
  <c r="X15" i="235"/>
  <c r="W15" i="235"/>
  <c r="V15" i="235"/>
  <c r="U15" i="235"/>
  <c r="T15" i="235"/>
  <c r="S15" i="235"/>
  <c r="R15" i="235"/>
  <c r="Q15" i="235"/>
  <c r="P15" i="235"/>
  <c r="O15" i="235"/>
  <c r="N15" i="235"/>
  <c r="M15" i="235"/>
  <c r="L15" i="235"/>
  <c r="K15" i="235"/>
  <c r="J15" i="235"/>
  <c r="I15" i="235"/>
  <c r="H15" i="235"/>
  <c r="G15" i="235"/>
  <c r="F15" i="235"/>
  <c r="E15" i="235"/>
  <c r="D15" i="235"/>
  <c r="D16" i="235" s="1"/>
  <c r="D17" i="235" s="1"/>
  <c r="D18" i="235" s="1"/>
  <c r="C15" i="235"/>
  <c r="C16" i="235" s="1"/>
  <c r="C17" i="235" s="1"/>
  <c r="C18" i="235" s="1"/>
  <c r="E29" i="246"/>
  <c r="Y24" i="246"/>
  <c r="D23" i="246"/>
  <c r="X22" i="246"/>
  <c r="W22" i="246"/>
  <c r="V22" i="246"/>
  <c r="U22" i="246"/>
  <c r="T22" i="246"/>
  <c r="S22" i="246"/>
  <c r="R22" i="246"/>
  <c r="Q22" i="246"/>
  <c r="P22" i="246"/>
  <c r="O22" i="246"/>
  <c r="N22" i="246"/>
  <c r="M22" i="246"/>
  <c r="L22" i="246"/>
  <c r="K22" i="246"/>
  <c r="J22" i="246"/>
  <c r="I22" i="246"/>
  <c r="H22" i="246"/>
  <c r="G22" i="246"/>
  <c r="F22" i="246"/>
  <c r="E22" i="246"/>
  <c r="D22" i="246"/>
  <c r="C22" i="246"/>
  <c r="C29" i="246" s="1"/>
  <c r="D21" i="246"/>
  <c r="C21" i="246"/>
  <c r="C28" i="246" s="1"/>
  <c r="X20" i="246"/>
  <c r="W20" i="246"/>
  <c r="V20" i="246"/>
  <c r="U20" i="246"/>
  <c r="T20" i="246"/>
  <c r="S20" i="246"/>
  <c r="R20" i="246"/>
  <c r="Q20" i="246"/>
  <c r="P20" i="246"/>
  <c r="O20" i="246"/>
  <c r="N20" i="246"/>
  <c r="M20" i="246"/>
  <c r="L20" i="246"/>
  <c r="K20" i="246"/>
  <c r="J20" i="246"/>
  <c r="I20" i="246"/>
  <c r="H20" i="246"/>
  <c r="G20" i="246"/>
  <c r="F20" i="246"/>
  <c r="E20" i="246"/>
  <c r="D20" i="246"/>
  <c r="C20" i="246"/>
  <c r="C27" i="246" s="1"/>
  <c r="C19" i="246"/>
  <c r="D19" i="246" s="1"/>
  <c r="E19" i="246" s="1"/>
  <c r="F19" i="246" s="1"/>
  <c r="G19" i="246" s="1"/>
  <c r="H19" i="246" s="1"/>
  <c r="I19" i="246" s="1"/>
  <c r="J19" i="246" s="1"/>
  <c r="K19" i="246" s="1"/>
  <c r="L19" i="246" s="1"/>
  <c r="M19" i="246" s="1"/>
  <c r="N19" i="246" s="1"/>
  <c r="O19" i="246" s="1"/>
  <c r="P19" i="246" s="1"/>
  <c r="Q19" i="246" s="1"/>
  <c r="R19" i="246" s="1"/>
  <c r="S19" i="246" s="1"/>
  <c r="T19" i="246" s="1"/>
  <c r="U19" i="246" s="1"/>
  <c r="V19" i="246" s="1"/>
  <c r="W19" i="246" s="1"/>
  <c r="X19" i="246" s="1"/>
  <c r="X15" i="246"/>
  <c r="W15" i="246"/>
  <c r="V15" i="246"/>
  <c r="U15" i="246"/>
  <c r="T15" i="246"/>
  <c r="S15" i="246"/>
  <c r="R15" i="246"/>
  <c r="Q15" i="246"/>
  <c r="P15" i="246"/>
  <c r="O15" i="246"/>
  <c r="N15" i="246"/>
  <c r="M15" i="246"/>
  <c r="L15" i="246"/>
  <c r="K15" i="246"/>
  <c r="J15" i="246"/>
  <c r="I15" i="246"/>
  <c r="H15" i="246"/>
  <c r="G15" i="246"/>
  <c r="F15" i="246"/>
  <c r="E15" i="246"/>
  <c r="D15" i="246"/>
  <c r="C15" i="246"/>
  <c r="C16" i="246" s="1"/>
  <c r="C17" i="246" s="1"/>
  <c r="C18" i="246" s="1"/>
  <c r="Y24" i="208"/>
  <c r="D23" i="208"/>
  <c r="X22" i="208"/>
  <c r="W22" i="208"/>
  <c r="V22" i="208"/>
  <c r="U22" i="208"/>
  <c r="T22" i="208"/>
  <c r="S22" i="208"/>
  <c r="R22" i="208"/>
  <c r="Q22" i="208"/>
  <c r="P22" i="208"/>
  <c r="O22" i="208"/>
  <c r="N22" i="208"/>
  <c r="M22" i="208"/>
  <c r="L22" i="208"/>
  <c r="K22" i="208"/>
  <c r="J22" i="208"/>
  <c r="I22" i="208"/>
  <c r="H22" i="208"/>
  <c r="G22" i="208"/>
  <c r="F22" i="208"/>
  <c r="E22" i="208"/>
  <c r="D22" i="208"/>
  <c r="C22" i="208"/>
  <c r="C29" i="208" s="1"/>
  <c r="D21" i="208"/>
  <c r="C21" i="208"/>
  <c r="C28" i="208" s="1"/>
  <c r="X20" i="208"/>
  <c r="W20" i="208"/>
  <c r="V20" i="208"/>
  <c r="U20" i="208"/>
  <c r="T20" i="208"/>
  <c r="S20" i="208"/>
  <c r="R20" i="208"/>
  <c r="Q20" i="208"/>
  <c r="P20" i="208"/>
  <c r="O20" i="208"/>
  <c r="N20" i="208"/>
  <c r="M20" i="208"/>
  <c r="L20" i="208"/>
  <c r="K20" i="208"/>
  <c r="J20" i="208"/>
  <c r="I20" i="208"/>
  <c r="H20" i="208"/>
  <c r="G20" i="208"/>
  <c r="F20" i="208"/>
  <c r="E20" i="208"/>
  <c r="D20" i="208"/>
  <c r="C20" i="208"/>
  <c r="C27" i="208" s="1"/>
  <c r="D19" i="208"/>
  <c r="E19" i="208" s="1"/>
  <c r="F19" i="208" s="1"/>
  <c r="G19" i="208" s="1"/>
  <c r="H19" i="208" s="1"/>
  <c r="I19" i="208" s="1"/>
  <c r="J19" i="208" s="1"/>
  <c r="K19" i="208" s="1"/>
  <c r="L19" i="208" s="1"/>
  <c r="M19" i="208" s="1"/>
  <c r="N19" i="208" s="1"/>
  <c r="O19" i="208" s="1"/>
  <c r="P19" i="208" s="1"/>
  <c r="Q19" i="208" s="1"/>
  <c r="R19" i="208" s="1"/>
  <c r="S19" i="208" s="1"/>
  <c r="T19" i="208" s="1"/>
  <c r="U19" i="208" s="1"/>
  <c r="V19" i="208" s="1"/>
  <c r="W19" i="208" s="1"/>
  <c r="X19" i="208" s="1"/>
  <c r="C19" i="208"/>
  <c r="X15" i="208"/>
  <c r="W15" i="208"/>
  <c r="V15" i="208"/>
  <c r="U15" i="208"/>
  <c r="T15" i="208"/>
  <c r="S15" i="208"/>
  <c r="R15" i="208"/>
  <c r="Q15" i="208"/>
  <c r="P15" i="208"/>
  <c r="O15" i="208"/>
  <c r="N15" i="208"/>
  <c r="M15" i="208"/>
  <c r="L15" i="208"/>
  <c r="K15" i="208"/>
  <c r="J15" i="208"/>
  <c r="I15" i="208"/>
  <c r="H15" i="208"/>
  <c r="G15" i="208"/>
  <c r="F15" i="208"/>
  <c r="E15" i="208"/>
  <c r="D15" i="208"/>
  <c r="C15" i="208"/>
  <c r="C16" i="208" s="1"/>
  <c r="C17" i="208" s="1"/>
  <c r="C18" i="208" s="1"/>
  <c r="C29" i="281"/>
  <c r="Y24" i="281"/>
  <c r="D23" i="281"/>
  <c r="X22" i="281"/>
  <c r="W22" i="281"/>
  <c r="V22" i="281"/>
  <c r="U22" i="281"/>
  <c r="T22" i="281"/>
  <c r="S22" i="281"/>
  <c r="R22" i="281"/>
  <c r="Q22" i="281"/>
  <c r="P22" i="281"/>
  <c r="O22" i="281"/>
  <c r="N22" i="281"/>
  <c r="M22" i="281"/>
  <c r="L22" i="281"/>
  <c r="K22" i="281"/>
  <c r="J22" i="281"/>
  <c r="I22" i="281"/>
  <c r="H22" i="281"/>
  <c r="G22" i="281"/>
  <c r="F22" i="281"/>
  <c r="E22" i="281"/>
  <c r="E29" i="281" s="1"/>
  <c r="D22" i="281"/>
  <c r="C22" i="281"/>
  <c r="D21" i="281"/>
  <c r="C21" i="281"/>
  <c r="C28" i="281" s="1"/>
  <c r="X20" i="281"/>
  <c r="W20" i="281"/>
  <c r="V20" i="281"/>
  <c r="U20" i="281"/>
  <c r="T20" i="281"/>
  <c r="S20" i="281"/>
  <c r="R20" i="281"/>
  <c r="Q20" i="281"/>
  <c r="P20" i="281"/>
  <c r="O20" i="281"/>
  <c r="N20" i="281"/>
  <c r="M20" i="281"/>
  <c r="L20" i="281"/>
  <c r="K20" i="281"/>
  <c r="J20" i="281"/>
  <c r="I20" i="281"/>
  <c r="H20" i="281"/>
  <c r="G20" i="281"/>
  <c r="F20" i="281"/>
  <c r="E20" i="281"/>
  <c r="D20" i="281"/>
  <c r="C20" i="281"/>
  <c r="C27" i="281" s="1"/>
  <c r="C19" i="281"/>
  <c r="D19" i="281" s="1"/>
  <c r="E19" i="281" s="1"/>
  <c r="F19" i="281" s="1"/>
  <c r="G19" i="281" s="1"/>
  <c r="H19" i="281" s="1"/>
  <c r="I19" i="281" s="1"/>
  <c r="J19" i="281" s="1"/>
  <c r="K19" i="281" s="1"/>
  <c r="L19" i="281" s="1"/>
  <c r="M19" i="281" s="1"/>
  <c r="N19" i="281" s="1"/>
  <c r="O19" i="281" s="1"/>
  <c r="P19" i="281" s="1"/>
  <c r="Q19" i="281" s="1"/>
  <c r="R19" i="281" s="1"/>
  <c r="S19" i="281" s="1"/>
  <c r="T19" i="281" s="1"/>
  <c r="U19" i="281" s="1"/>
  <c r="V19" i="281" s="1"/>
  <c r="W19" i="281" s="1"/>
  <c r="X19" i="281" s="1"/>
  <c r="X15" i="281"/>
  <c r="W15" i="281"/>
  <c r="V15" i="281"/>
  <c r="U15" i="281"/>
  <c r="T15" i="281"/>
  <c r="S15" i="281"/>
  <c r="R15" i="281"/>
  <c r="Q15" i="281"/>
  <c r="P15" i="281"/>
  <c r="O15" i="281"/>
  <c r="N15" i="281"/>
  <c r="M15" i="281"/>
  <c r="L15" i="281"/>
  <c r="K15" i="281"/>
  <c r="J15" i="281"/>
  <c r="I15" i="281"/>
  <c r="H15" i="281"/>
  <c r="G15" i="281"/>
  <c r="F15" i="281"/>
  <c r="E15" i="281"/>
  <c r="D15" i="281"/>
  <c r="C15" i="281"/>
  <c r="C16" i="281" s="1"/>
  <c r="Y24" i="295"/>
  <c r="D23" i="295"/>
  <c r="X22" i="295"/>
  <c r="W22" i="295"/>
  <c r="V22" i="295"/>
  <c r="U22" i="295"/>
  <c r="T22" i="295"/>
  <c r="S22" i="295"/>
  <c r="R22" i="295"/>
  <c r="Q22" i="295"/>
  <c r="P22" i="295"/>
  <c r="O22" i="295"/>
  <c r="N22" i="295"/>
  <c r="M22" i="295"/>
  <c r="L22" i="295"/>
  <c r="K22" i="295"/>
  <c r="J22" i="295"/>
  <c r="I22" i="295"/>
  <c r="H22" i="295"/>
  <c r="G22" i="295"/>
  <c r="F22" i="295"/>
  <c r="E22" i="295"/>
  <c r="D22" i="295"/>
  <c r="C22" i="295"/>
  <c r="C29" i="295" s="1"/>
  <c r="D21" i="295"/>
  <c r="C21" i="295"/>
  <c r="C28" i="295" s="1"/>
  <c r="X20" i="295"/>
  <c r="W20" i="295"/>
  <c r="V20" i="295"/>
  <c r="U20" i="295"/>
  <c r="T20" i="295"/>
  <c r="S20" i="295"/>
  <c r="R20" i="295"/>
  <c r="Q20" i="295"/>
  <c r="P20" i="295"/>
  <c r="O20" i="295"/>
  <c r="N20" i="295"/>
  <c r="M20" i="295"/>
  <c r="L20" i="295"/>
  <c r="K20" i="295"/>
  <c r="J20" i="295"/>
  <c r="I20" i="295"/>
  <c r="H20" i="295"/>
  <c r="G20" i="295"/>
  <c r="F20" i="295"/>
  <c r="E20" i="295"/>
  <c r="D20" i="295"/>
  <c r="C20" i="295"/>
  <c r="C27" i="295" s="1"/>
  <c r="C19" i="295"/>
  <c r="D19" i="295" s="1"/>
  <c r="E19" i="295" s="1"/>
  <c r="F19" i="295" s="1"/>
  <c r="G19" i="295" s="1"/>
  <c r="H19" i="295" s="1"/>
  <c r="I19" i="295" s="1"/>
  <c r="J19" i="295" s="1"/>
  <c r="K19" i="295" s="1"/>
  <c r="L19" i="295" s="1"/>
  <c r="M19" i="295" s="1"/>
  <c r="N19" i="295" s="1"/>
  <c r="O19" i="295" s="1"/>
  <c r="P19" i="295" s="1"/>
  <c r="Q19" i="295" s="1"/>
  <c r="R19" i="295" s="1"/>
  <c r="S19" i="295" s="1"/>
  <c r="T19" i="295" s="1"/>
  <c r="U19" i="295" s="1"/>
  <c r="V19" i="295" s="1"/>
  <c r="W19" i="295" s="1"/>
  <c r="X19" i="295" s="1"/>
  <c r="X15" i="295"/>
  <c r="W15" i="295"/>
  <c r="V15" i="295"/>
  <c r="U15" i="295"/>
  <c r="T15" i="295"/>
  <c r="S15" i="295"/>
  <c r="R15" i="295"/>
  <c r="Q15" i="295"/>
  <c r="P15" i="295"/>
  <c r="O15" i="295"/>
  <c r="N15" i="295"/>
  <c r="M15" i="295"/>
  <c r="L15" i="295"/>
  <c r="K15" i="295"/>
  <c r="J15" i="295"/>
  <c r="I15" i="295"/>
  <c r="H15" i="295"/>
  <c r="G15" i="295"/>
  <c r="F15" i="295"/>
  <c r="E15" i="295"/>
  <c r="D15" i="295"/>
  <c r="C15" i="295"/>
  <c r="C16" i="295" s="1"/>
  <c r="C17" i="295" s="1"/>
  <c r="C18" i="295" s="1"/>
  <c r="Y24" i="241"/>
  <c r="D23" i="241"/>
  <c r="X22" i="241"/>
  <c r="W22" i="241"/>
  <c r="V22" i="241"/>
  <c r="U22" i="241"/>
  <c r="T22" i="241"/>
  <c r="S22" i="241"/>
  <c r="R22" i="241"/>
  <c r="Q22" i="241"/>
  <c r="P22" i="241"/>
  <c r="O22" i="241"/>
  <c r="N22" i="241"/>
  <c r="M22" i="241"/>
  <c r="L22" i="241"/>
  <c r="K22" i="241"/>
  <c r="J22" i="241"/>
  <c r="I22" i="241"/>
  <c r="H22" i="241"/>
  <c r="G22" i="241"/>
  <c r="F22" i="241"/>
  <c r="E22" i="241"/>
  <c r="D22" i="241"/>
  <c r="C22" i="241"/>
  <c r="D21" i="241"/>
  <c r="C21" i="241"/>
  <c r="C28" i="241" s="1"/>
  <c r="X20" i="241"/>
  <c r="W20" i="241"/>
  <c r="V20" i="241"/>
  <c r="U20" i="241"/>
  <c r="T20" i="241"/>
  <c r="S20" i="241"/>
  <c r="R20" i="241"/>
  <c r="Q20" i="241"/>
  <c r="P20" i="241"/>
  <c r="O20" i="241"/>
  <c r="N20" i="241"/>
  <c r="M20" i="241"/>
  <c r="L20" i="241"/>
  <c r="K20" i="241"/>
  <c r="J20" i="241"/>
  <c r="I20" i="241"/>
  <c r="H20" i="241"/>
  <c r="G20" i="241"/>
  <c r="F20" i="241"/>
  <c r="E20" i="241"/>
  <c r="D20" i="241"/>
  <c r="C20" i="241"/>
  <c r="C27" i="241" s="1"/>
  <c r="C19" i="241"/>
  <c r="D19" i="241" s="1"/>
  <c r="E19" i="241" s="1"/>
  <c r="F19" i="241" s="1"/>
  <c r="G19" i="241" s="1"/>
  <c r="H19" i="241" s="1"/>
  <c r="I19" i="241" s="1"/>
  <c r="J19" i="241" s="1"/>
  <c r="K19" i="241" s="1"/>
  <c r="L19" i="241" s="1"/>
  <c r="M19" i="241" s="1"/>
  <c r="N19" i="241" s="1"/>
  <c r="O19" i="241" s="1"/>
  <c r="P19" i="241" s="1"/>
  <c r="Q19" i="241" s="1"/>
  <c r="R19" i="241" s="1"/>
  <c r="S19" i="241" s="1"/>
  <c r="T19" i="241" s="1"/>
  <c r="U19" i="241" s="1"/>
  <c r="V19" i="241" s="1"/>
  <c r="W19" i="241" s="1"/>
  <c r="X19" i="241" s="1"/>
  <c r="X15" i="241"/>
  <c r="W15" i="241"/>
  <c r="V15" i="241"/>
  <c r="U15" i="241"/>
  <c r="T15" i="241"/>
  <c r="S15" i="241"/>
  <c r="R15" i="241"/>
  <c r="Q15" i="241"/>
  <c r="P15" i="241"/>
  <c r="O15" i="241"/>
  <c r="N15" i="241"/>
  <c r="M15" i="241"/>
  <c r="L15" i="241"/>
  <c r="K15" i="241"/>
  <c r="J15" i="241"/>
  <c r="I15" i="241"/>
  <c r="H15" i="241"/>
  <c r="G15" i="241"/>
  <c r="F15" i="241"/>
  <c r="E15" i="241"/>
  <c r="D15" i="241"/>
  <c r="C15" i="241"/>
  <c r="C16" i="241" s="1"/>
  <c r="C17" i="241" s="1"/>
  <c r="C18" i="241" s="1"/>
  <c r="Y24" i="297"/>
  <c r="D23" i="297"/>
  <c r="X22" i="297"/>
  <c r="W22" i="297"/>
  <c r="V22" i="297"/>
  <c r="U22" i="297"/>
  <c r="T22" i="297"/>
  <c r="S22" i="297"/>
  <c r="R22" i="297"/>
  <c r="Q22" i="297"/>
  <c r="P22" i="297"/>
  <c r="O22" i="297"/>
  <c r="N22" i="297"/>
  <c r="M22" i="297"/>
  <c r="L22" i="297"/>
  <c r="K22" i="297"/>
  <c r="J22" i="297"/>
  <c r="I22" i="297"/>
  <c r="H22" i="297"/>
  <c r="G22" i="297"/>
  <c r="F22" i="297"/>
  <c r="E22" i="297"/>
  <c r="D22" i="297"/>
  <c r="C22" i="297"/>
  <c r="D21" i="297"/>
  <c r="C21" i="297"/>
  <c r="X20" i="297"/>
  <c r="W20" i="297"/>
  <c r="V20" i="297"/>
  <c r="U20" i="297"/>
  <c r="T20" i="297"/>
  <c r="S20" i="297"/>
  <c r="R20" i="297"/>
  <c r="Q20" i="297"/>
  <c r="P20" i="297"/>
  <c r="O20" i="297"/>
  <c r="N20" i="297"/>
  <c r="M20" i="297"/>
  <c r="L20" i="297"/>
  <c r="K20" i="297"/>
  <c r="J20" i="297"/>
  <c r="I20" i="297"/>
  <c r="H20" i="297"/>
  <c r="G20" i="297"/>
  <c r="F20" i="297"/>
  <c r="E20" i="297"/>
  <c r="D20" i="297"/>
  <c r="C20" i="297"/>
  <c r="C19" i="297"/>
  <c r="D19" i="297" s="1"/>
  <c r="E19" i="297" s="1"/>
  <c r="F19" i="297" s="1"/>
  <c r="G19" i="297" s="1"/>
  <c r="H19" i="297" s="1"/>
  <c r="I19" i="297" s="1"/>
  <c r="J19" i="297" s="1"/>
  <c r="K19" i="297" s="1"/>
  <c r="L19" i="297" s="1"/>
  <c r="M19" i="297" s="1"/>
  <c r="N19" i="297" s="1"/>
  <c r="O19" i="297" s="1"/>
  <c r="P19" i="297" s="1"/>
  <c r="Q19" i="297" s="1"/>
  <c r="R19" i="297" s="1"/>
  <c r="S19" i="297" s="1"/>
  <c r="T19" i="297" s="1"/>
  <c r="U19" i="297" s="1"/>
  <c r="V19" i="297" s="1"/>
  <c r="W19" i="297" s="1"/>
  <c r="X19" i="297" s="1"/>
  <c r="X15" i="297"/>
  <c r="W15" i="297"/>
  <c r="V15" i="297"/>
  <c r="U15" i="297"/>
  <c r="T15" i="297"/>
  <c r="S15" i="297"/>
  <c r="R15" i="297"/>
  <c r="Q15" i="297"/>
  <c r="P15" i="297"/>
  <c r="O15" i="297"/>
  <c r="N15" i="297"/>
  <c r="M15" i="297"/>
  <c r="L15" i="297"/>
  <c r="K15" i="297"/>
  <c r="J15" i="297"/>
  <c r="I15" i="297"/>
  <c r="H15" i="297"/>
  <c r="G15" i="297"/>
  <c r="F15" i="297"/>
  <c r="E15" i="297"/>
  <c r="D15" i="297"/>
  <c r="C15" i="297"/>
  <c r="C16" i="297" s="1"/>
  <c r="C17" i="297" s="1"/>
  <c r="C18" i="297" s="1"/>
  <c r="Y24" i="161"/>
  <c r="D23" i="161"/>
  <c r="X22" i="161"/>
  <c r="W22" i="161"/>
  <c r="V22" i="161"/>
  <c r="U22" i="161"/>
  <c r="T22" i="161"/>
  <c r="S22" i="161"/>
  <c r="R22" i="161"/>
  <c r="Q22" i="161"/>
  <c r="P22" i="161"/>
  <c r="O22" i="161"/>
  <c r="N22" i="161"/>
  <c r="M22" i="161"/>
  <c r="L22" i="161"/>
  <c r="K22" i="161"/>
  <c r="J22" i="161"/>
  <c r="I22" i="161"/>
  <c r="H22" i="161"/>
  <c r="G22" i="161"/>
  <c r="F22" i="161"/>
  <c r="E22" i="161"/>
  <c r="D22" i="161"/>
  <c r="C22" i="161"/>
  <c r="C29" i="161" s="1"/>
  <c r="D21" i="161"/>
  <c r="C21" i="161"/>
  <c r="C28" i="161" s="1"/>
  <c r="X20" i="161"/>
  <c r="W20" i="161"/>
  <c r="V20" i="161"/>
  <c r="U20" i="161"/>
  <c r="T20" i="161"/>
  <c r="S20" i="161"/>
  <c r="R20" i="161"/>
  <c r="Q20" i="161"/>
  <c r="P20" i="161"/>
  <c r="O20" i="161"/>
  <c r="N20" i="161"/>
  <c r="M20" i="161"/>
  <c r="L20" i="161"/>
  <c r="K20" i="161"/>
  <c r="J20" i="161"/>
  <c r="I20" i="161"/>
  <c r="H20" i="161"/>
  <c r="G20" i="161"/>
  <c r="F20" i="161"/>
  <c r="E20" i="161"/>
  <c r="D20" i="161"/>
  <c r="C20" i="161"/>
  <c r="C27" i="161" s="1"/>
  <c r="C19" i="161"/>
  <c r="D19" i="161" s="1"/>
  <c r="E19" i="161" s="1"/>
  <c r="F19" i="161" s="1"/>
  <c r="G19" i="161" s="1"/>
  <c r="H19" i="161" s="1"/>
  <c r="I19" i="161" s="1"/>
  <c r="J19" i="161" s="1"/>
  <c r="K19" i="161" s="1"/>
  <c r="L19" i="161" s="1"/>
  <c r="M19" i="161" s="1"/>
  <c r="N19" i="161" s="1"/>
  <c r="O19" i="161" s="1"/>
  <c r="P19" i="161" s="1"/>
  <c r="Q19" i="161" s="1"/>
  <c r="R19" i="161" s="1"/>
  <c r="S19" i="161" s="1"/>
  <c r="T19" i="161" s="1"/>
  <c r="U19" i="161" s="1"/>
  <c r="V19" i="161" s="1"/>
  <c r="W19" i="161" s="1"/>
  <c r="X19" i="161" s="1"/>
  <c r="X15" i="161"/>
  <c r="W15" i="161"/>
  <c r="V15" i="161"/>
  <c r="U15" i="161"/>
  <c r="T15" i="161"/>
  <c r="S15" i="161"/>
  <c r="R15" i="161"/>
  <c r="Q15" i="161"/>
  <c r="P15" i="161"/>
  <c r="O15" i="161"/>
  <c r="N15" i="161"/>
  <c r="M15" i="161"/>
  <c r="L15" i="161"/>
  <c r="K15" i="161"/>
  <c r="J15" i="161"/>
  <c r="I15" i="161"/>
  <c r="H15" i="161"/>
  <c r="G15" i="161"/>
  <c r="F15" i="161"/>
  <c r="E15" i="161"/>
  <c r="D15" i="161"/>
  <c r="C15" i="161"/>
  <c r="C16" i="161" s="1"/>
  <c r="C17" i="161" s="1"/>
  <c r="C18" i="161" s="1"/>
  <c r="Y24" i="202"/>
  <c r="D23" i="202"/>
  <c r="X22" i="202"/>
  <c r="W22" i="202"/>
  <c r="V22" i="202"/>
  <c r="U22" i="202"/>
  <c r="T22" i="202"/>
  <c r="S22" i="202"/>
  <c r="R22" i="202"/>
  <c r="Q22" i="202"/>
  <c r="P22" i="202"/>
  <c r="O22" i="202"/>
  <c r="N22" i="202"/>
  <c r="M22" i="202"/>
  <c r="L22" i="202"/>
  <c r="K22" i="202"/>
  <c r="J22" i="202"/>
  <c r="I22" i="202"/>
  <c r="H22" i="202"/>
  <c r="G22" i="202"/>
  <c r="F22" i="202"/>
  <c r="E22" i="202"/>
  <c r="D22" i="202"/>
  <c r="C22" i="202"/>
  <c r="D21" i="202"/>
  <c r="C21" i="202"/>
  <c r="C28" i="202" s="1"/>
  <c r="X20" i="202"/>
  <c r="W20" i="202"/>
  <c r="V20" i="202"/>
  <c r="U20" i="202"/>
  <c r="T20" i="202"/>
  <c r="S20" i="202"/>
  <c r="R20" i="202"/>
  <c r="Q20" i="202"/>
  <c r="P20" i="202"/>
  <c r="O20" i="202"/>
  <c r="N20" i="202"/>
  <c r="M20" i="202"/>
  <c r="L20" i="202"/>
  <c r="K20" i="202"/>
  <c r="J20" i="202"/>
  <c r="I20" i="202"/>
  <c r="H20" i="202"/>
  <c r="G20" i="202"/>
  <c r="F20" i="202"/>
  <c r="E20" i="202"/>
  <c r="D20" i="202"/>
  <c r="C20" i="202"/>
  <c r="C19" i="202"/>
  <c r="D19" i="202" s="1"/>
  <c r="E19" i="202" s="1"/>
  <c r="F19" i="202" s="1"/>
  <c r="G19" i="202" s="1"/>
  <c r="H19" i="202" s="1"/>
  <c r="I19" i="202" s="1"/>
  <c r="J19" i="202" s="1"/>
  <c r="K19" i="202" s="1"/>
  <c r="L19" i="202" s="1"/>
  <c r="M19" i="202" s="1"/>
  <c r="N19" i="202" s="1"/>
  <c r="O19" i="202" s="1"/>
  <c r="P19" i="202" s="1"/>
  <c r="Q19" i="202" s="1"/>
  <c r="R19" i="202" s="1"/>
  <c r="S19" i="202" s="1"/>
  <c r="T19" i="202" s="1"/>
  <c r="U19" i="202" s="1"/>
  <c r="V19" i="202" s="1"/>
  <c r="W19" i="202" s="1"/>
  <c r="X19" i="202" s="1"/>
  <c r="X15" i="202"/>
  <c r="W15" i="202"/>
  <c r="V15" i="202"/>
  <c r="U15" i="202"/>
  <c r="T15" i="202"/>
  <c r="S15" i="202"/>
  <c r="R15" i="202"/>
  <c r="Q15" i="202"/>
  <c r="P15" i="202"/>
  <c r="O15" i="202"/>
  <c r="N15" i="202"/>
  <c r="M15" i="202"/>
  <c r="L15" i="202"/>
  <c r="K15" i="202"/>
  <c r="J15" i="202"/>
  <c r="I15" i="202"/>
  <c r="H15" i="202"/>
  <c r="G15" i="202"/>
  <c r="F15" i="202"/>
  <c r="E15" i="202"/>
  <c r="D15" i="202"/>
  <c r="C15" i="202"/>
  <c r="C16" i="202" s="1"/>
  <c r="C17" i="202" s="1"/>
  <c r="C18" i="202" s="1"/>
  <c r="Y24" i="260"/>
  <c r="D23" i="260"/>
  <c r="X22" i="260"/>
  <c r="W22" i="260"/>
  <c r="V22" i="260"/>
  <c r="U22" i="260"/>
  <c r="T22" i="260"/>
  <c r="S22" i="260"/>
  <c r="R22" i="260"/>
  <c r="Q22" i="260"/>
  <c r="P22" i="260"/>
  <c r="O22" i="260"/>
  <c r="N22" i="260"/>
  <c r="M22" i="260"/>
  <c r="L22" i="260"/>
  <c r="K22" i="260"/>
  <c r="J22" i="260"/>
  <c r="I22" i="260"/>
  <c r="H22" i="260"/>
  <c r="G22" i="260"/>
  <c r="F22" i="260"/>
  <c r="E22" i="260"/>
  <c r="D22" i="260"/>
  <c r="C22" i="260"/>
  <c r="D21" i="260"/>
  <c r="C21" i="260"/>
  <c r="X20" i="260"/>
  <c r="W20" i="260"/>
  <c r="V20" i="260"/>
  <c r="U20" i="260"/>
  <c r="T20" i="260"/>
  <c r="S20" i="260"/>
  <c r="R20" i="260"/>
  <c r="Q20" i="260"/>
  <c r="P20" i="260"/>
  <c r="O20" i="260"/>
  <c r="N20" i="260"/>
  <c r="M20" i="260"/>
  <c r="L20" i="260"/>
  <c r="K20" i="260"/>
  <c r="J20" i="260"/>
  <c r="I20" i="260"/>
  <c r="H20" i="260"/>
  <c r="G20" i="260"/>
  <c r="F20" i="260"/>
  <c r="E20" i="260"/>
  <c r="D20" i="260"/>
  <c r="C20" i="260"/>
  <c r="C19" i="260"/>
  <c r="D19" i="260" s="1"/>
  <c r="E19" i="260" s="1"/>
  <c r="F19" i="260" s="1"/>
  <c r="G19" i="260" s="1"/>
  <c r="H19" i="260" s="1"/>
  <c r="I19" i="260" s="1"/>
  <c r="J19" i="260" s="1"/>
  <c r="K19" i="260" s="1"/>
  <c r="L19" i="260" s="1"/>
  <c r="M19" i="260" s="1"/>
  <c r="N19" i="260" s="1"/>
  <c r="O19" i="260" s="1"/>
  <c r="P19" i="260" s="1"/>
  <c r="Q19" i="260" s="1"/>
  <c r="R19" i="260" s="1"/>
  <c r="S19" i="260" s="1"/>
  <c r="T19" i="260" s="1"/>
  <c r="U19" i="260" s="1"/>
  <c r="V19" i="260" s="1"/>
  <c r="W19" i="260" s="1"/>
  <c r="X19" i="260" s="1"/>
  <c r="X15" i="260"/>
  <c r="W15" i="260"/>
  <c r="V15" i="260"/>
  <c r="U15" i="260"/>
  <c r="T15" i="260"/>
  <c r="S15" i="260"/>
  <c r="R15" i="260"/>
  <c r="Q15" i="260"/>
  <c r="P15" i="260"/>
  <c r="O15" i="260"/>
  <c r="N15" i="260"/>
  <c r="M15" i="260"/>
  <c r="L15" i="260"/>
  <c r="K15" i="260"/>
  <c r="J15" i="260"/>
  <c r="I15" i="260"/>
  <c r="H15" i="260"/>
  <c r="G15" i="260"/>
  <c r="F15" i="260"/>
  <c r="E15" i="260"/>
  <c r="D15" i="260"/>
  <c r="C15" i="260"/>
  <c r="C16" i="260" s="1"/>
  <c r="C17" i="260" s="1"/>
  <c r="C18" i="260" s="1"/>
  <c r="Y24" i="120"/>
  <c r="D23" i="120"/>
  <c r="X22" i="120"/>
  <c r="W22" i="120"/>
  <c r="V22" i="120"/>
  <c r="U22" i="120"/>
  <c r="T22" i="120"/>
  <c r="S22" i="120"/>
  <c r="R22" i="120"/>
  <c r="Q22" i="120"/>
  <c r="P22" i="120"/>
  <c r="O22" i="120"/>
  <c r="N22" i="120"/>
  <c r="M22" i="120"/>
  <c r="L22" i="120"/>
  <c r="K22" i="120"/>
  <c r="J22" i="120"/>
  <c r="I22" i="120"/>
  <c r="H22" i="120"/>
  <c r="G22" i="120"/>
  <c r="F22" i="120"/>
  <c r="E22" i="120"/>
  <c r="D22" i="120"/>
  <c r="C22" i="120"/>
  <c r="D21" i="120"/>
  <c r="C21" i="120"/>
  <c r="C28" i="120" s="1"/>
  <c r="X20" i="120"/>
  <c r="W20" i="120"/>
  <c r="V20" i="120"/>
  <c r="U20" i="120"/>
  <c r="T20" i="120"/>
  <c r="S20" i="120"/>
  <c r="R20" i="120"/>
  <c r="Q20" i="120"/>
  <c r="P20" i="120"/>
  <c r="O20" i="120"/>
  <c r="N20" i="120"/>
  <c r="M20" i="120"/>
  <c r="L20" i="120"/>
  <c r="K20" i="120"/>
  <c r="J20" i="120"/>
  <c r="I20" i="120"/>
  <c r="H20" i="120"/>
  <c r="G20" i="120"/>
  <c r="F20" i="120"/>
  <c r="E20" i="120"/>
  <c r="D20" i="120"/>
  <c r="C20" i="120"/>
  <c r="C19" i="120"/>
  <c r="D19" i="120" s="1"/>
  <c r="E19" i="120" s="1"/>
  <c r="F19" i="120" s="1"/>
  <c r="G19" i="120" s="1"/>
  <c r="H19" i="120" s="1"/>
  <c r="I19" i="120" s="1"/>
  <c r="J19" i="120" s="1"/>
  <c r="K19" i="120" s="1"/>
  <c r="L19" i="120" s="1"/>
  <c r="M19" i="120" s="1"/>
  <c r="N19" i="120" s="1"/>
  <c r="O19" i="120" s="1"/>
  <c r="P19" i="120" s="1"/>
  <c r="Q19" i="120" s="1"/>
  <c r="R19" i="120" s="1"/>
  <c r="S19" i="120" s="1"/>
  <c r="T19" i="120" s="1"/>
  <c r="U19" i="120" s="1"/>
  <c r="V19" i="120" s="1"/>
  <c r="W19" i="120" s="1"/>
  <c r="X19" i="120" s="1"/>
  <c r="X15" i="120"/>
  <c r="W15" i="120"/>
  <c r="V15" i="120"/>
  <c r="U15" i="120"/>
  <c r="T15" i="120"/>
  <c r="S15" i="120"/>
  <c r="R15" i="120"/>
  <c r="Q15" i="120"/>
  <c r="P15" i="120"/>
  <c r="O15" i="120"/>
  <c r="N15" i="120"/>
  <c r="M15" i="120"/>
  <c r="L15" i="120"/>
  <c r="K15" i="120"/>
  <c r="J15" i="120"/>
  <c r="I15" i="120"/>
  <c r="H15" i="120"/>
  <c r="G15" i="120"/>
  <c r="F15" i="120"/>
  <c r="E15" i="120"/>
  <c r="D15" i="120"/>
  <c r="C15" i="120"/>
  <c r="C16" i="120" s="1"/>
  <c r="C17" i="120" s="1"/>
  <c r="C18" i="120" s="1"/>
  <c r="Y24" i="160"/>
  <c r="D23" i="160"/>
  <c r="X22" i="160"/>
  <c r="W22" i="160"/>
  <c r="V22" i="160"/>
  <c r="U22" i="160"/>
  <c r="T22" i="160"/>
  <c r="S22" i="160"/>
  <c r="R22" i="160"/>
  <c r="Q22" i="160"/>
  <c r="P22" i="160"/>
  <c r="O22" i="160"/>
  <c r="N22" i="160"/>
  <c r="M22" i="160"/>
  <c r="L22" i="160"/>
  <c r="K22" i="160"/>
  <c r="J22" i="160"/>
  <c r="I22" i="160"/>
  <c r="H22" i="160"/>
  <c r="G22" i="160"/>
  <c r="F22" i="160"/>
  <c r="E22" i="160"/>
  <c r="D22" i="160"/>
  <c r="C22" i="160"/>
  <c r="D21" i="160"/>
  <c r="C21" i="160"/>
  <c r="C28" i="160" s="1"/>
  <c r="X20" i="160"/>
  <c r="W20" i="160"/>
  <c r="V20" i="160"/>
  <c r="U20" i="160"/>
  <c r="T20" i="160"/>
  <c r="S20" i="160"/>
  <c r="R20" i="160"/>
  <c r="Q20" i="160"/>
  <c r="P20" i="160"/>
  <c r="O20" i="160"/>
  <c r="N20" i="160"/>
  <c r="M20" i="160"/>
  <c r="L20" i="160"/>
  <c r="K20" i="160"/>
  <c r="J20" i="160"/>
  <c r="I20" i="160"/>
  <c r="H20" i="160"/>
  <c r="G20" i="160"/>
  <c r="F20" i="160"/>
  <c r="E20" i="160"/>
  <c r="D20" i="160"/>
  <c r="C20" i="160"/>
  <c r="C19" i="160"/>
  <c r="D19" i="160" s="1"/>
  <c r="E19" i="160" s="1"/>
  <c r="F19" i="160" s="1"/>
  <c r="G19" i="160" s="1"/>
  <c r="H19" i="160" s="1"/>
  <c r="I19" i="160" s="1"/>
  <c r="J19" i="160" s="1"/>
  <c r="K19" i="160" s="1"/>
  <c r="L19" i="160" s="1"/>
  <c r="M19" i="160" s="1"/>
  <c r="N19" i="160" s="1"/>
  <c r="O19" i="160" s="1"/>
  <c r="P19" i="160" s="1"/>
  <c r="Q19" i="160" s="1"/>
  <c r="R19" i="160" s="1"/>
  <c r="S19" i="160" s="1"/>
  <c r="T19" i="160" s="1"/>
  <c r="U19" i="160" s="1"/>
  <c r="V19" i="160" s="1"/>
  <c r="W19" i="160" s="1"/>
  <c r="X19" i="160" s="1"/>
  <c r="X15" i="160"/>
  <c r="W15" i="160"/>
  <c r="V15" i="160"/>
  <c r="U15" i="160"/>
  <c r="T15" i="160"/>
  <c r="S15" i="160"/>
  <c r="R15" i="160"/>
  <c r="Q15" i="160"/>
  <c r="P15" i="160"/>
  <c r="O15" i="160"/>
  <c r="N15" i="160"/>
  <c r="M15" i="160"/>
  <c r="L15" i="160"/>
  <c r="K15" i="160"/>
  <c r="J15" i="160"/>
  <c r="I15" i="160"/>
  <c r="H15" i="160"/>
  <c r="G15" i="160"/>
  <c r="F15" i="160"/>
  <c r="E15" i="160"/>
  <c r="D15" i="160"/>
  <c r="C15" i="160"/>
  <c r="C16" i="160" s="1"/>
  <c r="C17" i="160" s="1"/>
  <c r="C18" i="160" s="1"/>
  <c r="Y24" i="279"/>
  <c r="D23" i="279"/>
  <c r="X22" i="279"/>
  <c r="W22" i="279"/>
  <c r="V22" i="279"/>
  <c r="U22" i="279"/>
  <c r="T22" i="279"/>
  <c r="S22" i="279"/>
  <c r="R22" i="279"/>
  <c r="Q22" i="279"/>
  <c r="P22" i="279"/>
  <c r="O22" i="279"/>
  <c r="N22" i="279"/>
  <c r="M22" i="279"/>
  <c r="L22" i="279"/>
  <c r="K22" i="279"/>
  <c r="J22" i="279"/>
  <c r="I22" i="279"/>
  <c r="H22" i="279"/>
  <c r="G22" i="279"/>
  <c r="F22" i="279"/>
  <c r="E22" i="279"/>
  <c r="D22" i="279"/>
  <c r="C22" i="279"/>
  <c r="C29" i="279" s="1"/>
  <c r="D21" i="279"/>
  <c r="C21" i="279"/>
  <c r="C28" i="279" s="1"/>
  <c r="X20" i="279"/>
  <c r="W20" i="279"/>
  <c r="V20" i="279"/>
  <c r="U20" i="279"/>
  <c r="T20" i="279"/>
  <c r="S20" i="279"/>
  <c r="R20" i="279"/>
  <c r="Q20" i="279"/>
  <c r="P20" i="279"/>
  <c r="O20" i="279"/>
  <c r="N20" i="279"/>
  <c r="M20" i="279"/>
  <c r="L20" i="279"/>
  <c r="K20" i="279"/>
  <c r="J20" i="279"/>
  <c r="I20" i="279"/>
  <c r="H20" i="279"/>
  <c r="G20" i="279"/>
  <c r="F20" i="279"/>
  <c r="E20" i="279"/>
  <c r="D20" i="279"/>
  <c r="C20" i="279"/>
  <c r="C27" i="279" s="1"/>
  <c r="C19" i="279"/>
  <c r="D19" i="279" s="1"/>
  <c r="E19" i="279" s="1"/>
  <c r="F19" i="279" s="1"/>
  <c r="G19" i="279" s="1"/>
  <c r="H19" i="279" s="1"/>
  <c r="I19" i="279" s="1"/>
  <c r="J19" i="279" s="1"/>
  <c r="K19" i="279" s="1"/>
  <c r="L19" i="279" s="1"/>
  <c r="M19" i="279" s="1"/>
  <c r="N19" i="279" s="1"/>
  <c r="O19" i="279" s="1"/>
  <c r="P19" i="279" s="1"/>
  <c r="Q19" i="279" s="1"/>
  <c r="R19" i="279" s="1"/>
  <c r="S19" i="279" s="1"/>
  <c r="T19" i="279" s="1"/>
  <c r="U19" i="279" s="1"/>
  <c r="V19" i="279" s="1"/>
  <c r="W19" i="279" s="1"/>
  <c r="X19" i="279" s="1"/>
  <c r="X15" i="279"/>
  <c r="W15" i="279"/>
  <c r="V15" i="279"/>
  <c r="U15" i="279"/>
  <c r="T15" i="279"/>
  <c r="S15" i="279"/>
  <c r="R15" i="279"/>
  <c r="Q15" i="279"/>
  <c r="P15" i="279"/>
  <c r="O15" i="279"/>
  <c r="N15" i="279"/>
  <c r="M15" i="279"/>
  <c r="L15" i="279"/>
  <c r="K15" i="279"/>
  <c r="J15" i="279"/>
  <c r="I15" i="279"/>
  <c r="H15" i="279"/>
  <c r="G15" i="279"/>
  <c r="F15" i="279"/>
  <c r="E15" i="279"/>
  <c r="D15" i="279"/>
  <c r="C15" i="279"/>
  <c r="C16" i="279" s="1"/>
  <c r="C17" i="279" s="1"/>
  <c r="C18" i="279" s="1"/>
  <c r="Y24" i="119"/>
  <c r="D23" i="119"/>
  <c r="X22" i="119"/>
  <c r="W22" i="119"/>
  <c r="V22" i="119"/>
  <c r="U22" i="119"/>
  <c r="T22" i="119"/>
  <c r="S22" i="119"/>
  <c r="R22" i="119"/>
  <c r="Q22" i="119"/>
  <c r="P22" i="119"/>
  <c r="O22" i="119"/>
  <c r="N22" i="119"/>
  <c r="M22" i="119"/>
  <c r="L22" i="119"/>
  <c r="K22" i="119"/>
  <c r="J22" i="119"/>
  <c r="I22" i="119"/>
  <c r="H22" i="119"/>
  <c r="G22" i="119"/>
  <c r="F22" i="119"/>
  <c r="E22" i="119"/>
  <c r="D22" i="119"/>
  <c r="C22" i="119"/>
  <c r="E29" i="119" s="1"/>
  <c r="D21" i="119"/>
  <c r="C21" i="119"/>
  <c r="C28" i="119" s="1"/>
  <c r="X20" i="119"/>
  <c r="W20" i="119"/>
  <c r="V20" i="119"/>
  <c r="U20" i="119"/>
  <c r="T20" i="119"/>
  <c r="S20" i="119"/>
  <c r="R20" i="119"/>
  <c r="Q20" i="119"/>
  <c r="P20" i="119"/>
  <c r="O20" i="119"/>
  <c r="N20" i="119"/>
  <c r="M20" i="119"/>
  <c r="L20" i="119"/>
  <c r="K20" i="119"/>
  <c r="J20" i="119"/>
  <c r="I20" i="119"/>
  <c r="H20" i="119"/>
  <c r="G20" i="119"/>
  <c r="F20" i="119"/>
  <c r="E20" i="119"/>
  <c r="D20" i="119"/>
  <c r="C20" i="119"/>
  <c r="C27" i="119" s="1"/>
  <c r="C19" i="119"/>
  <c r="D19" i="119" s="1"/>
  <c r="E19" i="119" s="1"/>
  <c r="F19" i="119" s="1"/>
  <c r="G19" i="119" s="1"/>
  <c r="H19" i="119" s="1"/>
  <c r="I19" i="119" s="1"/>
  <c r="J19" i="119" s="1"/>
  <c r="K19" i="119" s="1"/>
  <c r="L19" i="119" s="1"/>
  <c r="M19" i="119" s="1"/>
  <c r="N19" i="119" s="1"/>
  <c r="O19" i="119" s="1"/>
  <c r="P19" i="119" s="1"/>
  <c r="Q19" i="119" s="1"/>
  <c r="R19" i="119" s="1"/>
  <c r="S19" i="119" s="1"/>
  <c r="T19" i="119" s="1"/>
  <c r="U19" i="119" s="1"/>
  <c r="V19" i="119" s="1"/>
  <c r="W19" i="119" s="1"/>
  <c r="X19" i="119" s="1"/>
  <c r="X15" i="119"/>
  <c r="W15" i="119"/>
  <c r="V15" i="119"/>
  <c r="U15" i="119"/>
  <c r="T15" i="119"/>
  <c r="S15" i="119"/>
  <c r="R15" i="119"/>
  <c r="Q15" i="119"/>
  <c r="P15" i="119"/>
  <c r="O15" i="119"/>
  <c r="N15" i="119"/>
  <c r="M15" i="119"/>
  <c r="L15" i="119"/>
  <c r="K15" i="119"/>
  <c r="J15" i="119"/>
  <c r="I15" i="119"/>
  <c r="H15" i="119"/>
  <c r="G15" i="119"/>
  <c r="F15" i="119"/>
  <c r="E15" i="119"/>
  <c r="D15" i="119"/>
  <c r="C15" i="119"/>
  <c r="C16" i="119" s="1"/>
  <c r="C17" i="119" s="1"/>
  <c r="C18" i="119" s="1"/>
  <c r="Y24" i="264"/>
  <c r="D23" i="264"/>
  <c r="X22" i="264"/>
  <c r="W22" i="264"/>
  <c r="V22" i="264"/>
  <c r="U22" i="264"/>
  <c r="T22" i="264"/>
  <c r="S22" i="264"/>
  <c r="R22" i="264"/>
  <c r="Q22" i="264"/>
  <c r="P22" i="264"/>
  <c r="O22" i="264"/>
  <c r="N22" i="264"/>
  <c r="M22" i="264"/>
  <c r="L22" i="264"/>
  <c r="K22" i="264"/>
  <c r="J22" i="264"/>
  <c r="I22" i="264"/>
  <c r="H22" i="264"/>
  <c r="G22" i="264"/>
  <c r="F22" i="264"/>
  <c r="E22" i="264"/>
  <c r="D22" i="264"/>
  <c r="C22" i="264"/>
  <c r="C29" i="264" s="1"/>
  <c r="D21" i="264"/>
  <c r="C21" i="264"/>
  <c r="C28" i="264" s="1"/>
  <c r="X20" i="264"/>
  <c r="W20" i="264"/>
  <c r="V20" i="264"/>
  <c r="U20" i="264"/>
  <c r="T20" i="264"/>
  <c r="S20" i="264"/>
  <c r="R20" i="264"/>
  <c r="Q20" i="264"/>
  <c r="P20" i="264"/>
  <c r="O20" i="264"/>
  <c r="N20" i="264"/>
  <c r="M20" i="264"/>
  <c r="L20" i="264"/>
  <c r="K20" i="264"/>
  <c r="J20" i="264"/>
  <c r="I20" i="264"/>
  <c r="H20" i="264"/>
  <c r="G20" i="264"/>
  <c r="F20" i="264"/>
  <c r="E20" i="264"/>
  <c r="D20" i="264"/>
  <c r="C20" i="264"/>
  <c r="C27" i="264" s="1"/>
  <c r="C19" i="264"/>
  <c r="D19" i="264" s="1"/>
  <c r="E19" i="264" s="1"/>
  <c r="F19" i="264" s="1"/>
  <c r="G19" i="264" s="1"/>
  <c r="H19" i="264" s="1"/>
  <c r="I19" i="264" s="1"/>
  <c r="J19" i="264" s="1"/>
  <c r="K19" i="264" s="1"/>
  <c r="L19" i="264" s="1"/>
  <c r="M19" i="264" s="1"/>
  <c r="N19" i="264" s="1"/>
  <c r="O19" i="264" s="1"/>
  <c r="P19" i="264" s="1"/>
  <c r="Q19" i="264" s="1"/>
  <c r="R19" i="264" s="1"/>
  <c r="S19" i="264" s="1"/>
  <c r="T19" i="264" s="1"/>
  <c r="U19" i="264" s="1"/>
  <c r="V19" i="264" s="1"/>
  <c r="W19" i="264" s="1"/>
  <c r="X19" i="264" s="1"/>
  <c r="X15" i="264"/>
  <c r="W15" i="264"/>
  <c r="V15" i="264"/>
  <c r="U15" i="264"/>
  <c r="T15" i="264"/>
  <c r="S15" i="264"/>
  <c r="R15" i="264"/>
  <c r="Q15" i="264"/>
  <c r="P15" i="264"/>
  <c r="O15" i="264"/>
  <c r="N15" i="264"/>
  <c r="M15" i="264"/>
  <c r="L15" i="264"/>
  <c r="K15" i="264"/>
  <c r="J15" i="264"/>
  <c r="I15" i="264"/>
  <c r="H15" i="264"/>
  <c r="G15" i="264"/>
  <c r="F15" i="264"/>
  <c r="E15" i="264"/>
  <c r="D15" i="264"/>
  <c r="C15" i="264"/>
  <c r="C16" i="264" s="1"/>
  <c r="C17" i="264" s="1"/>
  <c r="C18" i="264" s="1"/>
  <c r="Y24" i="294"/>
  <c r="D23" i="294"/>
  <c r="X22" i="294"/>
  <c r="W22" i="294"/>
  <c r="V22" i="294"/>
  <c r="U22" i="294"/>
  <c r="T22" i="294"/>
  <c r="S22" i="294"/>
  <c r="R22" i="294"/>
  <c r="Q22" i="294"/>
  <c r="P22" i="294"/>
  <c r="O22" i="294"/>
  <c r="N22" i="294"/>
  <c r="M22" i="294"/>
  <c r="L22" i="294"/>
  <c r="K22" i="294"/>
  <c r="J22" i="294"/>
  <c r="I22" i="294"/>
  <c r="H22" i="294"/>
  <c r="G22" i="294"/>
  <c r="F22" i="294"/>
  <c r="E22" i="294"/>
  <c r="D22" i="294"/>
  <c r="C22" i="294"/>
  <c r="C29" i="294" s="1"/>
  <c r="D21" i="294"/>
  <c r="C21" i="294"/>
  <c r="C28" i="294" s="1"/>
  <c r="X20" i="294"/>
  <c r="W20" i="294"/>
  <c r="V20" i="294"/>
  <c r="U20" i="294"/>
  <c r="T20" i="294"/>
  <c r="S20" i="294"/>
  <c r="R20" i="294"/>
  <c r="Q20" i="294"/>
  <c r="P20" i="294"/>
  <c r="O20" i="294"/>
  <c r="N20" i="294"/>
  <c r="M20" i="294"/>
  <c r="L20" i="294"/>
  <c r="K20" i="294"/>
  <c r="J20" i="294"/>
  <c r="I20" i="294"/>
  <c r="H20" i="294"/>
  <c r="G20" i="294"/>
  <c r="F20" i="294"/>
  <c r="E20" i="294"/>
  <c r="D20" i="294"/>
  <c r="C20" i="294"/>
  <c r="C27" i="294" s="1"/>
  <c r="C19" i="294"/>
  <c r="D19" i="294" s="1"/>
  <c r="E19" i="294" s="1"/>
  <c r="F19" i="294" s="1"/>
  <c r="G19" i="294" s="1"/>
  <c r="H19" i="294" s="1"/>
  <c r="I19" i="294" s="1"/>
  <c r="J19" i="294" s="1"/>
  <c r="K19" i="294" s="1"/>
  <c r="L19" i="294" s="1"/>
  <c r="M19" i="294" s="1"/>
  <c r="N19" i="294" s="1"/>
  <c r="O19" i="294" s="1"/>
  <c r="P19" i="294" s="1"/>
  <c r="Q19" i="294" s="1"/>
  <c r="R19" i="294" s="1"/>
  <c r="S19" i="294" s="1"/>
  <c r="T19" i="294" s="1"/>
  <c r="U19" i="294" s="1"/>
  <c r="V19" i="294" s="1"/>
  <c r="W19" i="294" s="1"/>
  <c r="X19" i="294" s="1"/>
  <c r="X15" i="294"/>
  <c r="W15" i="294"/>
  <c r="V15" i="294"/>
  <c r="U15" i="294"/>
  <c r="T15" i="294"/>
  <c r="S15" i="294"/>
  <c r="R15" i="294"/>
  <c r="Q15" i="294"/>
  <c r="P15" i="294"/>
  <c r="O15" i="294"/>
  <c r="N15" i="294"/>
  <c r="M15" i="294"/>
  <c r="L15" i="294"/>
  <c r="K15" i="294"/>
  <c r="J15" i="294"/>
  <c r="I15" i="294"/>
  <c r="H15" i="294"/>
  <c r="G15" i="294"/>
  <c r="F15" i="294"/>
  <c r="E15" i="294"/>
  <c r="D15" i="294"/>
  <c r="C15" i="294"/>
  <c r="C16" i="294" s="1"/>
  <c r="C17" i="294" s="1"/>
  <c r="C18" i="294" s="1"/>
  <c r="Y24" i="159"/>
  <c r="D23" i="159"/>
  <c r="X22" i="159"/>
  <c r="W22" i="159"/>
  <c r="V22" i="159"/>
  <c r="U22" i="159"/>
  <c r="T22" i="159"/>
  <c r="S22" i="159"/>
  <c r="R22" i="159"/>
  <c r="Q22" i="159"/>
  <c r="P22" i="159"/>
  <c r="O22" i="159"/>
  <c r="N22" i="159"/>
  <c r="M22" i="159"/>
  <c r="L22" i="159"/>
  <c r="K22" i="159"/>
  <c r="J22" i="159"/>
  <c r="I22" i="159"/>
  <c r="H22" i="159"/>
  <c r="G22" i="159"/>
  <c r="F22" i="159"/>
  <c r="E22" i="159"/>
  <c r="D22" i="159"/>
  <c r="C22" i="159"/>
  <c r="D21" i="159"/>
  <c r="C21" i="159"/>
  <c r="C28" i="159" s="1"/>
  <c r="X20" i="159"/>
  <c r="W20" i="159"/>
  <c r="V20" i="159"/>
  <c r="U20" i="159"/>
  <c r="T20" i="159"/>
  <c r="S20" i="159"/>
  <c r="R20" i="159"/>
  <c r="Q20" i="159"/>
  <c r="P20" i="159"/>
  <c r="O20" i="159"/>
  <c r="N20" i="159"/>
  <c r="M20" i="159"/>
  <c r="L20" i="159"/>
  <c r="K20" i="159"/>
  <c r="J20" i="159"/>
  <c r="I20" i="159"/>
  <c r="H20" i="159"/>
  <c r="G20" i="159"/>
  <c r="F20" i="159"/>
  <c r="E20" i="159"/>
  <c r="D20" i="159"/>
  <c r="C20" i="159"/>
  <c r="C27" i="159" s="1"/>
  <c r="C19" i="159"/>
  <c r="D19" i="159" s="1"/>
  <c r="E19" i="159" s="1"/>
  <c r="F19" i="159" s="1"/>
  <c r="G19" i="159" s="1"/>
  <c r="H19" i="159" s="1"/>
  <c r="I19" i="159" s="1"/>
  <c r="J19" i="159" s="1"/>
  <c r="K19" i="159" s="1"/>
  <c r="L19" i="159" s="1"/>
  <c r="M19" i="159" s="1"/>
  <c r="N19" i="159" s="1"/>
  <c r="O19" i="159" s="1"/>
  <c r="P19" i="159" s="1"/>
  <c r="Q19" i="159" s="1"/>
  <c r="R19" i="159" s="1"/>
  <c r="S19" i="159" s="1"/>
  <c r="T19" i="159" s="1"/>
  <c r="U19" i="159" s="1"/>
  <c r="V19" i="159" s="1"/>
  <c r="W19" i="159" s="1"/>
  <c r="X19" i="159" s="1"/>
  <c r="X15" i="159"/>
  <c r="W15" i="159"/>
  <c r="V15" i="159"/>
  <c r="U15" i="159"/>
  <c r="T15" i="159"/>
  <c r="S15" i="159"/>
  <c r="R15" i="159"/>
  <c r="Q15" i="159"/>
  <c r="P15" i="159"/>
  <c r="O15" i="159"/>
  <c r="N15" i="159"/>
  <c r="M15" i="159"/>
  <c r="L15" i="159"/>
  <c r="K15" i="159"/>
  <c r="J15" i="159"/>
  <c r="I15" i="159"/>
  <c r="H15" i="159"/>
  <c r="G15" i="159"/>
  <c r="F15" i="159"/>
  <c r="E15" i="159"/>
  <c r="D15" i="159"/>
  <c r="C15" i="159"/>
  <c r="C16" i="159" s="1"/>
  <c r="C17" i="159" s="1"/>
  <c r="C18" i="159" s="1"/>
  <c r="Y24" i="163"/>
  <c r="D23" i="163"/>
  <c r="X22" i="163"/>
  <c r="W22" i="163"/>
  <c r="V22" i="163"/>
  <c r="U22" i="163"/>
  <c r="T22" i="163"/>
  <c r="S22" i="163"/>
  <c r="R22" i="163"/>
  <c r="Q22" i="163"/>
  <c r="P22" i="163"/>
  <c r="O22" i="163"/>
  <c r="N22" i="163"/>
  <c r="M22" i="163"/>
  <c r="L22" i="163"/>
  <c r="K22" i="163"/>
  <c r="J22" i="163"/>
  <c r="I22" i="163"/>
  <c r="H22" i="163"/>
  <c r="G22" i="163"/>
  <c r="F22" i="163"/>
  <c r="E22" i="163"/>
  <c r="D22" i="163"/>
  <c r="C22" i="163"/>
  <c r="C29" i="163" s="1"/>
  <c r="D21" i="163"/>
  <c r="C21" i="163"/>
  <c r="C28" i="163" s="1"/>
  <c r="X20" i="163"/>
  <c r="W20" i="163"/>
  <c r="V20" i="163"/>
  <c r="U20" i="163"/>
  <c r="T20" i="163"/>
  <c r="S20" i="163"/>
  <c r="R20" i="163"/>
  <c r="Q20" i="163"/>
  <c r="P20" i="163"/>
  <c r="O20" i="163"/>
  <c r="N20" i="163"/>
  <c r="M20" i="163"/>
  <c r="L20" i="163"/>
  <c r="K20" i="163"/>
  <c r="J20" i="163"/>
  <c r="I20" i="163"/>
  <c r="H20" i="163"/>
  <c r="G20" i="163"/>
  <c r="F20" i="163"/>
  <c r="E20" i="163"/>
  <c r="D20" i="163"/>
  <c r="C20" i="163"/>
  <c r="C27" i="163" s="1"/>
  <c r="C19" i="163"/>
  <c r="D19" i="163" s="1"/>
  <c r="E19" i="163" s="1"/>
  <c r="F19" i="163" s="1"/>
  <c r="G19" i="163" s="1"/>
  <c r="H19" i="163" s="1"/>
  <c r="I19" i="163" s="1"/>
  <c r="J19" i="163" s="1"/>
  <c r="K19" i="163" s="1"/>
  <c r="L19" i="163" s="1"/>
  <c r="M19" i="163" s="1"/>
  <c r="N19" i="163" s="1"/>
  <c r="O19" i="163" s="1"/>
  <c r="P19" i="163" s="1"/>
  <c r="Q19" i="163" s="1"/>
  <c r="R19" i="163" s="1"/>
  <c r="S19" i="163" s="1"/>
  <c r="T19" i="163" s="1"/>
  <c r="U19" i="163" s="1"/>
  <c r="V19" i="163" s="1"/>
  <c r="W19" i="163" s="1"/>
  <c r="X19" i="163" s="1"/>
  <c r="X15" i="163"/>
  <c r="W15" i="163"/>
  <c r="V15" i="163"/>
  <c r="U15" i="163"/>
  <c r="T15" i="163"/>
  <c r="S15" i="163"/>
  <c r="R15" i="163"/>
  <c r="Q15" i="163"/>
  <c r="P15" i="163"/>
  <c r="O15" i="163"/>
  <c r="N15" i="163"/>
  <c r="M15" i="163"/>
  <c r="L15" i="163"/>
  <c r="K15" i="163"/>
  <c r="J15" i="163"/>
  <c r="I15" i="163"/>
  <c r="H15" i="163"/>
  <c r="G15" i="163"/>
  <c r="F15" i="163"/>
  <c r="E15" i="163"/>
  <c r="D15" i="163"/>
  <c r="C15" i="163"/>
  <c r="C16" i="163" s="1"/>
  <c r="C17" i="163" s="1"/>
  <c r="C18" i="163" s="1"/>
  <c r="Y24" i="283"/>
  <c r="D23" i="283"/>
  <c r="X22" i="283"/>
  <c r="W22" i="283"/>
  <c r="V22" i="283"/>
  <c r="U22" i="283"/>
  <c r="T22" i="283"/>
  <c r="S22" i="283"/>
  <c r="R22" i="283"/>
  <c r="Q22" i="283"/>
  <c r="P22" i="283"/>
  <c r="O22" i="283"/>
  <c r="N22" i="283"/>
  <c r="M22" i="283"/>
  <c r="L22" i="283"/>
  <c r="K22" i="283"/>
  <c r="J22" i="283"/>
  <c r="I22" i="283"/>
  <c r="H22" i="283"/>
  <c r="G22" i="283"/>
  <c r="F22" i="283"/>
  <c r="E22" i="283"/>
  <c r="D22" i="283"/>
  <c r="C22" i="283"/>
  <c r="D21" i="283"/>
  <c r="C21" i="283"/>
  <c r="X20" i="283"/>
  <c r="W20" i="283"/>
  <c r="V20" i="283"/>
  <c r="U20" i="283"/>
  <c r="T20" i="283"/>
  <c r="S20" i="283"/>
  <c r="R20" i="283"/>
  <c r="Q20" i="283"/>
  <c r="P20" i="283"/>
  <c r="O20" i="283"/>
  <c r="N20" i="283"/>
  <c r="M20" i="283"/>
  <c r="L20" i="283"/>
  <c r="K20" i="283"/>
  <c r="J20" i="283"/>
  <c r="I20" i="283"/>
  <c r="H20" i="283"/>
  <c r="G20" i="283"/>
  <c r="F20" i="283"/>
  <c r="E20" i="283"/>
  <c r="D20" i="283"/>
  <c r="C20" i="283"/>
  <c r="C19" i="283"/>
  <c r="D19" i="283" s="1"/>
  <c r="E19" i="283" s="1"/>
  <c r="F19" i="283" s="1"/>
  <c r="G19" i="283" s="1"/>
  <c r="H19" i="283" s="1"/>
  <c r="I19" i="283" s="1"/>
  <c r="J19" i="283" s="1"/>
  <c r="K19" i="283" s="1"/>
  <c r="L19" i="283" s="1"/>
  <c r="M19" i="283" s="1"/>
  <c r="N19" i="283" s="1"/>
  <c r="O19" i="283" s="1"/>
  <c r="P19" i="283" s="1"/>
  <c r="Q19" i="283" s="1"/>
  <c r="R19" i="283" s="1"/>
  <c r="S19" i="283" s="1"/>
  <c r="T19" i="283" s="1"/>
  <c r="U19" i="283" s="1"/>
  <c r="V19" i="283" s="1"/>
  <c r="W19" i="283" s="1"/>
  <c r="X19" i="283" s="1"/>
  <c r="X15" i="283"/>
  <c r="W15" i="283"/>
  <c r="V15" i="283"/>
  <c r="U15" i="283"/>
  <c r="T15" i="283"/>
  <c r="S15" i="283"/>
  <c r="R15" i="283"/>
  <c r="Q15" i="283"/>
  <c r="P15" i="283"/>
  <c r="O15" i="283"/>
  <c r="N15" i="283"/>
  <c r="M15" i="283"/>
  <c r="L15" i="283"/>
  <c r="K15" i="283"/>
  <c r="J15" i="283"/>
  <c r="I15" i="283"/>
  <c r="H15" i="283"/>
  <c r="G15" i="283"/>
  <c r="F15" i="283"/>
  <c r="E15" i="283"/>
  <c r="D15" i="283"/>
  <c r="C15" i="283"/>
  <c r="C16" i="283" s="1"/>
  <c r="C17" i="283" s="1"/>
  <c r="C18" i="283" s="1"/>
  <c r="Y24" i="259"/>
  <c r="D23" i="259"/>
  <c r="X22" i="259"/>
  <c r="W22" i="259"/>
  <c r="V22" i="259"/>
  <c r="U22" i="259"/>
  <c r="T22" i="259"/>
  <c r="S22" i="259"/>
  <c r="R22" i="259"/>
  <c r="Q22" i="259"/>
  <c r="P22" i="259"/>
  <c r="O22" i="259"/>
  <c r="N22" i="259"/>
  <c r="M22" i="259"/>
  <c r="L22" i="259"/>
  <c r="K22" i="259"/>
  <c r="J22" i="259"/>
  <c r="I22" i="259"/>
  <c r="H22" i="259"/>
  <c r="G22" i="259"/>
  <c r="F22" i="259"/>
  <c r="E22" i="259"/>
  <c r="D22" i="259"/>
  <c r="C22" i="259"/>
  <c r="C29" i="259" s="1"/>
  <c r="D21" i="259"/>
  <c r="C21" i="259"/>
  <c r="C28" i="259" s="1"/>
  <c r="X20" i="259"/>
  <c r="W20" i="259"/>
  <c r="V20" i="259"/>
  <c r="U20" i="259"/>
  <c r="T20" i="259"/>
  <c r="S20" i="259"/>
  <c r="R20" i="259"/>
  <c r="Q20" i="259"/>
  <c r="P20" i="259"/>
  <c r="O20" i="259"/>
  <c r="N20" i="259"/>
  <c r="M20" i="259"/>
  <c r="L20" i="259"/>
  <c r="K20" i="259"/>
  <c r="J20" i="259"/>
  <c r="I20" i="259"/>
  <c r="H20" i="259"/>
  <c r="G20" i="259"/>
  <c r="F20" i="259"/>
  <c r="E20" i="259"/>
  <c r="D20" i="259"/>
  <c r="C20" i="259"/>
  <c r="C27" i="259" s="1"/>
  <c r="C19" i="259"/>
  <c r="D19" i="259" s="1"/>
  <c r="E19" i="259" s="1"/>
  <c r="F19" i="259" s="1"/>
  <c r="G19" i="259" s="1"/>
  <c r="H19" i="259" s="1"/>
  <c r="I19" i="259" s="1"/>
  <c r="J19" i="259" s="1"/>
  <c r="K19" i="259" s="1"/>
  <c r="L19" i="259" s="1"/>
  <c r="M19" i="259" s="1"/>
  <c r="N19" i="259" s="1"/>
  <c r="O19" i="259" s="1"/>
  <c r="P19" i="259" s="1"/>
  <c r="Q19" i="259" s="1"/>
  <c r="R19" i="259" s="1"/>
  <c r="S19" i="259" s="1"/>
  <c r="T19" i="259" s="1"/>
  <c r="U19" i="259" s="1"/>
  <c r="V19" i="259" s="1"/>
  <c r="W19" i="259" s="1"/>
  <c r="X19" i="259" s="1"/>
  <c r="X15" i="259"/>
  <c r="W15" i="259"/>
  <c r="V15" i="259"/>
  <c r="U15" i="259"/>
  <c r="T15" i="259"/>
  <c r="S15" i="259"/>
  <c r="R15" i="259"/>
  <c r="Q15" i="259"/>
  <c r="P15" i="259"/>
  <c r="O15" i="259"/>
  <c r="N15" i="259"/>
  <c r="M15" i="259"/>
  <c r="L15" i="259"/>
  <c r="K15" i="259"/>
  <c r="J15" i="259"/>
  <c r="I15" i="259"/>
  <c r="H15" i="259"/>
  <c r="G15" i="259"/>
  <c r="F15" i="259"/>
  <c r="E15" i="259"/>
  <c r="D15" i="259"/>
  <c r="C15" i="259"/>
  <c r="C16" i="259" s="1"/>
  <c r="C17" i="259" s="1"/>
  <c r="C18" i="259" s="1"/>
  <c r="Y24" i="118"/>
  <c r="D23" i="118"/>
  <c r="X22" i="118"/>
  <c r="W22" i="118"/>
  <c r="V22" i="118"/>
  <c r="U22" i="118"/>
  <c r="T22" i="118"/>
  <c r="S22" i="118"/>
  <c r="R22" i="118"/>
  <c r="Q22" i="118"/>
  <c r="P22" i="118"/>
  <c r="O22" i="118"/>
  <c r="N22" i="118"/>
  <c r="M22" i="118"/>
  <c r="L22" i="118"/>
  <c r="K22" i="118"/>
  <c r="J22" i="118"/>
  <c r="I22" i="118"/>
  <c r="H22" i="118"/>
  <c r="G22" i="118"/>
  <c r="F22" i="118"/>
  <c r="E22" i="118"/>
  <c r="D22" i="118"/>
  <c r="C22" i="118"/>
  <c r="D21" i="118"/>
  <c r="C21" i="118"/>
  <c r="C28" i="118" s="1"/>
  <c r="X20" i="118"/>
  <c r="W20" i="118"/>
  <c r="V20" i="118"/>
  <c r="U20" i="118"/>
  <c r="T20" i="118"/>
  <c r="S20" i="118"/>
  <c r="R20" i="118"/>
  <c r="Q20" i="118"/>
  <c r="P20" i="118"/>
  <c r="O20" i="118"/>
  <c r="N20" i="118"/>
  <c r="M20" i="118"/>
  <c r="L20" i="118"/>
  <c r="K20" i="118"/>
  <c r="J20" i="118"/>
  <c r="I20" i="118"/>
  <c r="H20" i="118"/>
  <c r="G20" i="118"/>
  <c r="F20" i="118"/>
  <c r="E20" i="118"/>
  <c r="D20" i="118"/>
  <c r="C20" i="118"/>
  <c r="C27" i="118" s="1"/>
  <c r="C19" i="118"/>
  <c r="D19" i="118" s="1"/>
  <c r="E19" i="118" s="1"/>
  <c r="F19" i="118" s="1"/>
  <c r="G19" i="118" s="1"/>
  <c r="H19" i="118" s="1"/>
  <c r="I19" i="118" s="1"/>
  <c r="J19" i="118" s="1"/>
  <c r="K19" i="118" s="1"/>
  <c r="L19" i="118" s="1"/>
  <c r="M19" i="118" s="1"/>
  <c r="N19" i="118" s="1"/>
  <c r="O19" i="118" s="1"/>
  <c r="P19" i="118" s="1"/>
  <c r="Q19" i="118" s="1"/>
  <c r="R19" i="118" s="1"/>
  <c r="S19" i="118" s="1"/>
  <c r="T19" i="118" s="1"/>
  <c r="U19" i="118" s="1"/>
  <c r="V19" i="118" s="1"/>
  <c r="W19" i="118" s="1"/>
  <c r="X19" i="118" s="1"/>
  <c r="X15" i="118"/>
  <c r="W15" i="118"/>
  <c r="V15" i="118"/>
  <c r="U15" i="118"/>
  <c r="T15" i="118"/>
  <c r="S15" i="118"/>
  <c r="R15" i="118"/>
  <c r="Q15" i="118"/>
  <c r="P15" i="118"/>
  <c r="O15" i="118"/>
  <c r="N15" i="118"/>
  <c r="M15" i="118"/>
  <c r="L15" i="118"/>
  <c r="K15" i="118"/>
  <c r="J15" i="118"/>
  <c r="I15" i="118"/>
  <c r="H15" i="118"/>
  <c r="G15" i="118"/>
  <c r="F15" i="118"/>
  <c r="E15" i="118"/>
  <c r="D15" i="118"/>
  <c r="C15" i="118"/>
  <c r="C16" i="118" s="1"/>
  <c r="C17" i="118" s="1"/>
  <c r="C18" i="118" s="1"/>
  <c r="Y24" i="157"/>
  <c r="D23" i="157"/>
  <c r="X22" i="157"/>
  <c r="W22" i="157"/>
  <c r="V22" i="157"/>
  <c r="U22" i="157"/>
  <c r="T22" i="157"/>
  <c r="S22" i="157"/>
  <c r="R22" i="157"/>
  <c r="Q22" i="157"/>
  <c r="P22" i="157"/>
  <c r="O22" i="157"/>
  <c r="N22" i="157"/>
  <c r="M22" i="157"/>
  <c r="L22" i="157"/>
  <c r="K22" i="157"/>
  <c r="J22" i="157"/>
  <c r="I22" i="157"/>
  <c r="H22" i="157"/>
  <c r="G22" i="157"/>
  <c r="F22" i="157"/>
  <c r="E22" i="157"/>
  <c r="D22" i="157"/>
  <c r="C22" i="157"/>
  <c r="E29" i="157" s="1"/>
  <c r="D21" i="157"/>
  <c r="C21" i="157"/>
  <c r="C28" i="157" s="1"/>
  <c r="X20" i="157"/>
  <c r="W20" i="157"/>
  <c r="V20" i="157"/>
  <c r="U20" i="157"/>
  <c r="T20" i="157"/>
  <c r="S20" i="157"/>
  <c r="R20" i="157"/>
  <c r="Q20" i="157"/>
  <c r="P20" i="157"/>
  <c r="O20" i="157"/>
  <c r="N20" i="157"/>
  <c r="M20" i="157"/>
  <c r="L20" i="157"/>
  <c r="K20" i="157"/>
  <c r="J20" i="157"/>
  <c r="I20" i="157"/>
  <c r="H20" i="157"/>
  <c r="G20" i="157"/>
  <c r="F20" i="157"/>
  <c r="E20" i="157"/>
  <c r="D20" i="157"/>
  <c r="C20" i="157"/>
  <c r="C27" i="157" s="1"/>
  <c r="C19" i="157"/>
  <c r="D19" i="157" s="1"/>
  <c r="E19" i="157" s="1"/>
  <c r="F19" i="157" s="1"/>
  <c r="G19" i="157" s="1"/>
  <c r="H19" i="157" s="1"/>
  <c r="I19" i="157" s="1"/>
  <c r="J19" i="157" s="1"/>
  <c r="K19" i="157" s="1"/>
  <c r="L19" i="157" s="1"/>
  <c r="M19" i="157" s="1"/>
  <c r="N19" i="157" s="1"/>
  <c r="O19" i="157" s="1"/>
  <c r="P19" i="157" s="1"/>
  <c r="Q19" i="157" s="1"/>
  <c r="R19" i="157" s="1"/>
  <c r="S19" i="157" s="1"/>
  <c r="T19" i="157" s="1"/>
  <c r="U19" i="157" s="1"/>
  <c r="V19" i="157" s="1"/>
  <c r="W19" i="157" s="1"/>
  <c r="X19" i="157" s="1"/>
  <c r="X15" i="157"/>
  <c r="W15" i="157"/>
  <c r="V15" i="157"/>
  <c r="U15" i="157"/>
  <c r="T15" i="157"/>
  <c r="S15" i="157"/>
  <c r="R15" i="157"/>
  <c r="Q15" i="157"/>
  <c r="P15" i="157"/>
  <c r="O15" i="157"/>
  <c r="N15" i="157"/>
  <c r="M15" i="157"/>
  <c r="L15" i="157"/>
  <c r="K15" i="157"/>
  <c r="J15" i="157"/>
  <c r="I15" i="157"/>
  <c r="H15" i="157"/>
  <c r="G15" i="157"/>
  <c r="F15" i="157"/>
  <c r="E15" i="157"/>
  <c r="D15" i="157"/>
  <c r="C15" i="157"/>
  <c r="C16" i="157" s="1"/>
  <c r="C17" i="157" s="1"/>
  <c r="C18" i="157" s="1"/>
  <c r="Y24" i="296"/>
  <c r="D23" i="296"/>
  <c r="X22" i="296"/>
  <c r="W22" i="296"/>
  <c r="V22" i="296"/>
  <c r="U22" i="296"/>
  <c r="T22" i="296"/>
  <c r="S22" i="296"/>
  <c r="R22" i="296"/>
  <c r="Q22" i="296"/>
  <c r="P22" i="296"/>
  <c r="O22" i="296"/>
  <c r="N22" i="296"/>
  <c r="M22" i="296"/>
  <c r="L22" i="296"/>
  <c r="K22" i="296"/>
  <c r="J22" i="296"/>
  <c r="I22" i="296"/>
  <c r="H22" i="296"/>
  <c r="G22" i="296"/>
  <c r="F22" i="296"/>
  <c r="E22" i="296"/>
  <c r="D22" i="296"/>
  <c r="C22" i="296"/>
  <c r="C29" i="296" s="1"/>
  <c r="D21" i="296"/>
  <c r="C21" i="296"/>
  <c r="C28" i="296" s="1"/>
  <c r="X20" i="296"/>
  <c r="W20" i="296"/>
  <c r="V20" i="296"/>
  <c r="U20" i="296"/>
  <c r="T20" i="296"/>
  <c r="S20" i="296"/>
  <c r="R20" i="296"/>
  <c r="Q20" i="296"/>
  <c r="P20" i="296"/>
  <c r="O20" i="296"/>
  <c r="N20" i="296"/>
  <c r="M20" i="296"/>
  <c r="L20" i="296"/>
  <c r="K20" i="296"/>
  <c r="J20" i="296"/>
  <c r="I20" i="296"/>
  <c r="H20" i="296"/>
  <c r="G20" i="296"/>
  <c r="F20" i="296"/>
  <c r="E20" i="296"/>
  <c r="D20" i="296"/>
  <c r="C20" i="296"/>
  <c r="C27" i="296" s="1"/>
  <c r="D19" i="296"/>
  <c r="E19" i="296" s="1"/>
  <c r="F19" i="296" s="1"/>
  <c r="G19" i="296" s="1"/>
  <c r="H19" i="296" s="1"/>
  <c r="I19" i="296" s="1"/>
  <c r="J19" i="296" s="1"/>
  <c r="K19" i="296" s="1"/>
  <c r="L19" i="296" s="1"/>
  <c r="M19" i="296" s="1"/>
  <c r="N19" i="296" s="1"/>
  <c r="O19" i="296" s="1"/>
  <c r="P19" i="296" s="1"/>
  <c r="Q19" i="296" s="1"/>
  <c r="R19" i="296" s="1"/>
  <c r="S19" i="296" s="1"/>
  <c r="T19" i="296" s="1"/>
  <c r="U19" i="296" s="1"/>
  <c r="V19" i="296" s="1"/>
  <c r="W19" i="296" s="1"/>
  <c r="X19" i="296" s="1"/>
  <c r="C19" i="296"/>
  <c r="X15" i="296"/>
  <c r="W15" i="296"/>
  <c r="V15" i="296"/>
  <c r="U15" i="296"/>
  <c r="T15" i="296"/>
  <c r="S15" i="296"/>
  <c r="R15" i="296"/>
  <c r="Q15" i="296"/>
  <c r="P15" i="296"/>
  <c r="O15" i="296"/>
  <c r="N15" i="296"/>
  <c r="M15" i="296"/>
  <c r="L15" i="296"/>
  <c r="K15" i="296"/>
  <c r="J15" i="296"/>
  <c r="I15" i="296"/>
  <c r="H15" i="296"/>
  <c r="G15" i="296"/>
  <c r="F15" i="296"/>
  <c r="E15" i="296"/>
  <c r="D15" i="296"/>
  <c r="C15" i="296"/>
  <c r="C16" i="296" s="1"/>
  <c r="C17" i="296" s="1"/>
  <c r="C18" i="296" s="1"/>
  <c r="Y24" i="288"/>
  <c r="D23" i="288"/>
  <c r="X22" i="288"/>
  <c r="W22" i="288"/>
  <c r="V22" i="288"/>
  <c r="U22" i="288"/>
  <c r="T22" i="288"/>
  <c r="S22" i="288"/>
  <c r="R22" i="288"/>
  <c r="Q22" i="288"/>
  <c r="P22" i="288"/>
  <c r="O22" i="288"/>
  <c r="N22" i="288"/>
  <c r="M22" i="288"/>
  <c r="L22" i="288"/>
  <c r="K22" i="288"/>
  <c r="J22" i="288"/>
  <c r="I22" i="288"/>
  <c r="H22" i="288"/>
  <c r="G22" i="288"/>
  <c r="F22" i="288"/>
  <c r="E22" i="288"/>
  <c r="D22" i="288"/>
  <c r="C22" i="288"/>
  <c r="C29" i="288" s="1"/>
  <c r="D21" i="288"/>
  <c r="C21" i="288"/>
  <c r="C28" i="288" s="1"/>
  <c r="X20" i="288"/>
  <c r="W20" i="288"/>
  <c r="V20" i="288"/>
  <c r="U20" i="288"/>
  <c r="T20" i="288"/>
  <c r="S20" i="288"/>
  <c r="R20" i="288"/>
  <c r="Q20" i="288"/>
  <c r="P20" i="288"/>
  <c r="O20" i="288"/>
  <c r="N20" i="288"/>
  <c r="M20" i="288"/>
  <c r="L20" i="288"/>
  <c r="K20" i="288"/>
  <c r="J20" i="288"/>
  <c r="I20" i="288"/>
  <c r="H20" i="288"/>
  <c r="G20" i="288"/>
  <c r="F20" i="288"/>
  <c r="E20" i="288"/>
  <c r="D20" i="288"/>
  <c r="C20" i="288"/>
  <c r="C27" i="288" s="1"/>
  <c r="C19" i="288"/>
  <c r="D19" i="288" s="1"/>
  <c r="E19" i="288" s="1"/>
  <c r="F19" i="288" s="1"/>
  <c r="G19" i="288" s="1"/>
  <c r="H19" i="288" s="1"/>
  <c r="I19" i="288" s="1"/>
  <c r="J19" i="288" s="1"/>
  <c r="K19" i="288" s="1"/>
  <c r="L19" i="288" s="1"/>
  <c r="M19" i="288" s="1"/>
  <c r="N19" i="288" s="1"/>
  <c r="O19" i="288" s="1"/>
  <c r="P19" i="288" s="1"/>
  <c r="Q19" i="288" s="1"/>
  <c r="R19" i="288" s="1"/>
  <c r="S19" i="288" s="1"/>
  <c r="T19" i="288" s="1"/>
  <c r="U19" i="288" s="1"/>
  <c r="V19" i="288" s="1"/>
  <c r="W19" i="288" s="1"/>
  <c r="X19" i="288" s="1"/>
  <c r="X15" i="288"/>
  <c r="W15" i="288"/>
  <c r="V15" i="288"/>
  <c r="U15" i="288"/>
  <c r="T15" i="288"/>
  <c r="S15" i="288"/>
  <c r="R15" i="288"/>
  <c r="Q15" i="288"/>
  <c r="P15" i="288"/>
  <c r="O15" i="288"/>
  <c r="N15" i="288"/>
  <c r="M15" i="288"/>
  <c r="L15" i="288"/>
  <c r="K15" i="288"/>
  <c r="J15" i="288"/>
  <c r="I15" i="288"/>
  <c r="H15" i="288"/>
  <c r="G15" i="288"/>
  <c r="F15" i="288"/>
  <c r="E15" i="288"/>
  <c r="D15" i="288"/>
  <c r="C15" i="288"/>
  <c r="C16" i="288" s="1"/>
  <c r="C17" i="288" s="1"/>
  <c r="C18" i="288" s="1"/>
  <c r="Y24" i="284"/>
  <c r="D23" i="284"/>
  <c r="X22" i="284"/>
  <c r="W22" i="284"/>
  <c r="V22" i="284"/>
  <c r="U22" i="284"/>
  <c r="T22" i="284"/>
  <c r="S22" i="284"/>
  <c r="R22" i="284"/>
  <c r="Q22" i="284"/>
  <c r="P22" i="284"/>
  <c r="O22" i="284"/>
  <c r="N22" i="284"/>
  <c r="M22" i="284"/>
  <c r="L22" i="284"/>
  <c r="K22" i="284"/>
  <c r="J22" i="284"/>
  <c r="I22" i="284"/>
  <c r="H22" i="284"/>
  <c r="G22" i="284"/>
  <c r="F22" i="284"/>
  <c r="K29" i="284" s="1"/>
  <c r="E22" i="284"/>
  <c r="D22" i="284"/>
  <c r="C22" i="284"/>
  <c r="C29" i="284" s="1"/>
  <c r="D21" i="284"/>
  <c r="C21" i="284"/>
  <c r="C28" i="284" s="1"/>
  <c r="X20" i="284"/>
  <c r="W20" i="284"/>
  <c r="V20" i="284"/>
  <c r="U20" i="284"/>
  <c r="T20" i="284"/>
  <c r="S20" i="284"/>
  <c r="R20" i="284"/>
  <c r="Q20" i="284"/>
  <c r="P20" i="284"/>
  <c r="O20" i="284"/>
  <c r="N20" i="284"/>
  <c r="M20" i="284"/>
  <c r="L20" i="284"/>
  <c r="K20" i="284"/>
  <c r="J20" i="284"/>
  <c r="I20" i="284"/>
  <c r="H20" i="284"/>
  <c r="G20" i="284"/>
  <c r="F20" i="284"/>
  <c r="E20" i="284"/>
  <c r="D20" i="284"/>
  <c r="C20" i="284"/>
  <c r="C27" i="284" s="1"/>
  <c r="C19" i="284"/>
  <c r="D19" i="284" s="1"/>
  <c r="E19" i="284" s="1"/>
  <c r="F19" i="284" s="1"/>
  <c r="G19" i="284" s="1"/>
  <c r="H19" i="284" s="1"/>
  <c r="I19" i="284" s="1"/>
  <c r="J19" i="284" s="1"/>
  <c r="K19" i="284" s="1"/>
  <c r="L19" i="284" s="1"/>
  <c r="M19" i="284" s="1"/>
  <c r="N19" i="284" s="1"/>
  <c r="O19" i="284" s="1"/>
  <c r="P19" i="284" s="1"/>
  <c r="Q19" i="284" s="1"/>
  <c r="R19" i="284" s="1"/>
  <c r="S19" i="284" s="1"/>
  <c r="T19" i="284" s="1"/>
  <c r="U19" i="284" s="1"/>
  <c r="V19" i="284" s="1"/>
  <c r="W19" i="284" s="1"/>
  <c r="X19" i="284" s="1"/>
  <c r="X15" i="284"/>
  <c r="W15" i="284"/>
  <c r="V15" i="284"/>
  <c r="U15" i="284"/>
  <c r="T15" i="284"/>
  <c r="S15" i="284"/>
  <c r="R15" i="284"/>
  <c r="Q15" i="284"/>
  <c r="P15" i="284"/>
  <c r="O15" i="284"/>
  <c r="N15" i="284"/>
  <c r="M15" i="284"/>
  <c r="L15" i="284"/>
  <c r="K15" i="284"/>
  <c r="J15" i="284"/>
  <c r="I15" i="284"/>
  <c r="H15" i="284"/>
  <c r="G15" i="284"/>
  <c r="F15" i="284"/>
  <c r="E15" i="284"/>
  <c r="D15" i="284"/>
  <c r="C15" i="284"/>
  <c r="C16" i="284" s="1"/>
  <c r="C17" i="284" s="1"/>
  <c r="C18" i="284" s="1"/>
  <c r="Y24" i="249"/>
  <c r="D23" i="249"/>
  <c r="X22" i="249"/>
  <c r="W22" i="249"/>
  <c r="V22" i="249"/>
  <c r="U22" i="249"/>
  <c r="T22" i="249"/>
  <c r="S22" i="249"/>
  <c r="R22" i="249"/>
  <c r="Q22" i="249"/>
  <c r="P22" i="249"/>
  <c r="O22" i="249"/>
  <c r="N22" i="249"/>
  <c r="M22" i="249"/>
  <c r="L22" i="249"/>
  <c r="K22" i="249"/>
  <c r="J22" i="249"/>
  <c r="I22" i="249"/>
  <c r="H22" i="249"/>
  <c r="G22" i="249"/>
  <c r="F22" i="249"/>
  <c r="E22" i="249"/>
  <c r="D22" i="249"/>
  <c r="C22" i="249"/>
  <c r="D21" i="249"/>
  <c r="C21" i="249"/>
  <c r="X20" i="249"/>
  <c r="W20" i="249"/>
  <c r="V20" i="249"/>
  <c r="U20" i="249"/>
  <c r="T20" i="249"/>
  <c r="S20" i="249"/>
  <c r="R20" i="249"/>
  <c r="Q20" i="249"/>
  <c r="P20" i="249"/>
  <c r="O20" i="249"/>
  <c r="N20" i="249"/>
  <c r="M20" i="249"/>
  <c r="L20" i="249"/>
  <c r="K20" i="249"/>
  <c r="J20" i="249"/>
  <c r="I20" i="249"/>
  <c r="H20" i="249"/>
  <c r="G20" i="249"/>
  <c r="F20" i="249"/>
  <c r="E20" i="249"/>
  <c r="D20" i="249"/>
  <c r="C20" i="249"/>
  <c r="C19" i="249"/>
  <c r="D19" i="249" s="1"/>
  <c r="E19" i="249" s="1"/>
  <c r="F19" i="249" s="1"/>
  <c r="G19" i="249" s="1"/>
  <c r="H19" i="249" s="1"/>
  <c r="I19" i="249" s="1"/>
  <c r="J19" i="249" s="1"/>
  <c r="K19" i="249" s="1"/>
  <c r="L19" i="249" s="1"/>
  <c r="M19" i="249" s="1"/>
  <c r="N19" i="249" s="1"/>
  <c r="O19" i="249" s="1"/>
  <c r="P19" i="249" s="1"/>
  <c r="Q19" i="249" s="1"/>
  <c r="R19" i="249" s="1"/>
  <c r="S19" i="249" s="1"/>
  <c r="T19" i="249" s="1"/>
  <c r="U19" i="249" s="1"/>
  <c r="V19" i="249" s="1"/>
  <c r="W19" i="249" s="1"/>
  <c r="X19" i="249" s="1"/>
  <c r="X15" i="249"/>
  <c r="W15" i="249"/>
  <c r="V15" i="249"/>
  <c r="U15" i="249"/>
  <c r="T15" i="249"/>
  <c r="S15" i="249"/>
  <c r="R15" i="249"/>
  <c r="Q15" i="249"/>
  <c r="P15" i="249"/>
  <c r="O15" i="249"/>
  <c r="N15" i="249"/>
  <c r="M15" i="249"/>
  <c r="L15" i="249"/>
  <c r="K15" i="249"/>
  <c r="J15" i="249"/>
  <c r="I15" i="249"/>
  <c r="H15" i="249"/>
  <c r="G15" i="249"/>
  <c r="F15" i="249"/>
  <c r="E15" i="249"/>
  <c r="D15" i="249"/>
  <c r="C15" i="249"/>
  <c r="C16" i="249" s="1"/>
  <c r="C17" i="249" s="1"/>
  <c r="C18" i="249" s="1"/>
  <c r="C28" i="287"/>
  <c r="Y24" i="287"/>
  <c r="D23" i="287"/>
  <c r="X22" i="287"/>
  <c r="W22" i="287"/>
  <c r="V22" i="287"/>
  <c r="U22" i="287"/>
  <c r="T22" i="287"/>
  <c r="S22" i="287"/>
  <c r="R22" i="287"/>
  <c r="Q22" i="287"/>
  <c r="P22" i="287"/>
  <c r="O22" i="287"/>
  <c r="N22" i="287"/>
  <c r="M22" i="287"/>
  <c r="L22" i="287"/>
  <c r="K22" i="287"/>
  <c r="J22" i="287"/>
  <c r="I22" i="287"/>
  <c r="H22" i="287"/>
  <c r="G22" i="287"/>
  <c r="F22" i="287"/>
  <c r="E22" i="287"/>
  <c r="D22" i="287"/>
  <c r="C22" i="287"/>
  <c r="C29" i="287" s="1"/>
  <c r="D21" i="287"/>
  <c r="C21" i="287"/>
  <c r="X20" i="287"/>
  <c r="W20" i="287"/>
  <c r="V20" i="287"/>
  <c r="U20" i="287"/>
  <c r="T20" i="287"/>
  <c r="S20" i="287"/>
  <c r="R20" i="287"/>
  <c r="Q20" i="287"/>
  <c r="P20" i="287"/>
  <c r="O20" i="287"/>
  <c r="N20" i="287"/>
  <c r="M20" i="287"/>
  <c r="L20" i="287"/>
  <c r="K20" i="287"/>
  <c r="J20" i="287"/>
  <c r="I20" i="287"/>
  <c r="H20" i="287"/>
  <c r="G20" i="287"/>
  <c r="F20" i="287"/>
  <c r="E20" i="287"/>
  <c r="D20" i="287"/>
  <c r="C20" i="287"/>
  <c r="C27" i="287" s="1"/>
  <c r="D19" i="287"/>
  <c r="E19" i="287" s="1"/>
  <c r="F19" i="287" s="1"/>
  <c r="G19" i="287" s="1"/>
  <c r="H19" i="287" s="1"/>
  <c r="I19" i="287" s="1"/>
  <c r="J19" i="287" s="1"/>
  <c r="K19" i="287" s="1"/>
  <c r="L19" i="287" s="1"/>
  <c r="M19" i="287" s="1"/>
  <c r="N19" i="287" s="1"/>
  <c r="O19" i="287" s="1"/>
  <c r="P19" i="287" s="1"/>
  <c r="Q19" i="287" s="1"/>
  <c r="R19" i="287" s="1"/>
  <c r="S19" i="287" s="1"/>
  <c r="T19" i="287" s="1"/>
  <c r="U19" i="287" s="1"/>
  <c r="V19" i="287" s="1"/>
  <c r="W19" i="287" s="1"/>
  <c r="X19" i="287" s="1"/>
  <c r="C19" i="287"/>
  <c r="X15" i="287"/>
  <c r="W15" i="287"/>
  <c r="V15" i="287"/>
  <c r="U15" i="287"/>
  <c r="T15" i="287"/>
  <c r="S15" i="287"/>
  <c r="R15" i="287"/>
  <c r="Q15" i="287"/>
  <c r="P15" i="287"/>
  <c r="O15" i="287"/>
  <c r="N15" i="287"/>
  <c r="M15" i="287"/>
  <c r="L15" i="287"/>
  <c r="K15" i="287"/>
  <c r="J15" i="287"/>
  <c r="I15" i="287"/>
  <c r="H15" i="287"/>
  <c r="G15" i="287"/>
  <c r="F15" i="287"/>
  <c r="E15" i="287"/>
  <c r="D15" i="287"/>
  <c r="C15" i="287"/>
  <c r="C16" i="287" s="1"/>
  <c r="C17" i="287" s="1"/>
  <c r="C18" i="287" s="1"/>
  <c r="Y24" i="82"/>
  <c r="D23" i="82"/>
  <c r="X22" i="82"/>
  <c r="W22" i="82"/>
  <c r="V22" i="82"/>
  <c r="U22" i="82"/>
  <c r="T22" i="82"/>
  <c r="S22" i="82"/>
  <c r="R22" i="82"/>
  <c r="Q22" i="82"/>
  <c r="P22" i="82"/>
  <c r="O22" i="82"/>
  <c r="N22" i="82"/>
  <c r="M22" i="82"/>
  <c r="L22" i="82"/>
  <c r="K22" i="82"/>
  <c r="J22" i="82"/>
  <c r="I22" i="82"/>
  <c r="H22" i="82"/>
  <c r="G22" i="82"/>
  <c r="F22" i="82"/>
  <c r="E22" i="82"/>
  <c r="D22" i="82"/>
  <c r="E29" i="82" s="1"/>
  <c r="C22" i="82"/>
  <c r="C29" i="82" s="1"/>
  <c r="D21" i="82"/>
  <c r="C21" i="82"/>
  <c r="C28" i="82" s="1"/>
  <c r="X20" i="82"/>
  <c r="W20" i="82"/>
  <c r="V20" i="82"/>
  <c r="U20" i="82"/>
  <c r="T20" i="82"/>
  <c r="S20" i="82"/>
  <c r="R20" i="82"/>
  <c r="Q20" i="82"/>
  <c r="P20" i="82"/>
  <c r="O20" i="82"/>
  <c r="N20" i="82"/>
  <c r="M20" i="82"/>
  <c r="L20" i="82"/>
  <c r="K20" i="82"/>
  <c r="J20" i="82"/>
  <c r="I20" i="82"/>
  <c r="H20" i="82"/>
  <c r="G20" i="82"/>
  <c r="F20" i="82"/>
  <c r="E20" i="82"/>
  <c r="D20" i="82"/>
  <c r="C20" i="82"/>
  <c r="C27" i="82" s="1"/>
  <c r="D19" i="82"/>
  <c r="E19" i="82" s="1"/>
  <c r="F19" i="82" s="1"/>
  <c r="G19" i="82" s="1"/>
  <c r="H19" i="82" s="1"/>
  <c r="I19" i="82" s="1"/>
  <c r="J19" i="82" s="1"/>
  <c r="K19" i="82" s="1"/>
  <c r="L19" i="82" s="1"/>
  <c r="M19" i="82" s="1"/>
  <c r="N19" i="82" s="1"/>
  <c r="O19" i="82" s="1"/>
  <c r="P19" i="82" s="1"/>
  <c r="Q19" i="82" s="1"/>
  <c r="R19" i="82" s="1"/>
  <c r="S19" i="82" s="1"/>
  <c r="T19" i="82" s="1"/>
  <c r="U19" i="82" s="1"/>
  <c r="V19" i="82" s="1"/>
  <c r="W19" i="82" s="1"/>
  <c r="X19" i="82" s="1"/>
  <c r="C19" i="82"/>
  <c r="X15" i="82"/>
  <c r="W15" i="82"/>
  <c r="V15" i="82"/>
  <c r="U15" i="82"/>
  <c r="T15" i="82"/>
  <c r="S15" i="82"/>
  <c r="R15" i="82"/>
  <c r="Q15" i="82"/>
  <c r="P15" i="82"/>
  <c r="O15" i="82"/>
  <c r="N15" i="82"/>
  <c r="M15" i="82"/>
  <c r="L15" i="82"/>
  <c r="K15" i="82"/>
  <c r="J15" i="82"/>
  <c r="I15" i="82"/>
  <c r="H15" i="82"/>
  <c r="G15" i="82"/>
  <c r="F15" i="82"/>
  <c r="E15" i="82"/>
  <c r="D15" i="82"/>
  <c r="C15" i="82"/>
  <c r="C16" i="82" s="1"/>
  <c r="C17" i="82" s="1"/>
  <c r="C18" i="82" s="1"/>
  <c r="Y24" i="285"/>
  <c r="D23" i="285"/>
  <c r="X22" i="285"/>
  <c r="W22" i="285"/>
  <c r="V22" i="285"/>
  <c r="U22" i="285"/>
  <c r="T22" i="285"/>
  <c r="S22" i="285"/>
  <c r="R22" i="285"/>
  <c r="Q22" i="285"/>
  <c r="P22" i="285"/>
  <c r="O22" i="285"/>
  <c r="N22" i="285"/>
  <c r="M22" i="285"/>
  <c r="L22" i="285"/>
  <c r="K22" i="285"/>
  <c r="J22" i="285"/>
  <c r="I22" i="285"/>
  <c r="H22" i="285"/>
  <c r="G22" i="285"/>
  <c r="F22" i="285"/>
  <c r="E22" i="285"/>
  <c r="D22" i="285"/>
  <c r="C22" i="285"/>
  <c r="D21" i="285"/>
  <c r="C21" i="285"/>
  <c r="C28" i="285" s="1"/>
  <c r="X20" i="285"/>
  <c r="W20" i="285"/>
  <c r="V20" i="285"/>
  <c r="U20" i="285"/>
  <c r="T20" i="285"/>
  <c r="S20" i="285"/>
  <c r="R20" i="285"/>
  <c r="Q20" i="285"/>
  <c r="P20" i="285"/>
  <c r="O20" i="285"/>
  <c r="N20" i="285"/>
  <c r="M20" i="285"/>
  <c r="L20" i="285"/>
  <c r="K20" i="285"/>
  <c r="J20" i="285"/>
  <c r="I20" i="285"/>
  <c r="H20" i="285"/>
  <c r="G20" i="285"/>
  <c r="F20" i="285"/>
  <c r="E20" i="285"/>
  <c r="D20" i="285"/>
  <c r="C20" i="285"/>
  <c r="D19" i="285"/>
  <c r="E19" i="285" s="1"/>
  <c r="F19" i="285" s="1"/>
  <c r="G19" i="285" s="1"/>
  <c r="H19" i="285" s="1"/>
  <c r="I19" i="285" s="1"/>
  <c r="J19" i="285" s="1"/>
  <c r="K19" i="285" s="1"/>
  <c r="L19" i="285" s="1"/>
  <c r="M19" i="285" s="1"/>
  <c r="N19" i="285" s="1"/>
  <c r="O19" i="285" s="1"/>
  <c r="P19" i="285" s="1"/>
  <c r="Q19" i="285" s="1"/>
  <c r="R19" i="285" s="1"/>
  <c r="S19" i="285" s="1"/>
  <c r="T19" i="285" s="1"/>
  <c r="U19" i="285" s="1"/>
  <c r="V19" i="285" s="1"/>
  <c r="W19" i="285" s="1"/>
  <c r="X19" i="285" s="1"/>
  <c r="C19" i="285"/>
  <c r="X15" i="285"/>
  <c r="W15" i="285"/>
  <c r="V15" i="285"/>
  <c r="U15" i="285"/>
  <c r="T15" i="285"/>
  <c r="S15" i="285"/>
  <c r="R15" i="285"/>
  <c r="Q15" i="285"/>
  <c r="P15" i="285"/>
  <c r="O15" i="285"/>
  <c r="N15" i="285"/>
  <c r="M15" i="285"/>
  <c r="L15" i="285"/>
  <c r="K15" i="285"/>
  <c r="J15" i="285"/>
  <c r="I15" i="285"/>
  <c r="H15" i="285"/>
  <c r="G15" i="285"/>
  <c r="F15" i="285"/>
  <c r="E15" i="285"/>
  <c r="D15" i="285"/>
  <c r="C15" i="285"/>
  <c r="C16" i="285" s="1"/>
  <c r="C17" i="285" s="1"/>
  <c r="C18" i="285" s="1"/>
  <c r="C29" i="247"/>
  <c r="Y24" i="247"/>
  <c r="D23" i="247"/>
  <c r="X22" i="247"/>
  <c r="W22" i="247"/>
  <c r="V22" i="247"/>
  <c r="U22" i="247"/>
  <c r="T22" i="247"/>
  <c r="S22" i="247"/>
  <c r="R22" i="247"/>
  <c r="Q22" i="247"/>
  <c r="P22" i="247"/>
  <c r="O22" i="247"/>
  <c r="N22" i="247"/>
  <c r="M22" i="247"/>
  <c r="L22" i="247"/>
  <c r="K22" i="247"/>
  <c r="J22" i="247"/>
  <c r="I22" i="247"/>
  <c r="H22" i="247"/>
  <c r="G22" i="247"/>
  <c r="F22" i="247"/>
  <c r="E22" i="247"/>
  <c r="D22" i="247"/>
  <c r="C22" i="247"/>
  <c r="D21" i="247"/>
  <c r="C21" i="247"/>
  <c r="C28" i="247" s="1"/>
  <c r="X20" i="247"/>
  <c r="W20" i="247"/>
  <c r="V20" i="247"/>
  <c r="U20" i="247"/>
  <c r="T20" i="247"/>
  <c r="S20" i="247"/>
  <c r="R20" i="247"/>
  <c r="Q20" i="247"/>
  <c r="P20" i="247"/>
  <c r="O20" i="247"/>
  <c r="N20" i="247"/>
  <c r="M20" i="247"/>
  <c r="L20" i="247"/>
  <c r="K20" i="247"/>
  <c r="J20" i="247"/>
  <c r="I20" i="247"/>
  <c r="H20" i="247"/>
  <c r="G20" i="247"/>
  <c r="F20" i="247"/>
  <c r="E20" i="247"/>
  <c r="D20" i="247"/>
  <c r="C20" i="247"/>
  <c r="C27" i="247" s="1"/>
  <c r="C19" i="247"/>
  <c r="D19" i="247" s="1"/>
  <c r="E19" i="247" s="1"/>
  <c r="F19" i="247" s="1"/>
  <c r="G19" i="247" s="1"/>
  <c r="H19" i="247" s="1"/>
  <c r="I19" i="247" s="1"/>
  <c r="J19" i="247" s="1"/>
  <c r="K19" i="247" s="1"/>
  <c r="L19" i="247" s="1"/>
  <c r="M19" i="247" s="1"/>
  <c r="N19" i="247" s="1"/>
  <c r="O19" i="247" s="1"/>
  <c r="P19" i="247" s="1"/>
  <c r="Q19" i="247" s="1"/>
  <c r="R19" i="247" s="1"/>
  <c r="S19" i="247" s="1"/>
  <c r="T19" i="247" s="1"/>
  <c r="U19" i="247" s="1"/>
  <c r="V19" i="247" s="1"/>
  <c r="W19" i="247" s="1"/>
  <c r="X19" i="247" s="1"/>
  <c r="X15" i="247"/>
  <c r="W15" i="247"/>
  <c r="V15" i="247"/>
  <c r="U15" i="247"/>
  <c r="T15" i="247"/>
  <c r="S15" i="247"/>
  <c r="R15" i="247"/>
  <c r="Q15" i="247"/>
  <c r="P15" i="247"/>
  <c r="O15" i="247"/>
  <c r="N15" i="247"/>
  <c r="M15" i="247"/>
  <c r="L15" i="247"/>
  <c r="K15" i="247"/>
  <c r="J15" i="247"/>
  <c r="I15" i="247"/>
  <c r="H15" i="247"/>
  <c r="G15" i="247"/>
  <c r="F15" i="247"/>
  <c r="E15" i="247"/>
  <c r="D15" i="247"/>
  <c r="C15" i="247"/>
  <c r="C16" i="247" s="1"/>
  <c r="C17" i="247" s="1"/>
  <c r="C18" i="247" s="1"/>
  <c r="Y24" i="153"/>
  <c r="D23" i="153"/>
  <c r="X22" i="153"/>
  <c r="W22" i="153"/>
  <c r="V22" i="153"/>
  <c r="U22" i="153"/>
  <c r="T22" i="153"/>
  <c r="S22" i="153"/>
  <c r="R22" i="153"/>
  <c r="Q22" i="153"/>
  <c r="P22" i="153"/>
  <c r="O22" i="153"/>
  <c r="N22" i="153"/>
  <c r="M22" i="153"/>
  <c r="L22" i="153"/>
  <c r="K22" i="153"/>
  <c r="J22" i="153"/>
  <c r="I22" i="153"/>
  <c r="H22" i="153"/>
  <c r="G22" i="153"/>
  <c r="F22" i="153"/>
  <c r="E22" i="153"/>
  <c r="D22" i="153"/>
  <c r="C22" i="153"/>
  <c r="D21" i="153"/>
  <c r="C21" i="153"/>
  <c r="C28" i="153" s="1"/>
  <c r="X20" i="153"/>
  <c r="W20" i="153"/>
  <c r="V20" i="153"/>
  <c r="U20" i="153"/>
  <c r="T20" i="153"/>
  <c r="S20" i="153"/>
  <c r="R20" i="153"/>
  <c r="Q20" i="153"/>
  <c r="P20" i="153"/>
  <c r="O20" i="153"/>
  <c r="N20" i="153"/>
  <c r="M20" i="153"/>
  <c r="L20" i="153"/>
  <c r="K20" i="153"/>
  <c r="J20" i="153"/>
  <c r="I20" i="153"/>
  <c r="H20" i="153"/>
  <c r="G20" i="153"/>
  <c r="F20" i="153"/>
  <c r="E20" i="153"/>
  <c r="D20" i="153"/>
  <c r="C20" i="153"/>
  <c r="C19" i="153"/>
  <c r="D19" i="153" s="1"/>
  <c r="E19" i="153" s="1"/>
  <c r="F19" i="153" s="1"/>
  <c r="G19" i="153" s="1"/>
  <c r="H19" i="153" s="1"/>
  <c r="I19" i="153" s="1"/>
  <c r="J19" i="153" s="1"/>
  <c r="K19" i="153" s="1"/>
  <c r="L19" i="153" s="1"/>
  <c r="M19" i="153" s="1"/>
  <c r="N19" i="153" s="1"/>
  <c r="O19" i="153" s="1"/>
  <c r="P19" i="153" s="1"/>
  <c r="Q19" i="153" s="1"/>
  <c r="R19" i="153" s="1"/>
  <c r="S19" i="153" s="1"/>
  <c r="T19" i="153" s="1"/>
  <c r="U19" i="153" s="1"/>
  <c r="V19" i="153" s="1"/>
  <c r="W19" i="153" s="1"/>
  <c r="X19" i="153" s="1"/>
  <c r="X15" i="153"/>
  <c r="W15" i="153"/>
  <c r="V15" i="153"/>
  <c r="U15" i="153"/>
  <c r="T15" i="153"/>
  <c r="S15" i="153"/>
  <c r="R15" i="153"/>
  <c r="Q15" i="153"/>
  <c r="P15" i="153"/>
  <c r="O15" i="153"/>
  <c r="N15" i="153"/>
  <c r="M15" i="153"/>
  <c r="L15" i="153"/>
  <c r="K15" i="153"/>
  <c r="J15" i="153"/>
  <c r="I15" i="153"/>
  <c r="H15" i="153"/>
  <c r="G15" i="153"/>
  <c r="F15" i="153"/>
  <c r="E15" i="153"/>
  <c r="D15" i="153"/>
  <c r="C15" i="153"/>
  <c r="C16" i="153" s="1"/>
  <c r="C17" i="153" s="1"/>
  <c r="C18" i="153" s="1"/>
  <c r="C28" i="293"/>
  <c r="Y24" i="293"/>
  <c r="D23" i="293"/>
  <c r="X22" i="293"/>
  <c r="W22" i="293"/>
  <c r="V22" i="293"/>
  <c r="U22" i="293"/>
  <c r="T22" i="293"/>
  <c r="S22" i="293"/>
  <c r="R22" i="293"/>
  <c r="Q22" i="293"/>
  <c r="P22" i="293"/>
  <c r="O22" i="293"/>
  <c r="N22" i="293"/>
  <c r="M22" i="293"/>
  <c r="L22" i="293"/>
  <c r="K22" i="293"/>
  <c r="J22" i="293"/>
  <c r="I22" i="293"/>
  <c r="H22" i="293"/>
  <c r="G22" i="293"/>
  <c r="F22" i="293"/>
  <c r="E22" i="293"/>
  <c r="D22" i="293"/>
  <c r="C22" i="293"/>
  <c r="C29" i="293" s="1"/>
  <c r="D21" i="293"/>
  <c r="C21" i="293"/>
  <c r="X20" i="293"/>
  <c r="W20" i="293"/>
  <c r="V20" i="293"/>
  <c r="U20" i="293"/>
  <c r="T20" i="293"/>
  <c r="S20" i="293"/>
  <c r="R20" i="293"/>
  <c r="Q20" i="293"/>
  <c r="P20" i="293"/>
  <c r="O20" i="293"/>
  <c r="N20" i="293"/>
  <c r="M20" i="293"/>
  <c r="L20" i="293"/>
  <c r="K20" i="293"/>
  <c r="J20" i="293"/>
  <c r="I20" i="293"/>
  <c r="H20" i="293"/>
  <c r="G20" i="293"/>
  <c r="F20" i="293"/>
  <c r="E20" i="293"/>
  <c r="D20" i="293"/>
  <c r="C20" i="293"/>
  <c r="C27" i="293" s="1"/>
  <c r="D19" i="293"/>
  <c r="E19" i="293" s="1"/>
  <c r="F19" i="293" s="1"/>
  <c r="G19" i="293" s="1"/>
  <c r="H19" i="293" s="1"/>
  <c r="I19" i="293" s="1"/>
  <c r="J19" i="293" s="1"/>
  <c r="K19" i="293" s="1"/>
  <c r="L19" i="293" s="1"/>
  <c r="M19" i="293" s="1"/>
  <c r="N19" i="293" s="1"/>
  <c r="O19" i="293" s="1"/>
  <c r="P19" i="293" s="1"/>
  <c r="Q19" i="293" s="1"/>
  <c r="R19" i="293" s="1"/>
  <c r="S19" i="293" s="1"/>
  <c r="T19" i="293" s="1"/>
  <c r="U19" i="293" s="1"/>
  <c r="V19" i="293" s="1"/>
  <c r="W19" i="293" s="1"/>
  <c r="X19" i="293" s="1"/>
  <c r="C19" i="293"/>
  <c r="X15" i="293"/>
  <c r="W15" i="293"/>
  <c r="V15" i="293"/>
  <c r="U15" i="293"/>
  <c r="T15" i="293"/>
  <c r="S15" i="293"/>
  <c r="R15" i="293"/>
  <c r="Q15" i="293"/>
  <c r="P15" i="293"/>
  <c r="O15" i="293"/>
  <c r="N15" i="293"/>
  <c r="M15" i="293"/>
  <c r="L15" i="293"/>
  <c r="K15" i="293"/>
  <c r="J15" i="293"/>
  <c r="I15" i="293"/>
  <c r="H15" i="293"/>
  <c r="G15" i="293"/>
  <c r="F15" i="293"/>
  <c r="E15" i="293"/>
  <c r="D15" i="293"/>
  <c r="C15" i="293"/>
  <c r="C16" i="293" s="1"/>
  <c r="C17" i="293" s="1"/>
  <c r="C18" i="293" s="1"/>
  <c r="Y24" i="79"/>
  <c r="D23" i="79"/>
  <c r="X22" i="79"/>
  <c r="W22" i="79"/>
  <c r="V22" i="79"/>
  <c r="U22" i="79"/>
  <c r="T22" i="79"/>
  <c r="S22" i="79"/>
  <c r="R22" i="79"/>
  <c r="Q22" i="79"/>
  <c r="P22" i="79"/>
  <c r="O22" i="79"/>
  <c r="N22" i="79"/>
  <c r="M22" i="79"/>
  <c r="L22" i="79"/>
  <c r="K22" i="79"/>
  <c r="J22" i="79"/>
  <c r="I22" i="79"/>
  <c r="H22" i="79"/>
  <c r="G22" i="79"/>
  <c r="F22" i="79"/>
  <c r="E22" i="79"/>
  <c r="E29" i="79" s="1"/>
  <c r="D22" i="79"/>
  <c r="C22" i="79"/>
  <c r="C29" i="79" s="1"/>
  <c r="D21" i="79"/>
  <c r="C21" i="79"/>
  <c r="C28" i="79" s="1"/>
  <c r="X20" i="79"/>
  <c r="W20" i="79"/>
  <c r="V20" i="79"/>
  <c r="U20" i="79"/>
  <c r="T20" i="79"/>
  <c r="S20" i="79"/>
  <c r="R20" i="79"/>
  <c r="Q20" i="79"/>
  <c r="P20" i="79"/>
  <c r="O20" i="79"/>
  <c r="N20" i="79"/>
  <c r="M20" i="79"/>
  <c r="L20" i="79"/>
  <c r="K20" i="79"/>
  <c r="J20" i="79"/>
  <c r="I20" i="79"/>
  <c r="H20" i="79"/>
  <c r="G20" i="79"/>
  <c r="F20" i="79"/>
  <c r="E20" i="79"/>
  <c r="D20" i="79"/>
  <c r="C20" i="79"/>
  <c r="C27" i="79" s="1"/>
  <c r="C19" i="79"/>
  <c r="D19" i="79" s="1"/>
  <c r="E19" i="79" s="1"/>
  <c r="F19" i="79" s="1"/>
  <c r="G19" i="79" s="1"/>
  <c r="H19" i="79" s="1"/>
  <c r="I19" i="79" s="1"/>
  <c r="J19" i="79" s="1"/>
  <c r="K19" i="79" s="1"/>
  <c r="L19" i="79" s="1"/>
  <c r="M19" i="79" s="1"/>
  <c r="N19" i="79" s="1"/>
  <c r="O19" i="79" s="1"/>
  <c r="P19" i="79" s="1"/>
  <c r="Q19" i="79" s="1"/>
  <c r="R19" i="79" s="1"/>
  <c r="S19" i="79" s="1"/>
  <c r="T19" i="79" s="1"/>
  <c r="U19" i="79" s="1"/>
  <c r="V19" i="79" s="1"/>
  <c r="W19" i="79" s="1"/>
  <c r="X19" i="79" s="1"/>
  <c r="X15" i="79"/>
  <c r="W15" i="79"/>
  <c r="V15" i="79"/>
  <c r="U15" i="79"/>
  <c r="T15" i="79"/>
  <c r="S15" i="79"/>
  <c r="R15" i="79"/>
  <c r="Q15" i="79"/>
  <c r="P15" i="79"/>
  <c r="O15" i="79"/>
  <c r="N15" i="79"/>
  <c r="M15" i="79"/>
  <c r="L15" i="79"/>
  <c r="K15" i="79"/>
  <c r="J15" i="79"/>
  <c r="I15" i="79"/>
  <c r="H15" i="79"/>
  <c r="G15" i="79"/>
  <c r="F15" i="79"/>
  <c r="E15" i="79"/>
  <c r="D15" i="79"/>
  <c r="C15" i="79"/>
  <c r="C16" i="79" s="1"/>
  <c r="C17" i="79" s="1"/>
  <c r="C18" i="79" s="1"/>
  <c r="Y24" i="269"/>
  <c r="D23" i="269"/>
  <c r="X22" i="269"/>
  <c r="W22" i="269"/>
  <c r="V22" i="269"/>
  <c r="U22" i="269"/>
  <c r="T22" i="269"/>
  <c r="S22" i="269"/>
  <c r="R22" i="269"/>
  <c r="Q22" i="269"/>
  <c r="P22" i="269"/>
  <c r="O22" i="269"/>
  <c r="N22" i="269"/>
  <c r="M22" i="269"/>
  <c r="L22" i="269"/>
  <c r="K22" i="269"/>
  <c r="J22" i="269"/>
  <c r="I22" i="269"/>
  <c r="H22" i="269"/>
  <c r="G22" i="269"/>
  <c r="F22" i="269"/>
  <c r="E22" i="269"/>
  <c r="D22" i="269"/>
  <c r="C22" i="269"/>
  <c r="E29" i="269" s="1"/>
  <c r="D21" i="269"/>
  <c r="C21" i="269"/>
  <c r="C28" i="269" s="1"/>
  <c r="X20" i="269"/>
  <c r="W20" i="269"/>
  <c r="V20" i="269"/>
  <c r="U20" i="269"/>
  <c r="T20" i="269"/>
  <c r="S20" i="269"/>
  <c r="R20" i="269"/>
  <c r="Q20" i="269"/>
  <c r="P20" i="269"/>
  <c r="O20" i="269"/>
  <c r="N20" i="269"/>
  <c r="M20" i="269"/>
  <c r="L20" i="269"/>
  <c r="K20" i="269"/>
  <c r="J20" i="269"/>
  <c r="I20" i="269"/>
  <c r="H20" i="269"/>
  <c r="G20" i="269"/>
  <c r="F20" i="269"/>
  <c r="E20" i="269"/>
  <c r="D20" i="269"/>
  <c r="C20" i="269"/>
  <c r="C27" i="269" s="1"/>
  <c r="C19" i="269"/>
  <c r="D19" i="269" s="1"/>
  <c r="E19" i="269" s="1"/>
  <c r="F19" i="269" s="1"/>
  <c r="G19" i="269" s="1"/>
  <c r="H19" i="269" s="1"/>
  <c r="I19" i="269" s="1"/>
  <c r="J19" i="269" s="1"/>
  <c r="K19" i="269" s="1"/>
  <c r="L19" i="269" s="1"/>
  <c r="M19" i="269" s="1"/>
  <c r="N19" i="269" s="1"/>
  <c r="O19" i="269" s="1"/>
  <c r="P19" i="269" s="1"/>
  <c r="Q19" i="269" s="1"/>
  <c r="R19" i="269" s="1"/>
  <c r="S19" i="269" s="1"/>
  <c r="T19" i="269" s="1"/>
  <c r="U19" i="269" s="1"/>
  <c r="V19" i="269" s="1"/>
  <c r="W19" i="269" s="1"/>
  <c r="X19" i="269" s="1"/>
  <c r="X15" i="269"/>
  <c r="W15" i="269"/>
  <c r="V15" i="269"/>
  <c r="U15" i="269"/>
  <c r="T15" i="269"/>
  <c r="S15" i="269"/>
  <c r="R15" i="269"/>
  <c r="Q15" i="269"/>
  <c r="P15" i="269"/>
  <c r="O15" i="269"/>
  <c r="N15" i="269"/>
  <c r="M15" i="269"/>
  <c r="L15" i="269"/>
  <c r="K15" i="269"/>
  <c r="J15" i="269"/>
  <c r="I15" i="269"/>
  <c r="H15" i="269"/>
  <c r="G15" i="269"/>
  <c r="F15" i="269"/>
  <c r="E15" i="269"/>
  <c r="D15" i="269"/>
  <c r="C15" i="269"/>
  <c r="C16" i="269" s="1"/>
  <c r="C17" i="269" s="1"/>
  <c r="C18" i="269" s="1"/>
  <c r="Y24" i="263"/>
  <c r="D23" i="263"/>
  <c r="X22" i="263"/>
  <c r="W22" i="263"/>
  <c r="V22" i="263"/>
  <c r="U22" i="263"/>
  <c r="T22" i="263"/>
  <c r="S22" i="263"/>
  <c r="R22" i="263"/>
  <c r="Q22" i="263"/>
  <c r="P22" i="263"/>
  <c r="O22" i="263"/>
  <c r="N22" i="263"/>
  <c r="M22" i="263"/>
  <c r="L22" i="263"/>
  <c r="K22" i="263"/>
  <c r="J22" i="263"/>
  <c r="I22" i="263"/>
  <c r="H22" i="263"/>
  <c r="G22" i="263"/>
  <c r="F22" i="263"/>
  <c r="E22" i="263"/>
  <c r="D22" i="263"/>
  <c r="C22" i="263"/>
  <c r="C29" i="263" s="1"/>
  <c r="D21" i="263"/>
  <c r="C21" i="263"/>
  <c r="C28" i="263" s="1"/>
  <c r="X20" i="263"/>
  <c r="W20" i="263"/>
  <c r="V20" i="263"/>
  <c r="U20" i="263"/>
  <c r="T20" i="263"/>
  <c r="S20" i="263"/>
  <c r="R20" i="263"/>
  <c r="Q20" i="263"/>
  <c r="P20" i="263"/>
  <c r="O20" i="263"/>
  <c r="N20" i="263"/>
  <c r="M20" i="263"/>
  <c r="L20" i="263"/>
  <c r="K20" i="263"/>
  <c r="J20" i="263"/>
  <c r="I20" i="263"/>
  <c r="H20" i="263"/>
  <c r="G20" i="263"/>
  <c r="F20" i="263"/>
  <c r="E20" i="263"/>
  <c r="D20" i="263"/>
  <c r="C20" i="263"/>
  <c r="C27" i="263" s="1"/>
  <c r="C19" i="263"/>
  <c r="D19" i="263" s="1"/>
  <c r="E19" i="263" s="1"/>
  <c r="F19" i="263" s="1"/>
  <c r="G19" i="263" s="1"/>
  <c r="H19" i="263" s="1"/>
  <c r="I19" i="263" s="1"/>
  <c r="J19" i="263" s="1"/>
  <c r="K19" i="263" s="1"/>
  <c r="L19" i="263" s="1"/>
  <c r="M19" i="263" s="1"/>
  <c r="N19" i="263" s="1"/>
  <c r="O19" i="263" s="1"/>
  <c r="P19" i="263" s="1"/>
  <c r="Q19" i="263" s="1"/>
  <c r="R19" i="263" s="1"/>
  <c r="S19" i="263" s="1"/>
  <c r="T19" i="263" s="1"/>
  <c r="U19" i="263" s="1"/>
  <c r="V19" i="263" s="1"/>
  <c r="W19" i="263" s="1"/>
  <c r="X19" i="263" s="1"/>
  <c r="X15" i="263"/>
  <c r="W15" i="263"/>
  <c r="V15" i="263"/>
  <c r="U15" i="263"/>
  <c r="T15" i="263"/>
  <c r="S15" i="263"/>
  <c r="R15" i="263"/>
  <c r="Q15" i="263"/>
  <c r="P15" i="263"/>
  <c r="O15" i="263"/>
  <c r="N15" i="263"/>
  <c r="M15" i="263"/>
  <c r="L15" i="263"/>
  <c r="K15" i="263"/>
  <c r="J15" i="263"/>
  <c r="I15" i="263"/>
  <c r="H15" i="263"/>
  <c r="G15" i="263"/>
  <c r="F15" i="263"/>
  <c r="E15" i="263"/>
  <c r="D15" i="263"/>
  <c r="C15" i="263"/>
  <c r="C16" i="263" s="1"/>
  <c r="C17" i="263" s="1"/>
  <c r="C18" i="263" s="1"/>
  <c r="Y24" i="58"/>
  <c r="D23" i="58"/>
  <c r="X22" i="58"/>
  <c r="W22" i="58"/>
  <c r="V22" i="58"/>
  <c r="U22" i="58"/>
  <c r="T22" i="58"/>
  <c r="S22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C29" i="58" s="1"/>
  <c r="D21" i="58"/>
  <c r="C21" i="58"/>
  <c r="C28" i="58" s="1"/>
  <c r="X20" i="58"/>
  <c r="W20" i="58"/>
  <c r="V20" i="58"/>
  <c r="U20" i="58"/>
  <c r="T20" i="58"/>
  <c r="S20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C27" i="58" s="1"/>
  <c r="D19" i="58"/>
  <c r="E19" i="58" s="1"/>
  <c r="F19" i="58" s="1"/>
  <c r="G19" i="58" s="1"/>
  <c r="H19" i="58" s="1"/>
  <c r="I19" i="58" s="1"/>
  <c r="J19" i="58" s="1"/>
  <c r="K19" i="58" s="1"/>
  <c r="L19" i="58" s="1"/>
  <c r="M19" i="58" s="1"/>
  <c r="N19" i="58" s="1"/>
  <c r="O19" i="58" s="1"/>
  <c r="P19" i="58" s="1"/>
  <c r="Q19" i="58" s="1"/>
  <c r="R19" i="58" s="1"/>
  <c r="S19" i="58" s="1"/>
  <c r="T19" i="58" s="1"/>
  <c r="U19" i="58" s="1"/>
  <c r="V19" i="58" s="1"/>
  <c r="W19" i="58" s="1"/>
  <c r="X19" i="58" s="1"/>
  <c r="C19" i="58"/>
  <c r="X15" i="58"/>
  <c r="W15" i="58"/>
  <c r="V15" i="58"/>
  <c r="U15" i="58"/>
  <c r="T15" i="58"/>
  <c r="S15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C15" i="58"/>
  <c r="C16" i="58" s="1"/>
  <c r="C17" i="58" s="1"/>
  <c r="C18" i="58" s="1"/>
  <c r="C29" i="219"/>
  <c r="Y24" i="219"/>
  <c r="D23" i="219"/>
  <c r="X22" i="219"/>
  <c r="W22" i="219"/>
  <c r="V22" i="219"/>
  <c r="U22" i="219"/>
  <c r="T22" i="219"/>
  <c r="S22" i="219"/>
  <c r="R22" i="219"/>
  <c r="Q22" i="219"/>
  <c r="P22" i="219"/>
  <c r="O22" i="219"/>
  <c r="N22" i="219"/>
  <c r="M22" i="219"/>
  <c r="L22" i="219"/>
  <c r="K22" i="219"/>
  <c r="J22" i="219"/>
  <c r="I22" i="219"/>
  <c r="H22" i="219"/>
  <c r="G22" i="219"/>
  <c r="F22" i="219"/>
  <c r="E22" i="219"/>
  <c r="D22" i="219"/>
  <c r="C22" i="219"/>
  <c r="D21" i="219"/>
  <c r="C21" i="219"/>
  <c r="C28" i="219" s="1"/>
  <c r="X20" i="219"/>
  <c r="W20" i="219"/>
  <c r="V20" i="219"/>
  <c r="U20" i="219"/>
  <c r="T20" i="219"/>
  <c r="S20" i="219"/>
  <c r="R20" i="219"/>
  <c r="Q20" i="219"/>
  <c r="P20" i="219"/>
  <c r="O20" i="219"/>
  <c r="N20" i="219"/>
  <c r="M20" i="219"/>
  <c r="L20" i="219"/>
  <c r="K20" i="219"/>
  <c r="J20" i="219"/>
  <c r="I20" i="219"/>
  <c r="H20" i="219"/>
  <c r="G20" i="219"/>
  <c r="F20" i="219"/>
  <c r="E20" i="219"/>
  <c r="D20" i="219"/>
  <c r="C20" i="219"/>
  <c r="C27" i="219" s="1"/>
  <c r="C19" i="219"/>
  <c r="D19" i="219" s="1"/>
  <c r="E19" i="219" s="1"/>
  <c r="F19" i="219" s="1"/>
  <c r="G19" i="219" s="1"/>
  <c r="H19" i="219" s="1"/>
  <c r="I19" i="219" s="1"/>
  <c r="J19" i="219" s="1"/>
  <c r="K19" i="219" s="1"/>
  <c r="L19" i="219" s="1"/>
  <c r="M19" i="219" s="1"/>
  <c r="N19" i="219" s="1"/>
  <c r="O19" i="219" s="1"/>
  <c r="P19" i="219" s="1"/>
  <c r="Q19" i="219" s="1"/>
  <c r="R19" i="219" s="1"/>
  <c r="S19" i="219" s="1"/>
  <c r="T19" i="219" s="1"/>
  <c r="U19" i="219" s="1"/>
  <c r="V19" i="219" s="1"/>
  <c r="W19" i="219" s="1"/>
  <c r="X19" i="219" s="1"/>
  <c r="X15" i="219"/>
  <c r="W15" i="219"/>
  <c r="V15" i="219"/>
  <c r="U15" i="219"/>
  <c r="T15" i="219"/>
  <c r="S15" i="219"/>
  <c r="R15" i="219"/>
  <c r="Q15" i="219"/>
  <c r="P15" i="219"/>
  <c r="O15" i="219"/>
  <c r="N15" i="219"/>
  <c r="M15" i="219"/>
  <c r="L15" i="219"/>
  <c r="K15" i="219"/>
  <c r="J15" i="219"/>
  <c r="I15" i="219"/>
  <c r="H15" i="219"/>
  <c r="G15" i="219"/>
  <c r="F15" i="219"/>
  <c r="E15" i="219"/>
  <c r="D15" i="219"/>
  <c r="C15" i="219"/>
  <c r="C16" i="219" s="1"/>
  <c r="C17" i="219" s="1"/>
  <c r="C18" i="219" s="1"/>
  <c r="Y24" i="286"/>
  <c r="D23" i="286"/>
  <c r="X22" i="286"/>
  <c r="W22" i="286"/>
  <c r="V22" i="286"/>
  <c r="U22" i="286"/>
  <c r="T22" i="286"/>
  <c r="S22" i="286"/>
  <c r="R22" i="286"/>
  <c r="Q22" i="286"/>
  <c r="P22" i="286"/>
  <c r="O22" i="286"/>
  <c r="N22" i="286"/>
  <c r="M22" i="286"/>
  <c r="L22" i="286"/>
  <c r="K22" i="286"/>
  <c r="J22" i="286"/>
  <c r="I22" i="286"/>
  <c r="H22" i="286"/>
  <c r="G22" i="286"/>
  <c r="F22" i="286"/>
  <c r="E22" i="286"/>
  <c r="D22" i="286"/>
  <c r="C22" i="286"/>
  <c r="D21" i="286"/>
  <c r="C21" i="286"/>
  <c r="C28" i="286" s="1"/>
  <c r="X20" i="286"/>
  <c r="W20" i="286"/>
  <c r="V20" i="286"/>
  <c r="U20" i="286"/>
  <c r="T20" i="286"/>
  <c r="S20" i="286"/>
  <c r="R20" i="286"/>
  <c r="Q20" i="286"/>
  <c r="P20" i="286"/>
  <c r="O20" i="286"/>
  <c r="N20" i="286"/>
  <c r="M20" i="286"/>
  <c r="L20" i="286"/>
  <c r="K20" i="286"/>
  <c r="J20" i="286"/>
  <c r="I20" i="286"/>
  <c r="H20" i="286"/>
  <c r="G20" i="286"/>
  <c r="F20" i="286"/>
  <c r="E20" i="286"/>
  <c r="D20" i="286"/>
  <c r="C20" i="286"/>
  <c r="C19" i="286"/>
  <c r="D19" i="286" s="1"/>
  <c r="E19" i="286" s="1"/>
  <c r="F19" i="286" s="1"/>
  <c r="G19" i="286" s="1"/>
  <c r="H19" i="286" s="1"/>
  <c r="I19" i="286" s="1"/>
  <c r="J19" i="286" s="1"/>
  <c r="K19" i="286" s="1"/>
  <c r="L19" i="286" s="1"/>
  <c r="M19" i="286" s="1"/>
  <c r="N19" i="286" s="1"/>
  <c r="O19" i="286" s="1"/>
  <c r="P19" i="286" s="1"/>
  <c r="Q19" i="286" s="1"/>
  <c r="R19" i="286" s="1"/>
  <c r="S19" i="286" s="1"/>
  <c r="T19" i="286" s="1"/>
  <c r="U19" i="286" s="1"/>
  <c r="V19" i="286" s="1"/>
  <c r="W19" i="286" s="1"/>
  <c r="X19" i="286" s="1"/>
  <c r="X15" i="286"/>
  <c r="W15" i="286"/>
  <c r="V15" i="286"/>
  <c r="U15" i="286"/>
  <c r="T15" i="286"/>
  <c r="S15" i="286"/>
  <c r="R15" i="286"/>
  <c r="Q15" i="286"/>
  <c r="P15" i="286"/>
  <c r="O15" i="286"/>
  <c r="N15" i="286"/>
  <c r="M15" i="286"/>
  <c r="L15" i="286"/>
  <c r="K15" i="286"/>
  <c r="J15" i="286"/>
  <c r="I15" i="286"/>
  <c r="H15" i="286"/>
  <c r="G15" i="286"/>
  <c r="F15" i="286"/>
  <c r="E15" i="286"/>
  <c r="D15" i="286"/>
  <c r="C15" i="286"/>
  <c r="C16" i="286" s="1"/>
  <c r="C17" i="286" s="1"/>
  <c r="C18" i="286" s="1"/>
  <c r="C28" i="201"/>
  <c r="Y24" i="201"/>
  <c r="D23" i="201"/>
  <c r="X22" i="201"/>
  <c r="W22" i="201"/>
  <c r="V22" i="201"/>
  <c r="U22" i="201"/>
  <c r="T22" i="201"/>
  <c r="S22" i="201"/>
  <c r="R22" i="201"/>
  <c r="Q22" i="201"/>
  <c r="P22" i="201"/>
  <c r="O22" i="201"/>
  <c r="N22" i="201"/>
  <c r="M22" i="201"/>
  <c r="L22" i="201"/>
  <c r="K22" i="201"/>
  <c r="J22" i="201"/>
  <c r="I22" i="201"/>
  <c r="H22" i="201"/>
  <c r="G22" i="201"/>
  <c r="F22" i="201"/>
  <c r="E22" i="201"/>
  <c r="D22" i="201"/>
  <c r="C22" i="201"/>
  <c r="C29" i="201" s="1"/>
  <c r="D21" i="201"/>
  <c r="C21" i="201"/>
  <c r="X20" i="201"/>
  <c r="W20" i="201"/>
  <c r="V20" i="201"/>
  <c r="U20" i="201"/>
  <c r="T20" i="201"/>
  <c r="S20" i="201"/>
  <c r="R20" i="201"/>
  <c r="Q20" i="201"/>
  <c r="P20" i="201"/>
  <c r="O20" i="201"/>
  <c r="N20" i="201"/>
  <c r="M20" i="201"/>
  <c r="L20" i="201"/>
  <c r="K20" i="201"/>
  <c r="J20" i="201"/>
  <c r="I20" i="201"/>
  <c r="H20" i="201"/>
  <c r="G20" i="201"/>
  <c r="F20" i="201"/>
  <c r="E20" i="201"/>
  <c r="D20" i="201"/>
  <c r="C20" i="201"/>
  <c r="C27" i="201" s="1"/>
  <c r="C19" i="201"/>
  <c r="D19" i="201" s="1"/>
  <c r="E19" i="201" s="1"/>
  <c r="F19" i="201" s="1"/>
  <c r="G19" i="201" s="1"/>
  <c r="H19" i="201" s="1"/>
  <c r="I19" i="201" s="1"/>
  <c r="J19" i="201" s="1"/>
  <c r="K19" i="201" s="1"/>
  <c r="L19" i="201" s="1"/>
  <c r="M19" i="201" s="1"/>
  <c r="N19" i="201" s="1"/>
  <c r="O19" i="201" s="1"/>
  <c r="P19" i="201" s="1"/>
  <c r="Q19" i="201" s="1"/>
  <c r="R19" i="201" s="1"/>
  <c r="S19" i="201" s="1"/>
  <c r="T19" i="201" s="1"/>
  <c r="U19" i="201" s="1"/>
  <c r="V19" i="201" s="1"/>
  <c r="W19" i="201" s="1"/>
  <c r="X19" i="201" s="1"/>
  <c r="X15" i="201"/>
  <c r="W15" i="201"/>
  <c r="V15" i="201"/>
  <c r="U15" i="201"/>
  <c r="T15" i="201"/>
  <c r="S15" i="201"/>
  <c r="R15" i="201"/>
  <c r="Q15" i="201"/>
  <c r="P15" i="201"/>
  <c r="O15" i="201"/>
  <c r="N15" i="201"/>
  <c r="M15" i="201"/>
  <c r="L15" i="201"/>
  <c r="K15" i="201"/>
  <c r="J15" i="201"/>
  <c r="I15" i="201"/>
  <c r="H15" i="201"/>
  <c r="G15" i="201"/>
  <c r="F15" i="201"/>
  <c r="E15" i="201"/>
  <c r="D15" i="201"/>
  <c r="C15" i="201"/>
  <c r="C16" i="201" s="1"/>
  <c r="C17" i="201" s="1"/>
  <c r="C18" i="201" s="1"/>
  <c r="Y24" i="176"/>
  <c r="D23" i="176"/>
  <c r="X22" i="176"/>
  <c r="W22" i="176"/>
  <c r="V22" i="176"/>
  <c r="U22" i="176"/>
  <c r="T22" i="176"/>
  <c r="S22" i="176"/>
  <c r="R22" i="176"/>
  <c r="Q22" i="176"/>
  <c r="P22" i="176"/>
  <c r="O22" i="176"/>
  <c r="N22" i="176"/>
  <c r="M22" i="176"/>
  <c r="L22" i="176"/>
  <c r="K22" i="176"/>
  <c r="J22" i="176"/>
  <c r="I22" i="176"/>
  <c r="H22" i="176"/>
  <c r="G22" i="176"/>
  <c r="F22" i="176"/>
  <c r="E22" i="176"/>
  <c r="D22" i="176"/>
  <c r="C22" i="176"/>
  <c r="C29" i="176" s="1"/>
  <c r="D21" i="176"/>
  <c r="C21" i="176"/>
  <c r="C28" i="176" s="1"/>
  <c r="X20" i="176"/>
  <c r="W20" i="176"/>
  <c r="V20" i="176"/>
  <c r="U20" i="176"/>
  <c r="T20" i="176"/>
  <c r="S20" i="176"/>
  <c r="R20" i="176"/>
  <c r="Q20" i="176"/>
  <c r="P20" i="176"/>
  <c r="O20" i="176"/>
  <c r="N20" i="176"/>
  <c r="M20" i="176"/>
  <c r="L20" i="176"/>
  <c r="K20" i="176"/>
  <c r="J20" i="176"/>
  <c r="I20" i="176"/>
  <c r="H20" i="176"/>
  <c r="G20" i="176"/>
  <c r="F20" i="176"/>
  <c r="E20" i="176"/>
  <c r="D20" i="176"/>
  <c r="C20" i="176"/>
  <c r="C27" i="176" s="1"/>
  <c r="C19" i="176"/>
  <c r="D19" i="176" s="1"/>
  <c r="E19" i="176" s="1"/>
  <c r="F19" i="176" s="1"/>
  <c r="G19" i="176" s="1"/>
  <c r="H19" i="176" s="1"/>
  <c r="I19" i="176" s="1"/>
  <c r="J19" i="176" s="1"/>
  <c r="K19" i="176" s="1"/>
  <c r="L19" i="176" s="1"/>
  <c r="M19" i="176" s="1"/>
  <c r="N19" i="176" s="1"/>
  <c r="O19" i="176" s="1"/>
  <c r="P19" i="176" s="1"/>
  <c r="Q19" i="176" s="1"/>
  <c r="R19" i="176" s="1"/>
  <c r="S19" i="176" s="1"/>
  <c r="T19" i="176" s="1"/>
  <c r="U19" i="176" s="1"/>
  <c r="V19" i="176" s="1"/>
  <c r="W19" i="176" s="1"/>
  <c r="X19" i="176" s="1"/>
  <c r="X15" i="176"/>
  <c r="W15" i="176"/>
  <c r="V15" i="176"/>
  <c r="U15" i="176"/>
  <c r="T15" i="176"/>
  <c r="S15" i="176"/>
  <c r="R15" i="176"/>
  <c r="Q15" i="176"/>
  <c r="P15" i="176"/>
  <c r="O15" i="176"/>
  <c r="N15" i="176"/>
  <c r="M15" i="176"/>
  <c r="L15" i="176"/>
  <c r="K15" i="176"/>
  <c r="J15" i="176"/>
  <c r="I15" i="176"/>
  <c r="H15" i="176"/>
  <c r="G15" i="176"/>
  <c r="F15" i="176"/>
  <c r="E15" i="176"/>
  <c r="D15" i="176"/>
  <c r="C15" i="176"/>
  <c r="C16" i="176" s="1"/>
  <c r="C17" i="176" s="1"/>
  <c r="C18" i="176" s="1"/>
  <c r="S23" i="308" l="1"/>
  <c r="S21" i="308"/>
  <c r="S17" i="308"/>
  <c r="S18" i="308" s="1"/>
  <c r="T16" i="308"/>
  <c r="U27" i="293"/>
  <c r="X27" i="120"/>
  <c r="X29" i="120"/>
  <c r="W27" i="160"/>
  <c r="X27" i="160"/>
  <c r="X29" i="160"/>
  <c r="C29" i="269"/>
  <c r="E29" i="247"/>
  <c r="E29" i="287"/>
  <c r="C29" i="157"/>
  <c r="C29" i="160"/>
  <c r="E29" i="295"/>
  <c r="C17" i="261"/>
  <c r="C18" i="261" s="1"/>
  <c r="C17" i="195"/>
  <c r="C18" i="195" s="1"/>
  <c r="E29" i="191"/>
  <c r="E29" i="213"/>
  <c r="E29" i="296"/>
  <c r="E29" i="279"/>
  <c r="C27" i="120"/>
  <c r="D16" i="260"/>
  <c r="D17" i="260" s="1"/>
  <c r="D18" i="260" s="1"/>
  <c r="C17" i="281"/>
  <c r="C18" i="281" s="1"/>
  <c r="C17" i="290"/>
  <c r="C18" i="290" s="1"/>
  <c r="C17" i="272"/>
  <c r="C18" i="272" s="1"/>
  <c r="L51" i="72"/>
  <c r="M51" i="72" s="1"/>
  <c r="C27" i="160"/>
  <c r="E29" i="275"/>
  <c r="D24" i="76"/>
  <c r="D51" i="76"/>
  <c r="W27" i="120"/>
  <c r="S29" i="120"/>
  <c r="C29" i="120"/>
  <c r="C17" i="275"/>
  <c r="C18" i="275" s="1"/>
  <c r="M19" i="267"/>
  <c r="N19" i="267" s="1"/>
  <c r="O19" i="267" s="1"/>
  <c r="P19" i="267" s="1"/>
  <c r="Q19" i="267" s="1"/>
  <c r="R19" i="267" s="1"/>
  <c r="S19" i="267" s="1"/>
  <c r="T19" i="267" s="1"/>
  <c r="U19" i="267" s="1"/>
  <c r="V19" i="267" s="1"/>
  <c r="W19" i="267" s="1"/>
  <c r="X19" i="267" s="1"/>
  <c r="D76" i="4"/>
  <c r="L76" i="76"/>
  <c r="K76" i="72"/>
  <c r="U29" i="293"/>
  <c r="S29" i="160"/>
  <c r="U27" i="284"/>
  <c r="O27" i="284"/>
  <c r="U29" i="284"/>
  <c r="X27" i="208"/>
  <c r="W27" i="208"/>
  <c r="X29" i="208"/>
  <c r="S29" i="208"/>
  <c r="X27" i="261"/>
  <c r="X29" i="261"/>
  <c r="U27" i="201"/>
  <c r="W27" i="201"/>
  <c r="U29" i="201"/>
  <c r="S29" i="201"/>
  <c r="X27" i="235"/>
  <c r="W27" i="235"/>
  <c r="X29" i="235"/>
  <c r="S29" i="235"/>
  <c r="X27" i="294"/>
  <c r="S27" i="294"/>
  <c r="O27" i="294"/>
  <c r="X29" i="294"/>
  <c r="W29" i="294"/>
  <c r="K29" i="294"/>
  <c r="X27" i="288"/>
  <c r="W27" i="288"/>
  <c r="X29" i="288"/>
  <c r="S29" i="288"/>
  <c r="X27" i="249"/>
  <c r="X29" i="249"/>
  <c r="X27" i="202"/>
  <c r="X29" i="202"/>
  <c r="X27" i="283"/>
  <c r="X29" i="283"/>
  <c r="U27" i="267"/>
  <c r="U29" i="267"/>
  <c r="U27" i="176"/>
  <c r="U29" i="176"/>
  <c r="X27" i="271"/>
  <c r="S27" i="271"/>
  <c r="X29" i="271"/>
  <c r="W29" i="271"/>
  <c r="X27" i="220"/>
  <c r="S27" i="220"/>
  <c r="O27" i="220"/>
  <c r="X29" i="220"/>
  <c r="W29" i="220"/>
  <c r="K29" i="220"/>
  <c r="X27" i="58"/>
  <c r="W27" i="58"/>
  <c r="X29" i="58"/>
  <c r="S29" i="58"/>
  <c r="I17" i="307"/>
  <c r="I18" i="307" s="1"/>
  <c r="J16" i="307"/>
  <c r="I23" i="307"/>
  <c r="I21" i="307"/>
  <c r="O27" i="201"/>
  <c r="X27" i="201"/>
  <c r="S27" i="201"/>
  <c r="X29" i="201"/>
  <c r="W29" i="201"/>
  <c r="K29" i="201"/>
  <c r="X27" i="297"/>
  <c r="X29" i="297"/>
  <c r="X27" i="123"/>
  <c r="X29" i="123"/>
  <c r="U27" i="220"/>
  <c r="W27" i="220"/>
  <c r="U29" i="220"/>
  <c r="S29" i="220"/>
  <c r="U27" i="294"/>
  <c r="W27" i="294"/>
  <c r="U29" i="294"/>
  <c r="S29" i="294"/>
  <c r="K29" i="271"/>
  <c r="U27" i="271"/>
  <c r="W27" i="271"/>
  <c r="U29" i="271"/>
  <c r="S29" i="271"/>
  <c r="O27" i="271"/>
  <c r="G27" i="271"/>
  <c r="G27" i="220"/>
  <c r="X27" i="257"/>
  <c r="W27" i="257"/>
  <c r="X29" i="257"/>
  <c r="S29" i="257"/>
  <c r="X27" i="188"/>
  <c r="X29" i="188"/>
  <c r="X27" i="260"/>
  <c r="X29" i="260"/>
  <c r="G27" i="294"/>
  <c r="G27" i="284"/>
  <c r="W27" i="284"/>
  <c r="S29" i="284"/>
  <c r="X27" i="284"/>
  <c r="S27" i="284"/>
  <c r="X29" i="284"/>
  <c r="W29" i="284"/>
  <c r="X27" i="219"/>
  <c r="W27" i="219"/>
  <c r="X29" i="219"/>
  <c r="S29" i="219"/>
  <c r="G27" i="201"/>
  <c r="E29" i="118"/>
  <c r="E16" i="301"/>
  <c r="E17" i="301" s="1"/>
  <c r="E18" i="301" s="1"/>
  <c r="F23" i="301" s="1"/>
  <c r="F30" i="301" s="1"/>
  <c r="E21" i="301"/>
  <c r="E29" i="245"/>
  <c r="M35" i="72"/>
  <c r="D30" i="306"/>
  <c r="E28" i="306"/>
  <c r="E17" i="306"/>
  <c r="E18" i="306" s="1"/>
  <c r="F16" i="306"/>
  <c r="E29" i="159"/>
  <c r="E29" i="263"/>
  <c r="G27" i="293"/>
  <c r="W27" i="293"/>
  <c r="S29" i="293"/>
  <c r="X27" i="293"/>
  <c r="S27" i="293"/>
  <c r="X29" i="293"/>
  <c r="W29" i="293"/>
  <c r="O27" i="293"/>
  <c r="K29" i="293"/>
  <c r="X27" i="153"/>
  <c r="X29" i="153"/>
  <c r="X27" i="195"/>
  <c r="X29" i="195"/>
  <c r="X27" i="285"/>
  <c r="X29" i="285"/>
  <c r="M64" i="72"/>
  <c r="E30" i="305"/>
  <c r="E28" i="305"/>
  <c r="E17" i="305"/>
  <c r="E18" i="305" s="1"/>
  <c r="F16" i="305"/>
  <c r="X27" i="276"/>
  <c r="X29" i="276"/>
  <c r="E29" i="217"/>
  <c r="S27" i="176"/>
  <c r="W29" i="176"/>
  <c r="E30" i="304"/>
  <c r="E28" i="304"/>
  <c r="E17" i="304"/>
  <c r="E18" i="304" s="1"/>
  <c r="F16" i="304"/>
  <c r="E30" i="303"/>
  <c r="E17" i="303"/>
  <c r="E18" i="303" s="1"/>
  <c r="F16" i="303"/>
  <c r="E28" i="303"/>
  <c r="X27" i="286"/>
  <c r="X29" i="286"/>
  <c r="E29" i="241"/>
  <c r="K27" i="271"/>
  <c r="G29" i="271"/>
  <c r="O29" i="271"/>
  <c r="K27" i="220"/>
  <c r="G29" i="220"/>
  <c r="O29" i="220"/>
  <c r="K27" i="257"/>
  <c r="S27" i="257"/>
  <c r="G29" i="257"/>
  <c r="O29" i="257"/>
  <c r="W29" i="257"/>
  <c r="U27" i="257"/>
  <c r="U29" i="257"/>
  <c r="G27" i="257"/>
  <c r="O27" i="257"/>
  <c r="K29" i="257"/>
  <c r="K27" i="235"/>
  <c r="S27" i="235"/>
  <c r="G29" i="235"/>
  <c r="O29" i="235"/>
  <c r="W29" i="235"/>
  <c r="U27" i="235"/>
  <c r="U29" i="235"/>
  <c r="G27" i="235"/>
  <c r="O27" i="235"/>
  <c r="K29" i="235"/>
  <c r="K27" i="208"/>
  <c r="S27" i="208"/>
  <c r="G29" i="208"/>
  <c r="O29" i="208"/>
  <c r="W29" i="208"/>
  <c r="U27" i="208"/>
  <c r="U29" i="208"/>
  <c r="G27" i="208"/>
  <c r="O27" i="208"/>
  <c r="K29" i="208"/>
  <c r="K27" i="120"/>
  <c r="S27" i="120"/>
  <c r="G29" i="120"/>
  <c r="O29" i="120"/>
  <c r="W29" i="120"/>
  <c r="U27" i="120"/>
  <c r="U29" i="120"/>
  <c r="G27" i="120"/>
  <c r="O27" i="120"/>
  <c r="K29" i="120"/>
  <c r="K27" i="160"/>
  <c r="S27" i="160"/>
  <c r="G29" i="160"/>
  <c r="O29" i="160"/>
  <c r="W29" i="160"/>
  <c r="U27" i="160"/>
  <c r="U29" i="160"/>
  <c r="G27" i="160"/>
  <c r="O27" i="160"/>
  <c r="K29" i="160"/>
  <c r="K27" i="294"/>
  <c r="G29" i="294"/>
  <c r="O29" i="294"/>
  <c r="K27" i="288"/>
  <c r="S27" i="288"/>
  <c r="G29" i="288"/>
  <c r="O29" i="288"/>
  <c r="W29" i="288"/>
  <c r="U27" i="288"/>
  <c r="U29" i="288"/>
  <c r="G27" i="288"/>
  <c r="O27" i="288"/>
  <c r="K29" i="288"/>
  <c r="K27" i="284"/>
  <c r="G29" i="284"/>
  <c r="O29" i="284"/>
  <c r="K27" i="293"/>
  <c r="G29" i="293"/>
  <c r="O29" i="293"/>
  <c r="K27" i="58"/>
  <c r="S27" i="58"/>
  <c r="G29" i="58"/>
  <c r="O29" i="58"/>
  <c r="W29" i="58"/>
  <c r="U27" i="58"/>
  <c r="U29" i="58"/>
  <c r="G27" i="58"/>
  <c r="O27" i="58"/>
  <c r="K29" i="58"/>
  <c r="K27" i="219"/>
  <c r="S27" i="219"/>
  <c r="G29" i="219"/>
  <c r="O29" i="219"/>
  <c r="W29" i="219"/>
  <c r="U27" i="219"/>
  <c r="U29" i="219"/>
  <c r="G27" i="219"/>
  <c r="O27" i="219"/>
  <c r="K29" i="219"/>
  <c r="K27" i="201"/>
  <c r="G29" i="201"/>
  <c r="O29" i="201"/>
  <c r="G27" i="176"/>
  <c r="O27" i="176"/>
  <c r="W27" i="176"/>
  <c r="K29" i="176"/>
  <c r="S29" i="176"/>
  <c r="X27" i="176"/>
  <c r="X29" i="176"/>
  <c r="K27" i="176"/>
  <c r="G29" i="176"/>
  <c r="O29" i="176"/>
  <c r="D16" i="242"/>
  <c r="D17" i="242" s="1"/>
  <c r="D18" i="242" s="1"/>
  <c r="U27" i="242"/>
  <c r="U29" i="242"/>
  <c r="C29" i="159"/>
  <c r="C27" i="202"/>
  <c r="K27" i="202"/>
  <c r="S27" i="202"/>
  <c r="G29" i="202"/>
  <c r="O29" i="202"/>
  <c r="W29" i="202"/>
  <c r="U27" i="202"/>
  <c r="U29" i="202"/>
  <c r="G27" i="202"/>
  <c r="O27" i="202"/>
  <c r="W27" i="202"/>
  <c r="C29" i="202"/>
  <c r="K29" i="202"/>
  <c r="S29" i="202"/>
  <c r="E29" i="264"/>
  <c r="C27" i="188"/>
  <c r="K27" i="188"/>
  <c r="S27" i="188"/>
  <c r="G29" i="188"/>
  <c r="O29" i="188"/>
  <c r="W29" i="188"/>
  <c r="U27" i="188"/>
  <c r="U29" i="188"/>
  <c r="G27" i="188"/>
  <c r="O27" i="188"/>
  <c r="W27" i="188"/>
  <c r="C29" i="188"/>
  <c r="K29" i="188"/>
  <c r="S29" i="188"/>
  <c r="E29" i="259"/>
  <c r="D30" i="302"/>
  <c r="C30" i="302"/>
  <c r="E23" i="302"/>
  <c r="E30" i="302" s="1"/>
  <c r="E21" i="302"/>
  <c r="E16" i="302"/>
  <c r="E29" i="163"/>
  <c r="C29" i="118"/>
  <c r="C29" i="119"/>
  <c r="F21" i="301"/>
  <c r="D30" i="301"/>
  <c r="E30" i="301"/>
  <c r="C30" i="301"/>
  <c r="C27" i="261"/>
  <c r="K27" i="261"/>
  <c r="S27" i="261"/>
  <c r="G29" i="261"/>
  <c r="O29" i="261"/>
  <c r="W29" i="261"/>
  <c r="U27" i="261"/>
  <c r="U29" i="261"/>
  <c r="G27" i="261"/>
  <c r="O27" i="261"/>
  <c r="W27" i="261"/>
  <c r="C29" i="261"/>
  <c r="K29" i="261"/>
  <c r="S29" i="261"/>
  <c r="C29" i="241"/>
  <c r="E23" i="300"/>
  <c r="E30" i="300" s="1"/>
  <c r="E21" i="300"/>
  <c r="D30" i="300"/>
  <c r="C30" i="300"/>
  <c r="E16" i="300"/>
  <c r="C27" i="285"/>
  <c r="K27" i="285"/>
  <c r="S27" i="285"/>
  <c r="G29" i="285"/>
  <c r="O29" i="285"/>
  <c r="W29" i="285"/>
  <c r="U27" i="285"/>
  <c r="U29" i="285"/>
  <c r="G27" i="285"/>
  <c r="O27" i="285"/>
  <c r="W27" i="285"/>
  <c r="C29" i="285"/>
  <c r="K29" i="285"/>
  <c r="S29" i="285"/>
  <c r="C29" i="275"/>
  <c r="C29" i="245"/>
  <c r="C29" i="286"/>
  <c r="U27" i="286"/>
  <c r="U29" i="286"/>
  <c r="S29" i="286"/>
  <c r="G27" i="286"/>
  <c r="W27" i="286"/>
  <c r="K29" i="286"/>
  <c r="O27" i="286"/>
  <c r="C27" i="286"/>
  <c r="K27" i="286"/>
  <c r="S27" i="286"/>
  <c r="G29" i="286"/>
  <c r="O29" i="286"/>
  <c r="W29" i="286"/>
  <c r="C29" i="217"/>
  <c r="E29" i="289"/>
  <c r="E29" i="298"/>
  <c r="D30" i="299"/>
  <c r="C30" i="299"/>
  <c r="E23" i="299"/>
  <c r="E21" i="299"/>
  <c r="E16" i="299"/>
  <c r="E29" i="161"/>
  <c r="G27" i="153"/>
  <c r="W27" i="153"/>
  <c r="K29" i="153"/>
  <c r="U27" i="153"/>
  <c r="U29" i="153"/>
  <c r="O27" i="153"/>
  <c r="C29" i="153"/>
  <c r="S29" i="153"/>
  <c r="C27" i="153"/>
  <c r="K27" i="153"/>
  <c r="S27" i="153"/>
  <c r="G29" i="153"/>
  <c r="O29" i="153"/>
  <c r="W29" i="153"/>
  <c r="O27" i="123"/>
  <c r="S29" i="123"/>
  <c r="U27" i="123"/>
  <c r="U29" i="123"/>
  <c r="C29" i="123"/>
  <c r="G27" i="123"/>
  <c r="W27" i="123"/>
  <c r="K29" i="123"/>
  <c r="C17" i="123"/>
  <c r="C18" i="123" s="1"/>
  <c r="C27" i="123"/>
  <c r="K27" i="123"/>
  <c r="S27" i="123"/>
  <c r="G29" i="123"/>
  <c r="O29" i="123"/>
  <c r="W29" i="123"/>
  <c r="F16" i="267"/>
  <c r="F17" i="267" s="1"/>
  <c r="F18" i="267" s="1"/>
  <c r="E16" i="267"/>
  <c r="E17" i="267" s="1"/>
  <c r="E18" i="267" s="1"/>
  <c r="X27" i="267"/>
  <c r="X29" i="267"/>
  <c r="G27" i="267"/>
  <c r="K27" i="267"/>
  <c r="O27" i="267"/>
  <c r="S27" i="267"/>
  <c r="W27" i="267"/>
  <c r="E28" i="267"/>
  <c r="G29" i="267"/>
  <c r="K29" i="267"/>
  <c r="O29" i="267"/>
  <c r="S29" i="267"/>
  <c r="W29" i="267"/>
  <c r="E27" i="267"/>
  <c r="I27" i="267"/>
  <c r="M27" i="267"/>
  <c r="Q27" i="267"/>
  <c r="E29" i="267"/>
  <c r="I29" i="267"/>
  <c r="M29" i="267"/>
  <c r="Q29" i="267"/>
  <c r="C23" i="267"/>
  <c r="D27" i="267"/>
  <c r="F27" i="267"/>
  <c r="H27" i="267"/>
  <c r="J27" i="267"/>
  <c r="L27" i="267"/>
  <c r="N27" i="267"/>
  <c r="P27" i="267"/>
  <c r="R27" i="267"/>
  <c r="T27" i="267"/>
  <c r="V27" i="267"/>
  <c r="D28" i="267"/>
  <c r="D29" i="267"/>
  <c r="F29" i="267"/>
  <c r="H29" i="267"/>
  <c r="J29" i="267"/>
  <c r="L29" i="267"/>
  <c r="N29" i="267"/>
  <c r="P29" i="267"/>
  <c r="R29" i="267"/>
  <c r="T29" i="267"/>
  <c r="V29" i="267"/>
  <c r="D16" i="245"/>
  <c r="D17" i="245" s="1"/>
  <c r="D18" i="245" s="1"/>
  <c r="W27" i="245"/>
  <c r="S27" i="245"/>
  <c r="O27" i="245"/>
  <c r="K27" i="245"/>
  <c r="G27" i="245"/>
  <c r="E27" i="245"/>
  <c r="M27" i="245"/>
  <c r="U27" i="245"/>
  <c r="W29" i="245"/>
  <c r="S29" i="245"/>
  <c r="O29" i="245"/>
  <c r="K29" i="245"/>
  <c r="G29" i="245"/>
  <c r="U29" i="245"/>
  <c r="Q29" i="245"/>
  <c r="M29" i="245"/>
  <c r="I27" i="245"/>
  <c r="Q27" i="245"/>
  <c r="I29" i="245"/>
  <c r="X27" i="245"/>
  <c r="X29" i="245"/>
  <c r="C23" i="245"/>
  <c r="D27" i="245"/>
  <c r="F27" i="245"/>
  <c r="H27" i="245"/>
  <c r="J27" i="245"/>
  <c r="L27" i="245"/>
  <c r="N27" i="245"/>
  <c r="P27" i="245"/>
  <c r="R27" i="245"/>
  <c r="T27" i="245"/>
  <c r="V27" i="245"/>
  <c r="D28" i="245"/>
  <c r="D29" i="245"/>
  <c r="F29" i="245"/>
  <c r="H29" i="245"/>
  <c r="J29" i="245"/>
  <c r="L29" i="245"/>
  <c r="N29" i="245"/>
  <c r="P29" i="245"/>
  <c r="R29" i="245"/>
  <c r="T29" i="245"/>
  <c r="V29" i="245"/>
  <c r="D16" i="276"/>
  <c r="D17" i="276" s="1"/>
  <c r="D18" i="276" s="1"/>
  <c r="C27" i="276"/>
  <c r="E27" i="276"/>
  <c r="G27" i="276"/>
  <c r="I27" i="276"/>
  <c r="K27" i="276"/>
  <c r="M27" i="276"/>
  <c r="O27" i="276"/>
  <c r="Q27" i="276"/>
  <c r="S27" i="276"/>
  <c r="U27" i="276"/>
  <c r="W27" i="276"/>
  <c r="C28" i="276"/>
  <c r="C29" i="276"/>
  <c r="E29" i="276"/>
  <c r="G29" i="276"/>
  <c r="I29" i="276"/>
  <c r="K29" i="276"/>
  <c r="M29" i="276"/>
  <c r="O29" i="276"/>
  <c r="Q29" i="276"/>
  <c r="S29" i="276"/>
  <c r="U29" i="276"/>
  <c r="W29" i="276"/>
  <c r="C23" i="276"/>
  <c r="D27" i="276"/>
  <c r="F27" i="276"/>
  <c r="H27" i="276"/>
  <c r="J27" i="276"/>
  <c r="L27" i="276"/>
  <c r="N27" i="276"/>
  <c r="P27" i="276"/>
  <c r="R27" i="276"/>
  <c r="T27" i="276"/>
  <c r="V27" i="276"/>
  <c r="D28" i="276"/>
  <c r="D29" i="276"/>
  <c r="F29" i="276"/>
  <c r="H29" i="276"/>
  <c r="J29" i="276"/>
  <c r="L29" i="276"/>
  <c r="N29" i="276"/>
  <c r="P29" i="276"/>
  <c r="R29" i="276"/>
  <c r="T29" i="276"/>
  <c r="V29" i="276"/>
  <c r="D16" i="213"/>
  <c r="D17" i="213" s="1"/>
  <c r="D18" i="213" s="1"/>
  <c r="W27" i="213"/>
  <c r="S27" i="213"/>
  <c r="O27" i="213"/>
  <c r="K27" i="213"/>
  <c r="G27" i="213"/>
  <c r="E27" i="213"/>
  <c r="M27" i="213"/>
  <c r="U27" i="213"/>
  <c r="W29" i="213"/>
  <c r="S29" i="213"/>
  <c r="O29" i="213"/>
  <c r="K29" i="213"/>
  <c r="G29" i="213"/>
  <c r="U29" i="213"/>
  <c r="Q29" i="213"/>
  <c r="M29" i="213"/>
  <c r="I27" i="213"/>
  <c r="Q27" i="213"/>
  <c r="I29" i="213"/>
  <c r="X27" i="213"/>
  <c r="X29" i="213"/>
  <c r="C23" i="213"/>
  <c r="D27" i="213"/>
  <c r="F27" i="213"/>
  <c r="H27" i="213"/>
  <c r="J27" i="213"/>
  <c r="L27" i="213"/>
  <c r="N27" i="213"/>
  <c r="P27" i="213"/>
  <c r="R27" i="213"/>
  <c r="T27" i="213"/>
  <c r="V27" i="213"/>
  <c r="D28" i="213"/>
  <c r="D29" i="213"/>
  <c r="F29" i="213"/>
  <c r="H29" i="213"/>
  <c r="J29" i="213"/>
  <c r="L29" i="213"/>
  <c r="N29" i="213"/>
  <c r="P29" i="213"/>
  <c r="R29" i="213"/>
  <c r="T29" i="213"/>
  <c r="V29" i="213"/>
  <c r="D16" i="271"/>
  <c r="D17" i="271" s="1"/>
  <c r="D18" i="271" s="1"/>
  <c r="E27" i="271"/>
  <c r="I27" i="271"/>
  <c r="M27" i="271"/>
  <c r="Q27" i="271"/>
  <c r="E29" i="271"/>
  <c r="I29" i="271"/>
  <c r="M29" i="271"/>
  <c r="Q29" i="271"/>
  <c r="C23" i="271"/>
  <c r="D27" i="271"/>
  <c r="F27" i="271"/>
  <c r="H27" i="271"/>
  <c r="J27" i="271"/>
  <c r="L27" i="271"/>
  <c r="N27" i="271"/>
  <c r="P27" i="271"/>
  <c r="R27" i="271"/>
  <c r="T27" i="271"/>
  <c r="V27" i="271"/>
  <c r="D28" i="271"/>
  <c r="D29" i="271"/>
  <c r="F29" i="271"/>
  <c r="H29" i="271"/>
  <c r="J29" i="271"/>
  <c r="L29" i="271"/>
  <c r="N29" i="271"/>
  <c r="P29" i="271"/>
  <c r="R29" i="271"/>
  <c r="T29" i="271"/>
  <c r="V29" i="271"/>
  <c r="D16" i="272"/>
  <c r="D17" i="272" s="1"/>
  <c r="D18" i="272" s="1"/>
  <c r="W27" i="272"/>
  <c r="S27" i="272"/>
  <c r="O27" i="272"/>
  <c r="K27" i="272"/>
  <c r="G27" i="272"/>
  <c r="E27" i="272"/>
  <c r="M27" i="272"/>
  <c r="U27" i="272"/>
  <c r="W29" i="272"/>
  <c r="S29" i="272"/>
  <c r="O29" i="272"/>
  <c r="K29" i="272"/>
  <c r="G29" i="272"/>
  <c r="U29" i="272"/>
  <c r="Q29" i="272"/>
  <c r="M29" i="272"/>
  <c r="I27" i="272"/>
  <c r="Q27" i="272"/>
  <c r="I29" i="272"/>
  <c r="X27" i="272"/>
  <c r="X29" i="272"/>
  <c r="C23" i="272"/>
  <c r="D27" i="272"/>
  <c r="F27" i="272"/>
  <c r="H27" i="272"/>
  <c r="J27" i="272"/>
  <c r="L27" i="272"/>
  <c r="N27" i="272"/>
  <c r="P27" i="272"/>
  <c r="R27" i="272"/>
  <c r="T27" i="272"/>
  <c r="V27" i="272"/>
  <c r="D28" i="272"/>
  <c r="D29" i="272"/>
  <c r="F29" i="272"/>
  <c r="H29" i="272"/>
  <c r="J29" i="272"/>
  <c r="L29" i="272"/>
  <c r="N29" i="272"/>
  <c r="P29" i="272"/>
  <c r="R29" i="272"/>
  <c r="T29" i="272"/>
  <c r="V29" i="272"/>
  <c r="D16" i="290"/>
  <c r="D17" i="290" s="1"/>
  <c r="D18" i="290" s="1"/>
  <c r="W27" i="290"/>
  <c r="S27" i="290"/>
  <c r="O27" i="290"/>
  <c r="K27" i="290"/>
  <c r="G27" i="290"/>
  <c r="E27" i="290"/>
  <c r="M27" i="290"/>
  <c r="U27" i="290"/>
  <c r="W29" i="290"/>
  <c r="S29" i="290"/>
  <c r="O29" i="290"/>
  <c r="K29" i="290"/>
  <c r="G29" i="290"/>
  <c r="U29" i="290"/>
  <c r="Q29" i="290"/>
  <c r="M29" i="290"/>
  <c r="I27" i="290"/>
  <c r="Q27" i="290"/>
  <c r="I29" i="290"/>
  <c r="X27" i="290"/>
  <c r="X29" i="290"/>
  <c r="C23" i="290"/>
  <c r="D27" i="290"/>
  <c r="F27" i="290"/>
  <c r="H27" i="290"/>
  <c r="J27" i="290"/>
  <c r="L27" i="290"/>
  <c r="N27" i="290"/>
  <c r="P27" i="290"/>
  <c r="R27" i="290"/>
  <c r="T27" i="290"/>
  <c r="V27" i="290"/>
  <c r="D28" i="290"/>
  <c r="D29" i="290"/>
  <c r="F29" i="290"/>
  <c r="H29" i="290"/>
  <c r="J29" i="290"/>
  <c r="L29" i="290"/>
  <c r="N29" i="290"/>
  <c r="P29" i="290"/>
  <c r="R29" i="290"/>
  <c r="T29" i="290"/>
  <c r="V29" i="290"/>
  <c r="D16" i="191"/>
  <c r="D17" i="191" s="1"/>
  <c r="D18" i="191" s="1"/>
  <c r="W27" i="191"/>
  <c r="S27" i="191"/>
  <c r="O27" i="191"/>
  <c r="K27" i="191"/>
  <c r="G27" i="191"/>
  <c r="E27" i="191"/>
  <c r="M27" i="191"/>
  <c r="U27" i="191"/>
  <c r="W29" i="191"/>
  <c r="S29" i="191"/>
  <c r="O29" i="191"/>
  <c r="K29" i="191"/>
  <c r="G29" i="191"/>
  <c r="U29" i="191"/>
  <c r="Q29" i="191"/>
  <c r="M29" i="191"/>
  <c r="I27" i="191"/>
  <c r="Q27" i="191"/>
  <c r="I29" i="191"/>
  <c r="X27" i="191"/>
  <c r="X29" i="191"/>
  <c r="C23" i="191"/>
  <c r="D27" i="191"/>
  <c r="F27" i="191"/>
  <c r="H27" i="191"/>
  <c r="J27" i="191"/>
  <c r="L27" i="191"/>
  <c r="N27" i="191"/>
  <c r="P27" i="191"/>
  <c r="R27" i="191"/>
  <c r="T27" i="191"/>
  <c r="V27" i="191"/>
  <c r="D28" i="191"/>
  <c r="D29" i="191"/>
  <c r="F29" i="191"/>
  <c r="H29" i="191"/>
  <c r="J29" i="191"/>
  <c r="L29" i="191"/>
  <c r="N29" i="191"/>
  <c r="P29" i="191"/>
  <c r="R29" i="191"/>
  <c r="T29" i="191"/>
  <c r="V29" i="191"/>
  <c r="D16" i="275"/>
  <c r="D17" i="275" s="1"/>
  <c r="D18" i="275" s="1"/>
  <c r="W27" i="275"/>
  <c r="S27" i="275"/>
  <c r="O27" i="275"/>
  <c r="K27" i="275"/>
  <c r="G27" i="275"/>
  <c r="E27" i="275"/>
  <c r="M27" i="275"/>
  <c r="U27" i="275"/>
  <c r="W29" i="275"/>
  <c r="S29" i="275"/>
  <c r="O29" i="275"/>
  <c r="K29" i="275"/>
  <c r="G29" i="275"/>
  <c r="U29" i="275"/>
  <c r="Q29" i="275"/>
  <c r="M29" i="275"/>
  <c r="I27" i="275"/>
  <c r="Q27" i="275"/>
  <c r="I29" i="275"/>
  <c r="X27" i="275"/>
  <c r="X29" i="275"/>
  <c r="C23" i="275"/>
  <c r="D27" i="275"/>
  <c r="F27" i="275"/>
  <c r="H27" i="275"/>
  <c r="J27" i="275"/>
  <c r="L27" i="275"/>
  <c r="N27" i="275"/>
  <c r="P27" i="275"/>
  <c r="R27" i="275"/>
  <c r="T27" i="275"/>
  <c r="V27" i="275"/>
  <c r="D28" i="275"/>
  <c r="D29" i="275"/>
  <c r="F29" i="275"/>
  <c r="H29" i="275"/>
  <c r="J29" i="275"/>
  <c r="L29" i="275"/>
  <c r="N29" i="275"/>
  <c r="P29" i="275"/>
  <c r="R29" i="275"/>
  <c r="T29" i="275"/>
  <c r="V29" i="275"/>
  <c r="D16" i="289"/>
  <c r="D17" i="289" s="1"/>
  <c r="D18" i="289" s="1"/>
  <c r="W27" i="289"/>
  <c r="S27" i="289"/>
  <c r="O27" i="289"/>
  <c r="K27" i="289"/>
  <c r="G27" i="289"/>
  <c r="E27" i="289"/>
  <c r="M27" i="289"/>
  <c r="U27" i="289"/>
  <c r="W29" i="289"/>
  <c r="S29" i="289"/>
  <c r="O29" i="289"/>
  <c r="K29" i="289"/>
  <c r="G29" i="289"/>
  <c r="U29" i="289"/>
  <c r="Q29" i="289"/>
  <c r="M29" i="289"/>
  <c r="I27" i="289"/>
  <c r="Q27" i="289"/>
  <c r="I29" i="289"/>
  <c r="X27" i="289"/>
  <c r="X29" i="289"/>
  <c r="C23" i="289"/>
  <c r="D27" i="289"/>
  <c r="F27" i="289"/>
  <c r="H27" i="289"/>
  <c r="J27" i="289"/>
  <c r="L27" i="289"/>
  <c r="N27" i="289"/>
  <c r="P27" i="289"/>
  <c r="R27" i="289"/>
  <c r="T27" i="289"/>
  <c r="V27" i="289"/>
  <c r="D28" i="289"/>
  <c r="D29" i="289"/>
  <c r="F29" i="289"/>
  <c r="H29" i="289"/>
  <c r="J29" i="289"/>
  <c r="L29" i="289"/>
  <c r="N29" i="289"/>
  <c r="P29" i="289"/>
  <c r="R29" i="289"/>
  <c r="T29" i="289"/>
  <c r="V29" i="289"/>
  <c r="D16" i="217"/>
  <c r="D17" i="217" s="1"/>
  <c r="D18" i="217" s="1"/>
  <c r="W27" i="217"/>
  <c r="S27" i="217"/>
  <c r="O27" i="217"/>
  <c r="K27" i="217"/>
  <c r="G27" i="217"/>
  <c r="E27" i="217"/>
  <c r="M27" i="217"/>
  <c r="U27" i="217"/>
  <c r="W29" i="217"/>
  <c r="S29" i="217"/>
  <c r="O29" i="217"/>
  <c r="K29" i="217"/>
  <c r="G29" i="217"/>
  <c r="U29" i="217"/>
  <c r="Q29" i="217"/>
  <c r="M29" i="217"/>
  <c r="I27" i="217"/>
  <c r="Q27" i="217"/>
  <c r="I29" i="217"/>
  <c r="X27" i="217"/>
  <c r="X29" i="217"/>
  <c r="C23" i="217"/>
  <c r="D27" i="217"/>
  <c r="F27" i="217"/>
  <c r="H27" i="217"/>
  <c r="J27" i="217"/>
  <c r="L27" i="217"/>
  <c r="N27" i="217"/>
  <c r="P27" i="217"/>
  <c r="R27" i="217"/>
  <c r="T27" i="217"/>
  <c r="V27" i="217"/>
  <c r="D28" i="217"/>
  <c r="D29" i="217"/>
  <c r="F29" i="217"/>
  <c r="H29" i="217"/>
  <c r="J29" i="217"/>
  <c r="L29" i="217"/>
  <c r="N29" i="217"/>
  <c r="P29" i="217"/>
  <c r="R29" i="217"/>
  <c r="T29" i="217"/>
  <c r="V29" i="217"/>
  <c r="D16" i="298"/>
  <c r="D17" i="298" s="1"/>
  <c r="D18" i="298" s="1"/>
  <c r="W27" i="298"/>
  <c r="S27" i="298"/>
  <c r="O27" i="298"/>
  <c r="K27" i="298"/>
  <c r="G27" i="298"/>
  <c r="E27" i="298"/>
  <c r="M27" i="298"/>
  <c r="U27" i="298"/>
  <c r="W29" i="298"/>
  <c r="S29" i="298"/>
  <c r="O29" i="298"/>
  <c r="K29" i="298"/>
  <c r="G29" i="298"/>
  <c r="U29" i="298"/>
  <c r="Q29" i="298"/>
  <c r="M29" i="298"/>
  <c r="I27" i="298"/>
  <c r="Q27" i="298"/>
  <c r="I29" i="298"/>
  <c r="X27" i="298"/>
  <c r="X29" i="298"/>
  <c r="C23" i="298"/>
  <c r="D27" i="298"/>
  <c r="F27" i="298"/>
  <c r="H27" i="298"/>
  <c r="J27" i="298"/>
  <c r="L27" i="298"/>
  <c r="N27" i="298"/>
  <c r="P27" i="298"/>
  <c r="R27" i="298"/>
  <c r="T27" i="298"/>
  <c r="V27" i="298"/>
  <c r="D28" i="298"/>
  <c r="D29" i="298"/>
  <c r="F29" i="298"/>
  <c r="H29" i="298"/>
  <c r="J29" i="298"/>
  <c r="L29" i="298"/>
  <c r="N29" i="298"/>
  <c r="P29" i="298"/>
  <c r="R29" i="298"/>
  <c r="T29" i="298"/>
  <c r="V29" i="298"/>
  <c r="D16" i="220"/>
  <c r="D17" i="220" s="1"/>
  <c r="D18" i="220" s="1"/>
  <c r="E27" i="220"/>
  <c r="I27" i="220"/>
  <c r="M27" i="220"/>
  <c r="Q27" i="220"/>
  <c r="E29" i="220"/>
  <c r="I29" i="220"/>
  <c r="M29" i="220"/>
  <c r="Q29" i="220"/>
  <c r="C23" i="220"/>
  <c r="D27" i="220"/>
  <c r="F27" i="220"/>
  <c r="H27" i="220"/>
  <c r="J27" i="220"/>
  <c r="L27" i="220"/>
  <c r="N27" i="220"/>
  <c r="P27" i="220"/>
  <c r="R27" i="220"/>
  <c r="T27" i="220"/>
  <c r="V27" i="220"/>
  <c r="D28" i="220"/>
  <c r="D29" i="220"/>
  <c r="F29" i="220"/>
  <c r="H29" i="220"/>
  <c r="J29" i="220"/>
  <c r="L29" i="220"/>
  <c r="N29" i="220"/>
  <c r="P29" i="220"/>
  <c r="R29" i="220"/>
  <c r="T29" i="220"/>
  <c r="V29" i="220"/>
  <c r="D16" i="291"/>
  <c r="D17" i="291" s="1"/>
  <c r="D18" i="291" s="1"/>
  <c r="W27" i="291"/>
  <c r="S27" i="291"/>
  <c r="O27" i="291"/>
  <c r="K27" i="291"/>
  <c r="G27" i="291"/>
  <c r="E27" i="291"/>
  <c r="M27" i="291"/>
  <c r="U27" i="291"/>
  <c r="W29" i="291"/>
  <c r="S29" i="291"/>
  <c r="O29" i="291"/>
  <c r="K29" i="291"/>
  <c r="G29" i="291"/>
  <c r="U29" i="291"/>
  <c r="Q29" i="291"/>
  <c r="M29" i="291"/>
  <c r="I27" i="291"/>
  <c r="Q27" i="291"/>
  <c r="I29" i="291"/>
  <c r="X27" i="291"/>
  <c r="X29" i="291"/>
  <c r="C23" i="291"/>
  <c r="D27" i="291"/>
  <c r="F27" i="291"/>
  <c r="H27" i="291"/>
  <c r="J27" i="291"/>
  <c r="L27" i="291"/>
  <c r="N27" i="291"/>
  <c r="P27" i="291"/>
  <c r="R27" i="291"/>
  <c r="T27" i="291"/>
  <c r="V27" i="291"/>
  <c r="D28" i="291"/>
  <c r="D29" i="291"/>
  <c r="F29" i="291"/>
  <c r="H29" i="291"/>
  <c r="J29" i="291"/>
  <c r="L29" i="291"/>
  <c r="N29" i="291"/>
  <c r="P29" i="291"/>
  <c r="R29" i="291"/>
  <c r="T29" i="291"/>
  <c r="V29" i="291"/>
  <c r="D16" i="195"/>
  <c r="D17" i="195" s="1"/>
  <c r="D18" i="195" s="1"/>
  <c r="C27" i="195"/>
  <c r="E27" i="195"/>
  <c r="G27" i="195"/>
  <c r="I27" i="195"/>
  <c r="K27" i="195"/>
  <c r="M27" i="195"/>
  <c r="O27" i="195"/>
  <c r="Q27" i="195"/>
  <c r="S27" i="195"/>
  <c r="U27" i="195"/>
  <c r="W27" i="195"/>
  <c r="C28" i="195"/>
  <c r="C29" i="195"/>
  <c r="E29" i="195"/>
  <c r="G29" i="195"/>
  <c r="I29" i="195"/>
  <c r="K29" i="195"/>
  <c r="M29" i="195"/>
  <c r="O29" i="195"/>
  <c r="Q29" i="195"/>
  <c r="S29" i="195"/>
  <c r="U29" i="195"/>
  <c r="W29" i="195"/>
  <c r="C23" i="195"/>
  <c r="D27" i="195"/>
  <c r="F27" i="195"/>
  <c r="H27" i="195"/>
  <c r="J27" i="195"/>
  <c r="L27" i="195"/>
  <c r="N27" i="195"/>
  <c r="P27" i="195"/>
  <c r="R27" i="195"/>
  <c r="T27" i="195"/>
  <c r="V27" i="195"/>
  <c r="D28" i="195"/>
  <c r="D29" i="195"/>
  <c r="F29" i="195"/>
  <c r="H29" i="195"/>
  <c r="J29" i="195"/>
  <c r="L29" i="195"/>
  <c r="N29" i="195"/>
  <c r="P29" i="195"/>
  <c r="R29" i="195"/>
  <c r="T29" i="195"/>
  <c r="V29" i="195"/>
  <c r="D16" i="261"/>
  <c r="D17" i="261" s="1"/>
  <c r="D18" i="261" s="1"/>
  <c r="E27" i="261"/>
  <c r="I27" i="261"/>
  <c r="M27" i="261"/>
  <c r="Q27" i="261"/>
  <c r="E29" i="261"/>
  <c r="I29" i="261"/>
  <c r="M29" i="261"/>
  <c r="Q29" i="261"/>
  <c r="C23" i="261"/>
  <c r="D27" i="261"/>
  <c r="F27" i="261"/>
  <c r="H27" i="261"/>
  <c r="J27" i="261"/>
  <c r="L27" i="261"/>
  <c r="N27" i="261"/>
  <c r="P27" i="261"/>
  <c r="R27" i="261"/>
  <c r="T27" i="261"/>
  <c r="V27" i="261"/>
  <c r="D28" i="261"/>
  <c r="D29" i="261"/>
  <c r="F29" i="261"/>
  <c r="H29" i="261"/>
  <c r="J29" i="261"/>
  <c r="L29" i="261"/>
  <c r="N29" i="261"/>
  <c r="P29" i="261"/>
  <c r="R29" i="261"/>
  <c r="T29" i="261"/>
  <c r="V29" i="261"/>
  <c r="D16" i="257"/>
  <c r="D17" i="257" s="1"/>
  <c r="D18" i="257" s="1"/>
  <c r="E27" i="257"/>
  <c r="I27" i="257"/>
  <c r="M27" i="257"/>
  <c r="Q27" i="257"/>
  <c r="E29" i="257"/>
  <c r="I29" i="257"/>
  <c r="M29" i="257"/>
  <c r="Q29" i="257"/>
  <c r="C23" i="257"/>
  <c r="D27" i="257"/>
  <c r="F27" i="257"/>
  <c r="H27" i="257"/>
  <c r="J27" i="257"/>
  <c r="L27" i="257"/>
  <c r="N27" i="257"/>
  <c r="P27" i="257"/>
  <c r="R27" i="257"/>
  <c r="T27" i="257"/>
  <c r="V27" i="257"/>
  <c r="D28" i="257"/>
  <c r="D29" i="257"/>
  <c r="F29" i="257"/>
  <c r="H29" i="257"/>
  <c r="J29" i="257"/>
  <c r="L29" i="257"/>
  <c r="N29" i="257"/>
  <c r="P29" i="257"/>
  <c r="R29" i="257"/>
  <c r="T29" i="257"/>
  <c r="V29" i="257"/>
  <c r="E16" i="242"/>
  <c r="E17" i="242" s="1"/>
  <c r="E18" i="242" s="1"/>
  <c r="X27" i="242"/>
  <c r="X29" i="242"/>
  <c r="G27" i="242"/>
  <c r="K27" i="242"/>
  <c r="O27" i="242"/>
  <c r="S27" i="242"/>
  <c r="W27" i="242"/>
  <c r="E28" i="242"/>
  <c r="G29" i="242"/>
  <c r="K29" i="242"/>
  <c r="O29" i="242"/>
  <c r="S29" i="242"/>
  <c r="W29" i="242"/>
  <c r="E27" i="242"/>
  <c r="I27" i="242"/>
  <c r="M27" i="242"/>
  <c r="Q27" i="242"/>
  <c r="E29" i="242"/>
  <c r="I29" i="242"/>
  <c r="M29" i="242"/>
  <c r="Q29" i="242"/>
  <c r="C23" i="242"/>
  <c r="D27" i="242"/>
  <c r="F27" i="242"/>
  <c r="H27" i="242"/>
  <c r="J27" i="242"/>
  <c r="L27" i="242"/>
  <c r="N27" i="242"/>
  <c r="P27" i="242"/>
  <c r="R27" i="242"/>
  <c r="T27" i="242"/>
  <c r="V27" i="242"/>
  <c r="D28" i="242"/>
  <c r="D29" i="242"/>
  <c r="F29" i="242"/>
  <c r="H29" i="242"/>
  <c r="J29" i="242"/>
  <c r="L29" i="242"/>
  <c r="N29" i="242"/>
  <c r="P29" i="242"/>
  <c r="R29" i="242"/>
  <c r="T29" i="242"/>
  <c r="V29" i="242"/>
  <c r="D16" i="123"/>
  <c r="D17" i="123" s="1"/>
  <c r="D18" i="123" s="1"/>
  <c r="E27" i="123"/>
  <c r="I27" i="123"/>
  <c r="M27" i="123"/>
  <c r="Q27" i="123"/>
  <c r="E29" i="123"/>
  <c r="I29" i="123"/>
  <c r="M29" i="123"/>
  <c r="Q29" i="123"/>
  <c r="C23" i="123"/>
  <c r="D27" i="123"/>
  <c r="F27" i="123"/>
  <c r="H27" i="123"/>
  <c r="J27" i="123"/>
  <c r="L27" i="123"/>
  <c r="N27" i="123"/>
  <c r="P27" i="123"/>
  <c r="R27" i="123"/>
  <c r="T27" i="123"/>
  <c r="V27" i="123"/>
  <c r="D28" i="123"/>
  <c r="D29" i="123"/>
  <c r="F29" i="123"/>
  <c r="H29" i="123"/>
  <c r="J29" i="123"/>
  <c r="L29" i="123"/>
  <c r="N29" i="123"/>
  <c r="P29" i="123"/>
  <c r="R29" i="123"/>
  <c r="T29" i="123"/>
  <c r="V29" i="123"/>
  <c r="D16" i="188"/>
  <c r="D17" i="188" s="1"/>
  <c r="D18" i="188" s="1"/>
  <c r="E27" i="188"/>
  <c r="I27" i="188"/>
  <c r="M27" i="188"/>
  <c r="Q27" i="188"/>
  <c r="E29" i="188"/>
  <c r="I29" i="188"/>
  <c r="M29" i="188"/>
  <c r="Q29" i="188"/>
  <c r="C23" i="188"/>
  <c r="D27" i="188"/>
  <c r="F27" i="188"/>
  <c r="H27" i="188"/>
  <c r="J27" i="188"/>
  <c r="L27" i="188"/>
  <c r="N27" i="188"/>
  <c r="P27" i="188"/>
  <c r="R27" i="188"/>
  <c r="T27" i="188"/>
  <c r="V27" i="188"/>
  <c r="D28" i="188"/>
  <c r="D29" i="188"/>
  <c r="F29" i="188"/>
  <c r="H29" i="188"/>
  <c r="J29" i="188"/>
  <c r="L29" i="188"/>
  <c r="N29" i="188"/>
  <c r="P29" i="188"/>
  <c r="R29" i="188"/>
  <c r="T29" i="188"/>
  <c r="V29" i="188"/>
  <c r="E16" i="235"/>
  <c r="E17" i="235" s="1"/>
  <c r="E18" i="235" s="1"/>
  <c r="E27" i="235"/>
  <c r="I27" i="235"/>
  <c r="M27" i="235"/>
  <c r="Q27" i="235"/>
  <c r="E29" i="235"/>
  <c r="I29" i="235"/>
  <c r="M29" i="235"/>
  <c r="Q29" i="235"/>
  <c r="C23" i="235"/>
  <c r="D27" i="235"/>
  <c r="F27" i="235"/>
  <c r="H27" i="235"/>
  <c r="J27" i="235"/>
  <c r="L27" i="235"/>
  <c r="N27" i="235"/>
  <c r="P27" i="235"/>
  <c r="R27" i="235"/>
  <c r="T27" i="235"/>
  <c r="V27" i="235"/>
  <c r="D28" i="235"/>
  <c r="D29" i="235"/>
  <c r="F29" i="235"/>
  <c r="H29" i="235"/>
  <c r="J29" i="235"/>
  <c r="L29" i="235"/>
  <c r="N29" i="235"/>
  <c r="P29" i="235"/>
  <c r="R29" i="235"/>
  <c r="T29" i="235"/>
  <c r="V29" i="235"/>
  <c r="D16" i="246"/>
  <c r="D17" i="246" s="1"/>
  <c r="D18" i="246" s="1"/>
  <c r="W27" i="246"/>
  <c r="S27" i="246"/>
  <c r="O27" i="246"/>
  <c r="K27" i="246"/>
  <c r="G27" i="246"/>
  <c r="E27" i="246"/>
  <c r="M27" i="246"/>
  <c r="U27" i="246"/>
  <c r="W29" i="246"/>
  <c r="S29" i="246"/>
  <c r="O29" i="246"/>
  <c r="K29" i="246"/>
  <c r="G29" i="246"/>
  <c r="U29" i="246"/>
  <c r="Q29" i="246"/>
  <c r="M29" i="246"/>
  <c r="I27" i="246"/>
  <c r="Q27" i="246"/>
  <c r="I29" i="246"/>
  <c r="X27" i="246"/>
  <c r="X29" i="246"/>
  <c r="C23" i="246"/>
  <c r="D27" i="246"/>
  <c r="F27" i="246"/>
  <c r="H27" i="246"/>
  <c r="J27" i="246"/>
  <c r="L27" i="246"/>
  <c r="N27" i="246"/>
  <c r="P27" i="246"/>
  <c r="R27" i="246"/>
  <c r="T27" i="246"/>
  <c r="V27" i="246"/>
  <c r="D28" i="246"/>
  <c r="D29" i="246"/>
  <c r="F29" i="246"/>
  <c r="H29" i="246"/>
  <c r="J29" i="246"/>
  <c r="L29" i="246"/>
  <c r="N29" i="246"/>
  <c r="P29" i="246"/>
  <c r="R29" i="246"/>
  <c r="T29" i="246"/>
  <c r="V29" i="246"/>
  <c r="D16" i="208"/>
  <c r="D17" i="208" s="1"/>
  <c r="D18" i="208" s="1"/>
  <c r="E27" i="208"/>
  <c r="I27" i="208"/>
  <c r="M27" i="208"/>
  <c r="Q27" i="208"/>
  <c r="E29" i="208"/>
  <c r="I29" i="208"/>
  <c r="M29" i="208"/>
  <c r="Q29" i="208"/>
  <c r="C23" i="208"/>
  <c r="D27" i="208"/>
  <c r="F27" i="208"/>
  <c r="H27" i="208"/>
  <c r="J27" i="208"/>
  <c r="L27" i="208"/>
  <c r="N27" i="208"/>
  <c r="P27" i="208"/>
  <c r="R27" i="208"/>
  <c r="T27" i="208"/>
  <c r="V27" i="208"/>
  <c r="D28" i="208"/>
  <c r="D29" i="208"/>
  <c r="F29" i="208"/>
  <c r="H29" i="208"/>
  <c r="J29" i="208"/>
  <c r="L29" i="208"/>
  <c r="N29" i="208"/>
  <c r="P29" i="208"/>
  <c r="R29" i="208"/>
  <c r="T29" i="208"/>
  <c r="V29" i="208"/>
  <c r="D16" i="281"/>
  <c r="D17" i="281" s="1"/>
  <c r="D18" i="281" s="1"/>
  <c r="W27" i="281"/>
  <c r="S27" i="281"/>
  <c r="O27" i="281"/>
  <c r="K27" i="281"/>
  <c r="G27" i="281"/>
  <c r="E27" i="281"/>
  <c r="M27" i="281"/>
  <c r="U27" i="281"/>
  <c r="W29" i="281"/>
  <c r="S29" i="281"/>
  <c r="O29" i="281"/>
  <c r="K29" i="281"/>
  <c r="G29" i="281"/>
  <c r="U29" i="281"/>
  <c r="Q29" i="281"/>
  <c r="M29" i="281"/>
  <c r="I27" i="281"/>
  <c r="Q27" i="281"/>
  <c r="I29" i="281"/>
  <c r="X27" i="281"/>
  <c r="X29" i="281"/>
  <c r="C23" i="281"/>
  <c r="D27" i="281"/>
  <c r="F27" i="281"/>
  <c r="H27" i="281"/>
  <c r="J27" i="281"/>
  <c r="L27" i="281"/>
  <c r="N27" i="281"/>
  <c r="P27" i="281"/>
  <c r="R27" i="281"/>
  <c r="T27" i="281"/>
  <c r="V27" i="281"/>
  <c r="D28" i="281"/>
  <c r="D29" i="281"/>
  <c r="F29" i="281"/>
  <c r="H29" i="281"/>
  <c r="J29" i="281"/>
  <c r="L29" i="281"/>
  <c r="N29" i="281"/>
  <c r="P29" i="281"/>
  <c r="R29" i="281"/>
  <c r="T29" i="281"/>
  <c r="V29" i="281"/>
  <c r="D16" i="295"/>
  <c r="D17" i="295" s="1"/>
  <c r="D18" i="295" s="1"/>
  <c r="W27" i="295"/>
  <c r="S27" i="295"/>
  <c r="O27" i="295"/>
  <c r="K27" i="295"/>
  <c r="G27" i="295"/>
  <c r="E27" i="295"/>
  <c r="M27" i="295"/>
  <c r="U27" i="295"/>
  <c r="W29" i="295"/>
  <c r="S29" i="295"/>
  <c r="O29" i="295"/>
  <c r="K29" i="295"/>
  <c r="G29" i="295"/>
  <c r="U29" i="295"/>
  <c r="Q29" i="295"/>
  <c r="M29" i="295"/>
  <c r="I27" i="295"/>
  <c r="Q27" i="295"/>
  <c r="I29" i="295"/>
  <c r="X27" i="295"/>
  <c r="X29" i="295"/>
  <c r="C23" i="295"/>
  <c r="D27" i="295"/>
  <c r="F27" i="295"/>
  <c r="H27" i="295"/>
  <c r="J27" i="295"/>
  <c r="L27" i="295"/>
  <c r="N27" i="295"/>
  <c r="P27" i="295"/>
  <c r="R27" i="295"/>
  <c r="T27" i="295"/>
  <c r="V27" i="295"/>
  <c r="D28" i="295"/>
  <c r="D29" i="295"/>
  <c r="F29" i="295"/>
  <c r="H29" i="295"/>
  <c r="J29" i="295"/>
  <c r="L29" i="295"/>
  <c r="N29" i="295"/>
  <c r="P29" i="295"/>
  <c r="R29" i="295"/>
  <c r="T29" i="295"/>
  <c r="V29" i="295"/>
  <c r="D16" i="241"/>
  <c r="D17" i="241" s="1"/>
  <c r="D18" i="241" s="1"/>
  <c r="W27" i="241"/>
  <c r="S27" i="241"/>
  <c r="O27" i="241"/>
  <c r="K27" i="241"/>
  <c r="G27" i="241"/>
  <c r="E27" i="241"/>
  <c r="M27" i="241"/>
  <c r="U27" i="241"/>
  <c r="W29" i="241"/>
  <c r="S29" i="241"/>
  <c r="O29" i="241"/>
  <c r="K29" i="241"/>
  <c r="G29" i="241"/>
  <c r="U29" i="241"/>
  <c r="Q29" i="241"/>
  <c r="M29" i="241"/>
  <c r="I27" i="241"/>
  <c r="Q27" i="241"/>
  <c r="I29" i="241"/>
  <c r="X27" i="241"/>
  <c r="X29" i="241"/>
  <c r="C23" i="241"/>
  <c r="D27" i="241"/>
  <c r="F27" i="241"/>
  <c r="H27" i="241"/>
  <c r="J27" i="241"/>
  <c r="L27" i="241"/>
  <c r="N27" i="241"/>
  <c r="P27" i="241"/>
  <c r="R27" i="241"/>
  <c r="T27" i="241"/>
  <c r="V27" i="241"/>
  <c r="D28" i="241"/>
  <c r="D29" i="241"/>
  <c r="F29" i="241"/>
  <c r="H29" i="241"/>
  <c r="J29" i="241"/>
  <c r="L29" i="241"/>
  <c r="N29" i="241"/>
  <c r="P29" i="241"/>
  <c r="R29" i="241"/>
  <c r="T29" i="241"/>
  <c r="V29" i="241"/>
  <c r="D16" i="297"/>
  <c r="D17" i="297" s="1"/>
  <c r="D18" i="297" s="1"/>
  <c r="C27" i="297"/>
  <c r="E27" i="297"/>
  <c r="G27" i="297"/>
  <c r="I27" i="297"/>
  <c r="K27" i="297"/>
  <c r="M27" i="297"/>
  <c r="O27" i="297"/>
  <c r="Q27" i="297"/>
  <c r="S27" i="297"/>
  <c r="U27" i="297"/>
  <c r="W27" i="297"/>
  <c r="C28" i="297"/>
  <c r="C29" i="297"/>
  <c r="E29" i="297"/>
  <c r="G29" i="297"/>
  <c r="I29" i="297"/>
  <c r="K29" i="297"/>
  <c r="M29" i="297"/>
  <c r="O29" i="297"/>
  <c r="Q29" i="297"/>
  <c r="S29" i="297"/>
  <c r="U29" i="297"/>
  <c r="W29" i="297"/>
  <c r="C23" i="297"/>
  <c r="D27" i="297"/>
  <c r="F27" i="297"/>
  <c r="H27" i="297"/>
  <c r="J27" i="297"/>
  <c r="L27" i="297"/>
  <c r="N27" i="297"/>
  <c r="P27" i="297"/>
  <c r="R27" i="297"/>
  <c r="T27" i="297"/>
  <c r="V27" i="297"/>
  <c r="D28" i="297"/>
  <c r="D29" i="297"/>
  <c r="F29" i="297"/>
  <c r="H29" i="297"/>
  <c r="J29" i="297"/>
  <c r="L29" i="297"/>
  <c r="N29" i="297"/>
  <c r="P29" i="297"/>
  <c r="R29" i="297"/>
  <c r="T29" i="297"/>
  <c r="V29" i="297"/>
  <c r="D16" i="161"/>
  <c r="D17" i="161" s="1"/>
  <c r="D18" i="161" s="1"/>
  <c r="W27" i="161"/>
  <c r="S27" i="161"/>
  <c r="O27" i="161"/>
  <c r="K27" i="161"/>
  <c r="G27" i="161"/>
  <c r="E27" i="161"/>
  <c r="M27" i="161"/>
  <c r="U27" i="161"/>
  <c r="W29" i="161"/>
  <c r="S29" i="161"/>
  <c r="O29" i="161"/>
  <c r="K29" i="161"/>
  <c r="G29" i="161"/>
  <c r="U29" i="161"/>
  <c r="Q29" i="161"/>
  <c r="M29" i="161"/>
  <c r="I27" i="161"/>
  <c r="Q27" i="161"/>
  <c r="I29" i="161"/>
  <c r="X27" i="161"/>
  <c r="X29" i="161"/>
  <c r="C23" i="161"/>
  <c r="D27" i="161"/>
  <c r="F27" i="161"/>
  <c r="H27" i="161"/>
  <c r="J27" i="161"/>
  <c r="L27" i="161"/>
  <c r="N27" i="161"/>
  <c r="P27" i="161"/>
  <c r="R27" i="161"/>
  <c r="T27" i="161"/>
  <c r="V27" i="161"/>
  <c r="D28" i="161"/>
  <c r="D29" i="161"/>
  <c r="F29" i="161"/>
  <c r="H29" i="161"/>
  <c r="J29" i="161"/>
  <c r="L29" i="161"/>
  <c r="N29" i="161"/>
  <c r="P29" i="161"/>
  <c r="R29" i="161"/>
  <c r="T29" i="161"/>
  <c r="V29" i="161"/>
  <c r="D16" i="202"/>
  <c r="D17" i="202" s="1"/>
  <c r="D18" i="202" s="1"/>
  <c r="E27" i="202"/>
  <c r="I27" i="202"/>
  <c r="M27" i="202"/>
  <c r="Q27" i="202"/>
  <c r="E29" i="202"/>
  <c r="I29" i="202"/>
  <c r="M29" i="202"/>
  <c r="Q29" i="202"/>
  <c r="C23" i="202"/>
  <c r="D27" i="202"/>
  <c r="F27" i="202"/>
  <c r="H27" i="202"/>
  <c r="J27" i="202"/>
  <c r="L27" i="202"/>
  <c r="N27" i="202"/>
  <c r="P27" i="202"/>
  <c r="R27" i="202"/>
  <c r="T27" i="202"/>
  <c r="V27" i="202"/>
  <c r="D28" i="202"/>
  <c r="D29" i="202"/>
  <c r="F29" i="202"/>
  <c r="H29" i="202"/>
  <c r="J29" i="202"/>
  <c r="L29" i="202"/>
  <c r="N29" i="202"/>
  <c r="P29" i="202"/>
  <c r="R29" i="202"/>
  <c r="T29" i="202"/>
  <c r="V29" i="202"/>
  <c r="E16" i="260"/>
  <c r="E17" i="260" s="1"/>
  <c r="E18" i="260" s="1"/>
  <c r="D27" i="260"/>
  <c r="H27" i="260"/>
  <c r="L27" i="260"/>
  <c r="P27" i="260"/>
  <c r="T27" i="260"/>
  <c r="D29" i="260"/>
  <c r="H29" i="260"/>
  <c r="L29" i="260"/>
  <c r="P29" i="260"/>
  <c r="T29" i="260"/>
  <c r="W27" i="260"/>
  <c r="U27" i="260"/>
  <c r="S27" i="260"/>
  <c r="Q27" i="260"/>
  <c r="O27" i="260"/>
  <c r="M27" i="260"/>
  <c r="K27" i="260"/>
  <c r="I27" i="260"/>
  <c r="G27" i="260"/>
  <c r="E27" i="260"/>
  <c r="C27" i="260"/>
  <c r="E28" i="260"/>
  <c r="C28" i="260"/>
  <c r="W29" i="260"/>
  <c r="U29" i="260"/>
  <c r="S29" i="260"/>
  <c r="Q29" i="260"/>
  <c r="O29" i="260"/>
  <c r="M29" i="260"/>
  <c r="K29" i="260"/>
  <c r="I29" i="260"/>
  <c r="G29" i="260"/>
  <c r="E29" i="260"/>
  <c r="C29" i="260"/>
  <c r="C23" i="260"/>
  <c r="F27" i="260"/>
  <c r="J27" i="260"/>
  <c r="N27" i="260"/>
  <c r="R27" i="260"/>
  <c r="V27" i="260"/>
  <c r="D28" i="260"/>
  <c r="F29" i="260"/>
  <c r="J29" i="260"/>
  <c r="N29" i="260"/>
  <c r="R29" i="260"/>
  <c r="V29" i="260"/>
  <c r="D16" i="120"/>
  <c r="D17" i="120" s="1"/>
  <c r="D18" i="120" s="1"/>
  <c r="E27" i="120"/>
  <c r="I27" i="120"/>
  <c r="M27" i="120"/>
  <c r="Q27" i="120"/>
  <c r="E29" i="120"/>
  <c r="I29" i="120"/>
  <c r="M29" i="120"/>
  <c r="Q29" i="120"/>
  <c r="C23" i="120"/>
  <c r="D27" i="120"/>
  <c r="F27" i="120"/>
  <c r="H27" i="120"/>
  <c r="J27" i="120"/>
  <c r="L27" i="120"/>
  <c r="N27" i="120"/>
  <c r="P27" i="120"/>
  <c r="R27" i="120"/>
  <c r="T27" i="120"/>
  <c r="V27" i="120"/>
  <c r="D28" i="120"/>
  <c r="D29" i="120"/>
  <c r="F29" i="120"/>
  <c r="H29" i="120"/>
  <c r="J29" i="120"/>
  <c r="L29" i="120"/>
  <c r="N29" i="120"/>
  <c r="P29" i="120"/>
  <c r="R29" i="120"/>
  <c r="T29" i="120"/>
  <c r="V29" i="120"/>
  <c r="D16" i="160"/>
  <c r="D17" i="160" s="1"/>
  <c r="D18" i="160" s="1"/>
  <c r="E27" i="160"/>
  <c r="I27" i="160"/>
  <c r="M27" i="160"/>
  <c r="Q27" i="160"/>
  <c r="E29" i="160"/>
  <c r="I29" i="160"/>
  <c r="M29" i="160"/>
  <c r="Q29" i="160"/>
  <c r="C23" i="160"/>
  <c r="D27" i="160"/>
  <c r="F27" i="160"/>
  <c r="H27" i="160"/>
  <c r="J27" i="160"/>
  <c r="L27" i="160"/>
  <c r="N27" i="160"/>
  <c r="P27" i="160"/>
  <c r="R27" i="160"/>
  <c r="T27" i="160"/>
  <c r="V27" i="160"/>
  <c r="D28" i="160"/>
  <c r="D29" i="160"/>
  <c r="F29" i="160"/>
  <c r="H29" i="160"/>
  <c r="J29" i="160"/>
  <c r="L29" i="160"/>
  <c r="N29" i="160"/>
  <c r="P29" i="160"/>
  <c r="R29" i="160"/>
  <c r="T29" i="160"/>
  <c r="V29" i="160"/>
  <c r="D16" i="279"/>
  <c r="D17" i="279" s="1"/>
  <c r="D18" i="279" s="1"/>
  <c r="W27" i="279"/>
  <c r="S27" i="279"/>
  <c r="O27" i="279"/>
  <c r="K27" i="279"/>
  <c r="G27" i="279"/>
  <c r="E27" i="279"/>
  <c r="M27" i="279"/>
  <c r="U27" i="279"/>
  <c r="W29" i="279"/>
  <c r="S29" i="279"/>
  <c r="O29" i="279"/>
  <c r="K29" i="279"/>
  <c r="G29" i="279"/>
  <c r="U29" i="279"/>
  <c r="Q29" i="279"/>
  <c r="M29" i="279"/>
  <c r="I27" i="279"/>
  <c r="Q27" i="279"/>
  <c r="I29" i="279"/>
  <c r="X27" i="279"/>
  <c r="X29" i="279"/>
  <c r="C23" i="279"/>
  <c r="D27" i="279"/>
  <c r="F27" i="279"/>
  <c r="H27" i="279"/>
  <c r="J27" i="279"/>
  <c r="L27" i="279"/>
  <c r="N27" i="279"/>
  <c r="P27" i="279"/>
  <c r="R27" i="279"/>
  <c r="T27" i="279"/>
  <c r="V27" i="279"/>
  <c r="D28" i="279"/>
  <c r="D29" i="279"/>
  <c r="F29" i="279"/>
  <c r="H29" i="279"/>
  <c r="J29" i="279"/>
  <c r="L29" i="279"/>
  <c r="N29" i="279"/>
  <c r="P29" i="279"/>
  <c r="R29" i="279"/>
  <c r="T29" i="279"/>
  <c r="V29" i="279"/>
  <c r="D16" i="119"/>
  <c r="D17" i="119" s="1"/>
  <c r="D18" i="119" s="1"/>
  <c r="W27" i="119"/>
  <c r="S27" i="119"/>
  <c r="O27" i="119"/>
  <c r="K27" i="119"/>
  <c r="G27" i="119"/>
  <c r="E27" i="119"/>
  <c r="M27" i="119"/>
  <c r="U27" i="119"/>
  <c r="W29" i="119"/>
  <c r="S29" i="119"/>
  <c r="O29" i="119"/>
  <c r="K29" i="119"/>
  <c r="G29" i="119"/>
  <c r="U29" i="119"/>
  <c r="Q29" i="119"/>
  <c r="M29" i="119"/>
  <c r="I27" i="119"/>
  <c r="Q27" i="119"/>
  <c r="I29" i="119"/>
  <c r="X27" i="119"/>
  <c r="X29" i="119"/>
  <c r="C23" i="119"/>
  <c r="D27" i="119"/>
  <c r="F27" i="119"/>
  <c r="H27" i="119"/>
  <c r="J27" i="119"/>
  <c r="L27" i="119"/>
  <c r="N27" i="119"/>
  <c r="P27" i="119"/>
  <c r="R27" i="119"/>
  <c r="T27" i="119"/>
  <c r="V27" i="119"/>
  <c r="D28" i="119"/>
  <c r="D29" i="119"/>
  <c r="F29" i="119"/>
  <c r="H29" i="119"/>
  <c r="J29" i="119"/>
  <c r="L29" i="119"/>
  <c r="N29" i="119"/>
  <c r="P29" i="119"/>
  <c r="R29" i="119"/>
  <c r="T29" i="119"/>
  <c r="V29" i="119"/>
  <c r="D16" i="264"/>
  <c r="D17" i="264" s="1"/>
  <c r="D18" i="264" s="1"/>
  <c r="W27" i="264"/>
  <c r="S27" i="264"/>
  <c r="O27" i="264"/>
  <c r="K27" i="264"/>
  <c r="G27" i="264"/>
  <c r="E27" i="264"/>
  <c r="M27" i="264"/>
  <c r="U27" i="264"/>
  <c r="W29" i="264"/>
  <c r="S29" i="264"/>
  <c r="O29" i="264"/>
  <c r="K29" i="264"/>
  <c r="G29" i="264"/>
  <c r="U29" i="264"/>
  <c r="Q29" i="264"/>
  <c r="M29" i="264"/>
  <c r="I27" i="264"/>
  <c r="Q27" i="264"/>
  <c r="I29" i="264"/>
  <c r="X27" i="264"/>
  <c r="X29" i="264"/>
  <c r="C23" i="264"/>
  <c r="D27" i="264"/>
  <c r="F27" i="264"/>
  <c r="H27" i="264"/>
  <c r="J27" i="264"/>
  <c r="L27" i="264"/>
  <c r="N27" i="264"/>
  <c r="P27" i="264"/>
  <c r="R27" i="264"/>
  <c r="T27" i="264"/>
  <c r="V27" i="264"/>
  <c r="D28" i="264"/>
  <c r="D29" i="264"/>
  <c r="F29" i="264"/>
  <c r="H29" i="264"/>
  <c r="J29" i="264"/>
  <c r="L29" i="264"/>
  <c r="N29" i="264"/>
  <c r="P29" i="264"/>
  <c r="R29" i="264"/>
  <c r="T29" i="264"/>
  <c r="V29" i="264"/>
  <c r="D16" i="294"/>
  <c r="D17" i="294" s="1"/>
  <c r="D18" i="294" s="1"/>
  <c r="E27" i="294"/>
  <c r="I27" i="294"/>
  <c r="M27" i="294"/>
  <c r="Q27" i="294"/>
  <c r="E29" i="294"/>
  <c r="I29" i="294"/>
  <c r="M29" i="294"/>
  <c r="Q29" i="294"/>
  <c r="C23" i="294"/>
  <c r="D27" i="294"/>
  <c r="F27" i="294"/>
  <c r="H27" i="294"/>
  <c r="J27" i="294"/>
  <c r="L27" i="294"/>
  <c r="N27" i="294"/>
  <c r="P27" i="294"/>
  <c r="R27" i="294"/>
  <c r="T27" i="294"/>
  <c r="V27" i="294"/>
  <c r="D28" i="294"/>
  <c r="D29" i="294"/>
  <c r="F29" i="294"/>
  <c r="H29" i="294"/>
  <c r="J29" i="294"/>
  <c r="L29" i="294"/>
  <c r="N29" i="294"/>
  <c r="P29" i="294"/>
  <c r="R29" i="294"/>
  <c r="T29" i="294"/>
  <c r="V29" i="294"/>
  <c r="D16" i="159"/>
  <c r="D17" i="159" s="1"/>
  <c r="D18" i="159" s="1"/>
  <c r="W27" i="159"/>
  <c r="S27" i="159"/>
  <c r="O27" i="159"/>
  <c r="K27" i="159"/>
  <c r="G27" i="159"/>
  <c r="E27" i="159"/>
  <c r="M27" i="159"/>
  <c r="U27" i="159"/>
  <c r="W29" i="159"/>
  <c r="S29" i="159"/>
  <c r="O29" i="159"/>
  <c r="K29" i="159"/>
  <c r="G29" i="159"/>
  <c r="U29" i="159"/>
  <c r="Q29" i="159"/>
  <c r="M29" i="159"/>
  <c r="I27" i="159"/>
  <c r="Q27" i="159"/>
  <c r="I29" i="159"/>
  <c r="X27" i="159"/>
  <c r="X29" i="159"/>
  <c r="C23" i="159"/>
  <c r="D27" i="159"/>
  <c r="F27" i="159"/>
  <c r="H27" i="159"/>
  <c r="J27" i="159"/>
  <c r="L27" i="159"/>
  <c r="N27" i="159"/>
  <c r="P27" i="159"/>
  <c r="R27" i="159"/>
  <c r="T27" i="159"/>
  <c r="V27" i="159"/>
  <c r="D28" i="159"/>
  <c r="D29" i="159"/>
  <c r="F29" i="159"/>
  <c r="H29" i="159"/>
  <c r="J29" i="159"/>
  <c r="L29" i="159"/>
  <c r="N29" i="159"/>
  <c r="P29" i="159"/>
  <c r="R29" i="159"/>
  <c r="T29" i="159"/>
  <c r="V29" i="159"/>
  <c r="D16" i="163"/>
  <c r="D17" i="163" s="1"/>
  <c r="D18" i="163" s="1"/>
  <c r="W27" i="163"/>
  <c r="S27" i="163"/>
  <c r="O27" i="163"/>
  <c r="K27" i="163"/>
  <c r="G27" i="163"/>
  <c r="E27" i="163"/>
  <c r="M27" i="163"/>
  <c r="U27" i="163"/>
  <c r="W29" i="163"/>
  <c r="S29" i="163"/>
  <c r="O29" i="163"/>
  <c r="K29" i="163"/>
  <c r="G29" i="163"/>
  <c r="U29" i="163"/>
  <c r="Q29" i="163"/>
  <c r="M29" i="163"/>
  <c r="I27" i="163"/>
  <c r="Q27" i="163"/>
  <c r="I29" i="163"/>
  <c r="X27" i="163"/>
  <c r="X29" i="163"/>
  <c r="C23" i="163"/>
  <c r="D27" i="163"/>
  <c r="F27" i="163"/>
  <c r="H27" i="163"/>
  <c r="J27" i="163"/>
  <c r="L27" i="163"/>
  <c r="N27" i="163"/>
  <c r="P27" i="163"/>
  <c r="R27" i="163"/>
  <c r="T27" i="163"/>
  <c r="V27" i="163"/>
  <c r="D28" i="163"/>
  <c r="D29" i="163"/>
  <c r="F29" i="163"/>
  <c r="H29" i="163"/>
  <c r="J29" i="163"/>
  <c r="L29" i="163"/>
  <c r="N29" i="163"/>
  <c r="P29" i="163"/>
  <c r="R29" i="163"/>
  <c r="T29" i="163"/>
  <c r="V29" i="163"/>
  <c r="D16" i="283"/>
  <c r="D17" i="283" s="1"/>
  <c r="D18" i="283" s="1"/>
  <c r="C27" i="283"/>
  <c r="E27" i="283"/>
  <c r="G27" i="283"/>
  <c r="I27" i="283"/>
  <c r="K27" i="283"/>
  <c r="M27" i="283"/>
  <c r="O27" i="283"/>
  <c r="Q27" i="283"/>
  <c r="S27" i="283"/>
  <c r="U27" i="283"/>
  <c r="W27" i="283"/>
  <c r="C28" i="283"/>
  <c r="C29" i="283"/>
  <c r="E29" i="283"/>
  <c r="G29" i="283"/>
  <c r="I29" i="283"/>
  <c r="K29" i="283"/>
  <c r="M29" i="283"/>
  <c r="O29" i="283"/>
  <c r="Q29" i="283"/>
  <c r="S29" i="283"/>
  <c r="U29" i="283"/>
  <c r="W29" i="283"/>
  <c r="C23" i="283"/>
  <c r="D27" i="283"/>
  <c r="F27" i="283"/>
  <c r="H27" i="283"/>
  <c r="J27" i="283"/>
  <c r="L27" i="283"/>
  <c r="N27" i="283"/>
  <c r="P27" i="283"/>
  <c r="R27" i="283"/>
  <c r="T27" i="283"/>
  <c r="V27" i="283"/>
  <c r="D28" i="283"/>
  <c r="D29" i="283"/>
  <c r="F29" i="283"/>
  <c r="H29" i="283"/>
  <c r="J29" i="283"/>
  <c r="L29" i="283"/>
  <c r="N29" i="283"/>
  <c r="P29" i="283"/>
  <c r="R29" i="283"/>
  <c r="T29" i="283"/>
  <c r="V29" i="283"/>
  <c r="D16" i="259"/>
  <c r="D17" i="259" s="1"/>
  <c r="D18" i="259" s="1"/>
  <c r="W27" i="259"/>
  <c r="S27" i="259"/>
  <c r="O27" i="259"/>
  <c r="K27" i="259"/>
  <c r="G27" i="259"/>
  <c r="E27" i="259"/>
  <c r="M27" i="259"/>
  <c r="U27" i="259"/>
  <c r="W29" i="259"/>
  <c r="S29" i="259"/>
  <c r="O29" i="259"/>
  <c r="K29" i="259"/>
  <c r="G29" i="259"/>
  <c r="U29" i="259"/>
  <c r="Q29" i="259"/>
  <c r="M29" i="259"/>
  <c r="I27" i="259"/>
  <c r="Q27" i="259"/>
  <c r="I29" i="259"/>
  <c r="X27" i="259"/>
  <c r="X29" i="259"/>
  <c r="C23" i="259"/>
  <c r="D27" i="259"/>
  <c r="F27" i="259"/>
  <c r="H27" i="259"/>
  <c r="J27" i="259"/>
  <c r="L27" i="259"/>
  <c r="N27" i="259"/>
  <c r="P27" i="259"/>
  <c r="R27" i="259"/>
  <c r="T27" i="259"/>
  <c r="V27" i="259"/>
  <c r="D28" i="259"/>
  <c r="D29" i="259"/>
  <c r="F29" i="259"/>
  <c r="H29" i="259"/>
  <c r="J29" i="259"/>
  <c r="L29" i="259"/>
  <c r="N29" i="259"/>
  <c r="P29" i="259"/>
  <c r="R29" i="259"/>
  <c r="T29" i="259"/>
  <c r="V29" i="259"/>
  <c r="D16" i="118"/>
  <c r="D17" i="118" s="1"/>
  <c r="D18" i="118" s="1"/>
  <c r="W27" i="118"/>
  <c r="S27" i="118"/>
  <c r="O27" i="118"/>
  <c r="K27" i="118"/>
  <c r="G27" i="118"/>
  <c r="E27" i="118"/>
  <c r="M27" i="118"/>
  <c r="U27" i="118"/>
  <c r="W29" i="118"/>
  <c r="S29" i="118"/>
  <c r="O29" i="118"/>
  <c r="K29" i="118"/>
  <c r="G29" i="118"/>
  <c r="U29" i="118"/>
  <c r="Q29" i="118"/>
  <c r="M29" i="118"/>
  <c r="I27" i="118"/>
  <c r="Q27" i="118"/>
  <c r="I29" i="118"/>
  <c r="X27" i="118"/>
  <c r="X29" i="118"/>
  <c r="C23" i="118"/>
  <c r="D27" i="118"/>
  <c r="F27" i="118"/>
  <c r="H27" i="118"/>
  <c r="J27" i="118"/>
  <c r="L27" i="118"/>
  <c r="N27" i="118"/>
  <c r="P27" i="118"/>
  <c r="R27" i="118"/>
  <c r="T27" i="118"/>
  <c r="V27" i="118"/>
  <c r="D28" i="118"/>
  <c r="D29" i="118"/>
  <c r="F29" i="118"/>
  <c r="H29" i="118"/>
  <c r="J29" i="118"/>
  <c r="L29" i="118"/>
  <c r="N29" i="118"/>
  <c r="P29" i="118"/>
  <c r="R29" i="118"/>
  <c r="T29" i="118"/>
  <c r="V29" i="118"/>
  <c r="D16" i="157"/>
  <c r="D17" i="157" s="1"/>
  <c r="D18" i="157" s="1"/>
  <c r="W27" i="157"/>
  <c r="S27" i="157"/>
  <c r="O27" i="157"/>
  <c r="K27" i="157"/>
  <c r="G27" i="157"/>
  <c r="E27" i="157"/>
  <c r="M27" i="157"/>
  <c r="U27" i="157"/>
  <c r="W29" i="157"/>
  <c r="S29" i="157"/>
  <c r="O29" i="157"/>
  <c r="K29" i="157"/>
  <c r="G29" i="157"/>
  <c r="U29" i="157"/>
  <c r="Q29" i="157"/>
  <c r="M29" i="157"/>
  <c r="I27" i="157"/>
  <c r="Q27" i="157"/>
  <c r="I29" i="157"/>
  <c r="X27" i="157"/>
  <c r="X29" i="157"/>
  <c r="C23" i="157"/>
  <c r="D27" i="157"/>
  <c r="F27" i="157"/>
  <c r="H27" i="157"/>
  <c r="J27" i="157"/>
  <c r="L27" i="157"/>
  <c r="N27" i="157"/>
  <c r="P27" i="157"/>
  <c r="R27" i="157"/>
  <c r="T27" i="157"/>
  <c r="V27" i="157"/>
  <c r="D28" i="157"/>
  <c r="D29" i="157"/>
  <c r="F29" i="157"/>
  <c r="H29" i="157"/>
  <c r="J29" i="157"/>
  <c r="L29" i="157"/>
  <c r="N29" i="157"/>
  <c r="P29" i="157"/>
  <c r="R29" i="157"/>
  <c r="T29" i="157"/>
  <c r="V29" i="157"/>
  <c r="D16" i="296"/>
  <c r="D17" i="296" s="1"/>
  <c r="D18" i="296" s="1"/>
  <c r="W27" i="296"/>
  <c r="S27" i="296"/>
  <c r="O27" i="296"/>
  <c r="K27" i="296"/>
  <c r="G27" i="296"/>
  <c r="E27" i="296"/>
  <c r="M27" i="296"/>
  <c r="U27" i="296"/>
  <c r="W29" i="296"/>
  <c r="S29" i="296"/>
  <c r="O29" i="296"/>
  <c r="K29" i="296"/>
  <c r="G29" i="296"/>
  <c r="U29" i="296"/>
  <c r="Q29" i="296"/>
  <c r="M29" i="296"/>
  <c r="I27" i="296"/>
  <c r="Q27" i="296"/>
  <c r="I29" i="296"/>
  <c r="X27" i="296"/>
  <c r="X29" i="296"/>
  <c r="C23" i="296"/>
  <c r="D27" i="296"/>
  <c r="F27" i="296"/>
  <c r="H27" i="296"/>
  <c r="J27" i="296"/>
  <c r="L27" i="296"/>
  <c r="N27" i="296"/>
  <c r="P27" i="296"/>
  <c r="R27" i="296"/>
  <c r="T27" i="296"/>
  <c r="V27" i="296"/>
  <c r="D28" i="296"/>
  <c r="D29" i="296"/>
  <c r="F29" i="296"/>
  <c r="H29" i="296"/>
  <c r="J29" i="296"/>
  <c r="L29" i="296"/>
  <c r="N29" i="296"/>
  <c r="P29" i="296"/>
  <c r="R29" i="296"/>
  <c r="T29" i="296"/>
  <c r="V29" i="296"/>
  <c r="D16" i="288"/>
  <c r="D17" i="288" s="1"/>
  <c r="D18" i="288" s="1"/>
  <c r="E27" i="288"/>
  <c r="I27" i="288"/>
  <c r="M27" i="288"/>
  <c r="Q27" i="288"/>
  <c r="E29" i="288"/>
  <c r="I29" i="288"/>
  <c r="M29" i="288"/>
  <c r="Q29" i="288"/>
  <c r="C23" i="288"/>
  <c r="D27" i="288"/>
  <c r="F27" i="288"/>
  <c r="H27" i="288"/>
  <c r="J27" i="288"/>
  <c r="L27" i="288"/>
  <c r="N27" i="288"/>
  <c r="P27" i="288"/>
  <c r="R27" i="288"/>
  <c r="T27" i="288"/>
  <c r="V27" i="288"/>
  <c r="D28" i="288"/>
  <c r="D29" i="288"/>
  <c r="F29" i="288"/>
  <c r="H29" i="288"/>
  <c r="J29" i="288"/>
  <c r="L29" i="288"/>
  <c r="N29" i="288"/>
  <c r="P29" i="288"/>
  <c r="R29" i="288"/>
  <c r="T29" i="288"/>
  <c r="V29" i="288"/>
  <c r="D16" i="284"/>
  <c r="D17" i="284" s="1"/>
  <c r="D18" i="284" s="1"/>
  <c r="E27" i="284"/>
  <c r="I27" i="284"/>
  <c r="M27" i="284"/>
  <c r="Q27" i="284"/>
  <c r="E29" i="284"/>
  <c r="I29" i="284"/>
  <c r="M29" i="284"/>
  <c r="Q29" i="284"/>
  <c r="C23" i="284"/>
  <c r="D27" i="284"/>
  <c r="F27" i="284"/>
  <c r="H27" i="284"/>
  <c r="J27" i="284"/>
  <c r="L27" i="284"/>
  <c r="N27" i="284"/>
  <c r="P27" i="284"/>
  <c r="R27" i="284"/>
  <c r="T27" i="284"/>
  <c r="V27" i="284"/>
  <c r="D28" i="284"/>
  <c r="D29" i="284"/>
  <c r="F29" i="284"/>
  <c r="H29" i="284"/>
  <c r="J29" i="284"/>
  <c r="L29" i="284"/>
  <c r="N29" i="284"/>
  <c r="P29" i="284"/>
  <c r="R29" i="284"/>
  <c r="T29" i="284"/>
  <c r="V29" i="284"/>
  <c r="D16" i="249"/>
  <c r="D17" i="249" s="1"/>
  <c r="D18" i="249" s="1"/>
  <c r="E16" i="249"/>
  <c r="E17" i="249" s="1"/>
  <c r="E18" i="249" s="1"/>
  <c r="C27" i="249"/>
  <c r="E27" i="249"/>
  <c r="G27" i="249"/>
  <c r="I27" i="249"/>
  <c r="K27" i="249"/>
  <c r="M27" i="249"/>
  <c r="O27" i="249"/>
  <c r="Q27" i="249"/>
  <c r="S27" i="249"/>
  <c r="U27" i="249"/>
  <c r="W27" i="249"/>
  <c r="C28" i="249"/>
  <c r="C29" i="249"/>
  <c r="E29" i="249"/>
  <c r="G29" i="249"/>
  <c r="I29" i="249"/>
  <c r="K29" i="249"/>
  <c r="M29" i="249"/>
  <c r="O29" i="249"/>
  <c r="Q29" i="249"/>
  <c r="S29" i="249"/>
  <c r="U29" i="249"/>
  <c r="W29" i="249"/>
  <c r="C23" i="249"/>
  <c r="D27" i="249"/>
  <c r="F27" i="249"/>
  <c r="H27" i="249"/>
  <c r="J27" i="249"/>
  <c r="L27" i="249"/>
  <c r="N27" i="249"/>
  <c r="P27" i="249"/>
  <c r="R27" i="249"/>
  <c r="T27" i="249"/>
  <c r="V27" i="249"/>
  <c r="D28" i="249"/>
  <c r="D29" i="249"/>
  <c r="F29" i="249"/>
  <c r="H29" i="249"/>
  <c r="J29" i="249"/>
  <c r="L29" i="249"/>
  <c r="N29" i="249"/>
  <c r="P29" i="249"/>
  <c r="R29" i="249"/>
  <c r="T29" i="249"/>
  <c r="V29" i="249"/>
  <c r="D16" i="287"/>
  <c r="D17" i="287" s="1"/>
  <c r="D18" i="287" s="1"/>
  <c r="W27" i="287"/>
  <c r="S27" i="287"/>
  <c r="O27" i="287"/>
  <c r="K27" i="287"/>
  <c r="G27" i="287"/>
  <c r="E27" i="287"/>
  <c r="M27" i="287"/>
  <c r="U27" i="287"/>
  <c r="W29" i="287"/>
  <c r="S29" i="287"/>
  <c r="O29" i="287"/>
  <c r="K29" i="287"/>
  <c r="G29" i="287"/>
  <c r="U29" i="287"/>
  <c r="Q29" i="287"/>
  <c r="M29" i="287"/>
  <c r="I27" i="287"/>
  <c r="Q27" i="287"/>
  <c r="I29" i="287"/>
  <c r="X27" i="287"/>
  <c r="X29" i="287"/>
  <c r="C23" i="287"/>
  <c r="D27" i="287"/>
  <c r="F27" i="287"/>
  <c r="H27" i="287"/>
  <c r="J27" i="287"/>
  <c r="L27" i="287"/>
  <c r="N27" i="287"/>
  <c r="P27" i="287"/>
  <c r="R27" i="287"/>
  <c r="T27" i="287"/>
  <c r="V27" i="287"/>
  <c r="D28" i="287"/>
  <c r="D29" i="287"/>
  <c r="F29" i="287"/>
  <c r="H29" i="287"/>
  <c r="J29" i="287"/>
  <c r="L29" i="287"/>
  <c r="N29" i="287"/>
  <c r="P29" i="287"/>
  <c r="R29" i="287"/>
  <c r="T29" i="287"/>
  <c r="V29" i="287"/>
  <c r="D16" i="82"/>
  <c r="D17" i="82" s="1"/>
  <c r="D18" i="82" s="1"/>
  <c r="W27" i="82"/>
  <c r="S27" i="82"/>
  <c r="O27" i="82"/>
  <c r="K27" i="82"/>
  <c r="G27" i="82"/>
  <c r="E27" i="82"/>
  <c r="M27" i="82"/>
  <c r="U27" i="82"/>
  <c r="W29" i="82"/>
  <c r="S29" i="82"/>
  <c r="O29" i="82"/>
  <c r="K29" i="82"/>
  <c r="G29" i="82"/>
  <c r="U29" i="82"/>
  <c r="Q29" i="82"/>
  <c r="M29" i="82"/>
  <c r="I27" i="82"/>
  <c r="Q27" i="82"/>
  <c r="I29" i="82"/>
  <c r="X27" i="82"/>
  <c r="X29" i="82"/>
  <c r="C23" i="82"/>
  <c r="D27" i="82"/>
  <c r="F27" i="82"/>
  <c r="H27" i="82"/>
  <c r="J27" i="82"/>
  <c r="L27" i="82"/>
  <c r="N27" i="82"/>
  <c r="P27" i="82"/>
  <c r="R27" i="82"/>
  <c r="T27" i="82"/>
  <c r="V27" i="82"/>
  <c r="D28" i="82"/>
  <c r="D29" i="82"/>
  <c r="F29" i="82"/>
  <c r="H29" i="82"/>
  <c r="J29" i="82"/>
  <c r="L29" i="82"/>
  <c r="N29" i="82"/>
  <c r="P29" i="82"/>
  <c r="R29" i="82"/>
  <c r="T29" i="82"/>
  <c r="V29" i="82"/>
  <c r="D16" i="285"/>
  <c r="D17" i="285" s="1"/>
  <c r="D18" i="285" s="1"/>
  <c r="E27" i="285"/>
  <c r="I27" i="285"/>
  <c r="M27" i="285"/>
  <c r="Q27" i="285"/>
  <c r="E29" i="285"/>
  <c r="I29" i="285"/>
  <c r="M29" i="285"/>
  <c r="Q29" i="285"/>
  <c r="C23" i="285"/>
  <c r="D27" i="285"/>
  <c r="F27" i="285"/>
  <c r="H27" i="285"/>
  <c r="J27" i="285"/>
  <c r="L27" i="285"/>
  <c r="N27" i="285"/>
  <c r="P27" i="285"/>
  <c r="R27" i="285"/>
  <c r="T27" i="285"/>
  <c r="V27" i="285"/>
  <c r="D28" i="285"/>
  <c r="D29" i="285"/>
  <c r="F29" i="285"/>
  <c r="H29" i="285"/>
  <c r="J29" i="285"/>
  <c r="L29" i="285"/>
  <c r="N29" i="285"/>
  <c r="P29" i="285"/>
  <c r="R29" i="285"/>
  <c r="T29" i="285"/>
  <c r="V29" i="285"/>
  <c r="D16" i="247"/>
  <c r="D17" i="247" s="1"/>
  <c r="D18" i="247" s="1"/>
  <c r="W27" i="247"/>
  <c r="S27" i="247"/>
  <c r="O27" i="247"/>
  <c r="K27" i="247"/>
  <c r="G27" i="247"/>
  <c r="E27" i="247"/>
  <c r="M27" i="247"/>
  <c r="U27" i="247"/>
  <c r="W29" i="247"/>
  <c r="S29" i="247"/>
  <c r="O29" i="247"/>
  <c r="K29" i="247"/>
  <c r="G29" i="247"/>
  <c r="U29" i="247"/>
  <c r="Q29" i="247"/>
  <c r="M29" i="247"/>
  <c r="I27" i="247"/>
  <c r="Q27" i="247"/>
  <c r="I29" i="247"/>
  <c r="X27" i="247"/>
  <c r="X29" i="247"/>
  <c r="C23" i="247"/>
  <c r="D27" i="247"/>
  <c r="F27" i="247"/>
  <c r="H27" i="247"/>
  <c r="J27" i="247"/>
  <c r="L27" i="247"/>
  <c r="N27" i="247"/>
  <c r="P27" i="247"/>
  <c r="R27" i="247"/>
  <c r="T27" i="247"/>
  <c r="V27" i="247"/>
  <c r="D28" i="247"/>
  <c r="D29" i="247"/>
  <c r="F29" i="247"/>
  <c r="H29" i="247"/>
  <c r="J29" i="247"/>
  <c r="L29" i="247"/>
  <c r="N29" i="247"/>
  <c r="P29" i="247"/>
  <c r="R29" i="247"/>
  <c r="T29" i="247"/>
  <c r="V29" i="247"/>
  <c r="D16" i="153"/>
  <c r="D17" i="153" s="1"/>
  <c r="D18" i="153" s="1"/>
  <c r="E27" i="153"/>
  <c r="I27" i="153"/>
  <c r="M27" i="153"/>
  <c r="Q27" i="153"/>
  <c r="E29" i="153"/>
  <c r="I29" i="153"/>
  <c r="M29" i="153"/>
  <c r="Q29" i="153"/>
  <c r="C23" i="153"/>
  <c r="D27" i="153"/>
  <c r="F27" i="153"/>
  <c r="H27" i="153"/>
  <c r="J27" i="153"/>
  <c r="L27" i="153"/>
  <c r="N27" i="153"/>
  <c r="P27" i="153"/>
  <c r="R27" i="153"/>
  <c r="T27" i="153"/>
  <c r="V27" i="153"/>
  <c r="D28" i="153"/>
  <c r="D29" i="153"/>
  <c r="F29" i="153"/>
  <c r="H29" i="153"/>
  <c r="J29" i="153"/>
  <c r="L29" i="153"/>
  <c r="N29" i="153"/>
  <c r="P29" i="153"/>
  <c r="R29" i="153"/>
  <c r="T29" i="153"/>
  <c r="V29" i="153"/>
  <c r="D16" i="293"/>
  <c r="D17" i="293" s="1"/>
  <c r="D18" i="293" s="1"/>
  <c r="E27" i="293"/>
  <c r="I27" i="293"/>
  <c r="M27" i="293"/>
  <c r="Q27" i="293"/>
  <c r="E29" i="293"/>
  <c r="I29" i="293"/>
  <c r="M29" i="293"/>
  <c r="Q29" i="293"/>
  <c r="C23" i="293"/>
  <c r="D27" i="293"/>
  <c r="F27" i="293"/>
  <c r="H27" i="293"/>
  <c r="J27" i="293"/>
  <c r="L27" i="293"/>
  <c r="N27" i="293"/>
  <c r="P27" i="293"/>
  <c r="R27" i="293"/>
  <c r="T27" i="293"/>
  <c r="V27" i="293"/>
  <c r="D28" i="293"/>
  <c r="D29" i="293"/>
  <c r="F29" i="293"/>
  <c r="H29" i="293"/>
  <c r="J29" i="293"/>
  <c r="L29" i="293"/>
  <c r="N29" i="293"/>
  <c r="P29" i="293"/>
  <c r="R29" i="293"/>
  <c r="T29" i="293"/>
  <c r="V29" i="293"/>
  <c r="D16" i="79"/>
  <c r="D17" i="79" s="1"/>
  <c r="D18" i="79" s="1"/>
  <c r="W27" i="79"/>
  <c r="S27" i="79"/>
  <c r="O27" i="79"/>
  <c r="K27" i="79"/>
  <c r="G27" i="79"/>
  <c r="E27" i="79"/>
  <c r="M27" i="79"/>
  <c r="U27" i="79"/>
  <c r="W29" i="79"/>
  <c r="S29" i="79"/>
  <c r="O29" i="79"/>
  <c r="K29" i="79"/>
  <c r="G29" i="79"/>
  <c r="U29" i="79"/>
  <c r="Q29" i="79"/>
  <c r="M29" i="79"/>
  <c r="I27" i="79"/>
  <c r="Q27" i="79"/>
  <c r="I29" i="79"/>
  <c r="X27" i="79"/>
  <c r="X29" i="79"/>
  <c r="C23" i="79"/>
  <c r="D27" i="79"/>
  <c r="F27" i="79"/>
  <c r="H27" i="79"/>
  <c r="J27" i="79"/>
  <c r="L27" i="79"/>
  <c r="N27" i="79"/>
  <c r="P27" i="79"/>
  <c r="R27" i="79"/>
  <c r="T27" i="79"/>
  <c r="V27" i="79"/>
  <c r="D28" i="79"/>
  <c r="D29" i="79"/>
  <c r="F29" i="79"/>
  <c r="H29" i="79"/>
  <c r="J29" i="79"/>
  <c r="L29" i="79"/>
  <c r="N29" i="79"/>
  <c r="P29" i="79"/>
  <c r="R29" i="79"/>
  <c r="T29" i="79"/>
  <c r="V29" i="79"/>
  <c r="D16" i="269"/>
  <c r="D17" i="269" s="1"/>
  <c r="D18" i="269" s="1"/>
  <c r="W27" i="269"/>
  <c r="S27" i="269"/>
  <c r="O27" i="269"/>
  <c r="K27" i="269"/>
  <c r="G27" i="269"/>
  <c r="E27" i="269"/>
  <c r="M27" i="269"/>
  <c r="U27" i="269"/>
  <c r="W29" i="269"/>
  <c r="S29" i="269"/>
  <c r="O29" i="269"/>
  <c r="K29" i="269"/>
  <c r="G29" i="269"/>
  <c r="U29" i="269"/>
  <c r="Q29" i="269"/>
  <c r="M29" i="269"/>
  <c r="I27" i="269"/>
  <c r="Q27" i="269"/>
  <c r="I29" i="269"/>
  <c r="X27" i="269"/>
  <c r="X29" i="269"/>
  <c r="C23" i="269"/>
  <c r="D27" i="269"/>
  <c r="F27" i="269"/>
  <c r="H27" i="269"/>
  <c r="J27" i="269"/>
  <c r="L27" i="269"/>
  <c r="N27" i="269"/>
  <c r="P27" i="269"/>
  <c r="R27" i="269"/>
  <c r="T27" i="269"/>
  <c r="V27" i="269"/>
  <c r="D28" i="269"/>
  <c r="D29" i="269"/>
  <c r="F29" i="269"/>
  <c r="H29" i="269"/>
  <c r="J29" i="269"/>
  <c r="L29" i="269"/>
  <c r="N29" i="269"/>
  <c r="P29" i="269"/>
  <c r="R29" i="269"/>
  <c r="T29" i="269"/>
  <c r="V29" i="269"/>
  <c r="D16" i="263"/>
  <c r="D17" i="263" s="1"/>
  <c r="D18" i="263" s="1"/>
  <c r="W27" i="263"/>
  <c r="S27" i="263"/>
  <c r="O27" i="263"/>
  <c r="K27" i="263"/>
  <c r="G27" i="263"/>
  <c r="E27" i="263"/>
  <c r="M27" i="263"/>
  <c r="U27" i="263"/>
  <c r="W29" i="263"/>
  <c r="S29" i="263"/>
  <c r="O29" i="263"/>
  <c r="K29" i="263"/>
  <c r="G29" i="263"/>
  <c r="U29" i="263"/>
  <c r="Q29" i="263"/>
  <c r="M29" i="263"/>
  <c r="I27" i="263"/>
  <c r="Q27" i="263"/>
  <c r="I29" i="263"/>
  <c r="X27" i="263"/>
  <c r="X29" i="263"/>
  <c r="C23" i="263"/>
  <c r="D27" i="263"/>
  <c r="F27" i="263"/>
  <c r="H27" i="263"/>
  <c r="J27" i="263"/>
  <c r="L27" i="263"/>
  <c r="N27" i="263"/>
  <c r="P27" i="263"/>
  <c r="R27" i="263"/>
  <c r="T27" i="263"/>
  <c r="V27" i="263"/>
  <c r="D28" i="263"/>
  <c r="D29" i="263"/>
  <c r="F29" i="263"/>
  <c r="H29" i="263"/>
  <c r="J29" i="263"/>
  <c r="L29" i="263"/>
  <c r="N29" i="263"/>
  <c r="P29" i="263"/>
  <c r="R29" i="263"/>
  <c r="T29" i="263"/>
  <c r="V29" i="263"/>
  <c r="D16" i="58"/>
  <c r="D17" i="58" s="1"/>
  <c r="D18" i="58" s="1"/>
  <c r="E27" i="58"/>
  <c r="I27" i="58"/>
  <c r="M27" i="58"/>
  <c r="Q27" i="58"/>
  <c r="E29" i="58"/>
  <c r="I29" i="58"/>
  <c r="M29" i="58"/>
  <c r="Q29" i="58"/>
  <c r="C23" i="58"/>
  <c r="D27" i="58"/>
  <c r="F27" i="58"/>
  <c r="H27" i="58"/>
  <c r="J27" i="58"/>
  <c r="L27" i="58"/>
  <c r="N27" i="58"/>
  <c r="P27" i="58"/>
  <c r="R27" i="58"/>
  <c r="T27" i="58"/>
  <c r="V27" i="58"/>
  <c r="D28" i="58"/>
  <c r="D29" i="58"/>
  <c r="F29" i="58"/>
  <c r="H29" i="58"/>
  <c r="J29" i="58"/>
  <c r="L29" i="58"/>
  <c r="N29" i="58"/>
  <c r="P29" i="58"/>
  <c r="R29" i="58"/>
  <c r="T29" i="58"/>
  <c r="V29" i="58"/>
  <c r="D16" i="219"/>
  <c r="D17" i="219" s="1"/>
  <c r="D18" i="219" s="1"/>
  <c r="E27" i="219"/>
  <c r="I27" i="219"/>
  <c r="M27" i="219"/>
  <c r="Q27" i="219"/>
  <c r="E29" i="219"/>
  <c r="I29" i="219"/>
  <c r="M29" i="219"/>
  <c r="Q29" i="219"/>
  <c r="C23" i="219"/>
  <c r="D27" i="219"/>
  <c r="F27" i="219"/>
  <c r="H27" i="219"/>
  <c r="J27" i="219"/>
  <c r="L27" i="219"/>
  <c r="N27" i="219"/>
  <c r="P27" i="219"/>
  <c r="R27" i="219"/>
  <c r="T27" i="219"/>
  <c r="V27" i="219"/>
  <c r="D28" i="219"/>
  <c r="D29" i="219"/>
  <c r="F29" i="219"/>
  <c r="H29" i="219"/>
  <c r="J29" i="219"/>
  <c r="L29" i="219"/>
  <c r="N29" i="219"/>
  <c r="P29" i="219"/>
  <c r="R29" i="219"/>
  <c r="T29" i="219"/>
  <c r="V29" i="219"/>
  <c r="D16" i="286"/>
  <c r="D17" i="286" s="1"/>
  <c r="D18" i="286" s="1"/>
  <c r="E27" i="286"/>
  <c r="I27" i="286"/>
  <c r="M27" i="286"/>
  <c r="Q27" i="286"/>
  <c r="E29" i="286"/>
  <c r="I29" i="286"/>
  <c r="M29" i="286"/>
  <c r="Q29" i="286"/>
  <c r="C23" i="286"/>
  <c r="D27" i="286"/>
  <c r="F27" i="286"/>
  <c r="H27" i="286"/>
  <c r="J27" i="286"/>
  <c r="L27" i="286"/>
  <c r="N27" i="286"/>
  <c r="P27" i="286"/>
  <c r="R27" i="286"/>
  <c r="T27" i="286"/>
  <c r="V27" i="286"/>
  <c r="D28" i="286"/>
  <c r="D29" i="286"/>
  <c r="F29" i="286"/>
  <c r="H29" i="286"/>
  <c r="J29" i="286"/>
  <c r="L29" i="286"/>
  <c r="N29" i="286"/>
  <c r="P29" i="286"/>
  <c r="R29" i="286"/>
  <c r="T29" i="286"/>
  <c r="V29" i="286"/>
  <c r="D16" i="201"/>
  <c r="D17" i="201" s="1"/>
  <c r="D18" i="201" s="1"/>
  <c r="E27" i="201"/>
  <c r="I27" i="201"/>
  <c r="M27" i="201"/>
  <c r="Q27" i="201"/>
  <c r="E29" i="201"/>
  <c r="I29" i="201"/>
  <c r="M29" i="201"/>
  <c r="Q29" i="201"/>
  <c r="C23" i="201"/>
  <c r="D27" i="201"/>
  <c r="F27" i="201"/>
  <c r="H27" i="201"/>
  <c r="J27" i="201"/>
  <c r="L27" i="201"/>
  <c r="N27" i="201"/>
  <c r="P27" i="201"/>
  <c r="R27" i="201"/>
  <c r="T27" i="201"/>
  <c r="V27" i="201"/>
  <c r="D28" i="201"/>
  <c r="D29" i="201"/>
  <c r="F29" i="201"/>
  <c r="H29" i="201"/>
  <c r="J29" i="201"/>
  <c r="L29" i="201"/>
  <c r="N29" i="201"/>
  <c r="P29" i="201"/>
  <c r="R29" i="201"/>
  <c r="T29" i="201"/>
  <c r="V29" i="201"/>
  <c r="D16" i="176"/>
  <c r="D17" i="176" s="1"/>
  <c r="D18" i="176" s="1"/>
  <c r="E27" i="176"/>
  <c r="I27" i="176"/>
  <c r="M27" i="176"/>
  <c r="Q27" i="176"/>
  <c r="E29" i="176"/>
  <c r="I29" i="176"/>
  <c r="M29" i="176"/>
  <c r="Q29" i="176"/>
  <c r="C23" i="176"/>
  <c r="D27" i="176"/>
  <c r="F27" i="176"/>
  <c r="H27" i="176"/>
  <c r="J27" i="176"/>
  <c r="L27" i="176"/>
  <c r="N27" i="176"/>
  <c r="P27" i="176"/>
  <c r="R27" i="176"/>
  <c r="T27" i="176"/>
  <c r="V27" i="176"/>
  <c r="D28" i="176"/>
  <c r="D29" i="176"/>
  <c r="F29" i="176"/>
  <c r="H29" i="176"/>
  <c r="J29" i="176"/>
  <c r="L29" i="176"/>
  <c r="N29" i="176"/>
  <c r="P29" i="176"/>
  <c r="R29" i="176"/>
  <c r="T29" i="176"/>
  <c r="V29" i="176"/>
  <c r="T17" i="308" l="1"/>
  <c r="T18" i="308" s="1"/>
  <c r="U16" i="308"/>
  <c r="T23" i="308"/>
  <c r="T21" i="308"/>
  <c r="D76" i="76"/>
  <c r="E16" i="208"/>
  <c r="F16" i="260"/>
  <c r="F17" i="260" s="1"/>
  <c r="F18" i="260" s="1"/>
  <c r="G16" i="267"/>
  <c r="G17" i="267" s="1"/>
  <c r="G18" i="267" s="1"/>
  <c r="L76" i="72"/>
  <c r="M76" i="72" s="1"/>
  <c r="J17" i="307"/>
  <c r="J18" i="307" s="1"/>
  <c r="K16" i="307"/>
  <c r="J23" i="307"/>
  <c r="J21" i="307"/>
  <c r="F16" i="301"/>
  <c r="F17" i="301" s="1"/>
  <c r="F18" i="301" s="1"/>
  <c r="F28" i="301"/>
  <c r="E28" i="301"/>
  <c r="F17" i="306"/>
  <c r="F18" i="306" s="1"/>
  <c r="G16" i="306"/>
  <c r="F23" i="306"/>
  <c r="F21" i="306"/>
  <c r="E16" i="293"/>
  <c r="E16" i="195"/>
  <c r="E17" i="195" s="1"/>
  <c r="E18" i="195" s="1"/>
  <c r="F23" i="195" s="1"/>
  <c r="F17" i="305"/>
  <c r="F18" i="305" s="1"/>
  <c r="G16" i="305"/>
  <c r="F23" i="305"/>
  <c r="F21" i="305"/>
  <c r="E16" i="276"/>
  <c r="E17" i="276" s="1"/>
  <c r="E18" i="276" s="1"/>
  <c r="F17" i="304"/>
  <c r="F18" i="304" s="1"/>
  <c r="G16" i="304"/>
  <c r="F23" i="304"/>
  <c r="F21" i="304"/>
  <c r="F17" i="303"/>
  <c r="F18" i="303" s="1"/>
  <c r="G16" i="303"/>
  <c r="F23" i="303"/>
  <c r="F21" i="303"/>
  <c r="E28" i="302"/>
  <c r="E17" i="302"/>
  <c r="E18" i="302" s="1"/>
  <c r="F16" i="302"/>
  <c r="E28" i="300"/>
  <c r="E17" i="300"/>
  <c r="E18" i="300" s="1"/>
  <c r="F16" i="300"/>
  <c r="E16" i="283"/>
  <c r="E17" i="283" s="1"/>
  <c r="E18" i="283" s="1"/>
  <c r="E28" i="299"/>
  <c r="E30" i="299"/>
  <c r="E17" i="299"/>
  <c r="E18" i="299" s="1"/>
  <c r="F16" i="299"/>
  <c r="D30" i="267"/>
  <c r="C30" i="267"/>
  <c r="E30" i="267"/>
  <c r="H16" i="267"/>
  <c r="E23" i="245"/>
  <c r="E21" i="245"/>
  <c r="E16" i="245"/>
  <c r="D30" i="245"/>
  <c r="E30" i="245"/>
  <c r="C30" i="245"/>
  <c r="D30" i="276"/>
  <c r="C30" i="276"/>
  <c r="F23" i="276"/>
  <c r="F21" i="276"/>
  <c r="F16" i="276"/>
  <c r="E23" i="276"/>
  <c r="E21" i="276"/>
  <c r="E16" i="213"/>
  <c r="D30" i="213"/>
  <c r="E30" i="213"/>
  <c r="C30" i="213"/>
  <c r="D30" i="271"/>
  <c r="C30" i="271"/>
  <c r="E30" i="271"/>
  <c r="E16" i="271"/>
  <c r="E16" i="272"/>
  <c r="D30" i="272"/>
  <c r="E30" i="272"/>
  <c r="C30" i="272"/>
  <c r="E16" i="290"/>
  <c r="D30" i="290"/>
  <c r="E30" i="290"/>
  <c r="C30" i="290"/>
  <c r="E16" i="191"/>
  <c r="D30" i="191"/>
  <c r="E30" i="191"/>
  <c r="C30" i="191"/>
  <c r="E23" i="275"/>
  <c r="E21" i="275"/>
  <c r="E16" i="275"/>
  <c r="D30" i="275"/>
  <c r="E30" i="275"/>
  <c r="C30" i="275"/>
  <c r="E16" i="289"/>
  <c r="D30" i="289"/>
  <c r="E30" i="289"/>
  <c r="C30" i="289"/>
  <c r="E23" i="217"/>
  <c r="E21" i="217"/>
  <c r="E16" i="217"/>
  <c r="D30" i="217"/>
  <c r="E30" i="217"/>
  <c r="C30" i="217"/>
  <c r="E23" i="298"/>
  <c r="E21" i="298"/>
  <c r="E16" i="298"/>
  <c r="D30" i="298"/>
  <c r="E30" i="298"/>
  <c r="C30" i="298"/>
  <c r="D30" i="220"/>
  <c r="C30" i="220"/>
  <c r="E16" i="220"/>
  <c r="E16" i="291"/>
  <c r="D30" i="291"/>
  <c r="E30" i="291"/>
  <c r="C30" i="291"/>
  <c r="D30" i="195"/>
  <c r="E30" i="195"/>
  <c r="C30" i="195"/>
  <c r="F21" i="195"/>
  <c r="D30" i="261"/>
  <c r="C30" i="261"/>
  <c r="E16" i="261"/>
  <c r="D30" i="257"/>
  <c r="C30" i="257"/>
  <c r="E16" i="257"/>
  <c r="D30" i="242"/>
  <c r="C30" i="242"/>
  <c r="E30" i="242"/>
  <c r="F23" i="242"/>
  <c r="F21" i="242"/>
  <c r="F16" i="242"/>
  <c r="D30" i="123"/>
  <c r="C30" i="123"/>
  <c r="E30" i="123"/>
  <c r="E16" i="123"/>
  <c r="D30" i="188"/>
  <c r="C30" i="188"/>
  <c r="E16" i="188"/>
  <c r="F30" i="235"/>
  <c r="D30" i="235"/>
  <c r="C30" i="235"/>
  <c r="E30" i="235"/>
  <c r="F16" i="235"/>
  <c r="E28" i="235"/>
  <c r="E16" i="246"/>
  <c r="D30" i="246"/>
  <c r="E30" i="246"/>
  <c r="C30" i="246"/>
  <c r="D30" i="208"/>
  <c r="C30" i="208"/>
  <c r="E16" i="281"/>
  <c r="D30" i="281"/>
  <c r="E30" i="281"/>
  <c r="C30" i="281"/>
  <c r="D30" i="295"/>
  <c r="C30" i="295"/>
  <c r="E16" i="295"/>
  <c r="E23" i="241"/>
  <c r="E21" i="241"/>
  <c r="E16" i="241"/>
  <c r="D30" i="241"/>
  <c r="E30" i="241"/>
  <c r="C30" i="241"/>
  <c r="D30" i="297"/>
  <c r="C30" i="297"/>
  <c r="E16" i="297"/>
  <c r="E16" i="161"/>
  <c r="D30" i="161"/>
  <c r="E30" i="161"/>
  <c r="C30" i="161"/>
  <c r="D30" i="202"/>
  <c r="C30" i="202"/>
  <c r="E16" i="202"/>
  <c r="G16" i="260"/>
  <c r="E30" i="260"/>
  <c r="C30" i="260"/>
  <c r="D30" i="260"/>
  <c r="D30" i="120"/>
  <c r="C30" i="120"/>
  <c r="E16" i="120"/>
  <c r="D30" i="160"/>
  <c r="C30" i="160"/>
  <c r="E30" i="160"/>
  <c r="E16" i="160"/>
  <c r="E16" i="279"/>
  <c r="D30" i="279"/>
  <c r="E30" i="279"/>
  <c r="C30" i="279"/>
  <c r="E23" i="119"/>
  <c r="E30" i="119" s="1"/>
  <c r="E21" i="119"/>
  <c r="E16" i="119"/>
  <c r="D30" i="119"/>
  <c r="C30" i="119"/>
  <c r="E23" i="264"/>
  <c r="E21" i="264"/>
  <c r="E16" i="264"/>
  <c r="D30" i="264"/>
  <c r="E30" i="264"/>
  <c r="C30" i="264"/>
  <c r="D30" i="294"/>
  <c r="C30" i="294"/>
  <c r="E16" i="294"/>
  <c r="E23" i="159"/>
  <c r="E21" i="159"/>
  <c r="E16" i="159"/>
  <c r="D30" i="159"/>
  <c r="E30" i="159"/>
  <c r="C30" i="159"/>
  <c r="E16" i="163"/>
  <c r="D30" i="163"/>
  <c r="E30" i="163"/>
  <c r="C30" i="163"/>
  <c r="D30" i="283"/>
  <c r="C30" i="283"/>
  <c r="F23" i="283"/>
  <c r="F21" i="283"/>
  <c r="F16" i="283"/>
  <c r="E23" i="259"/>
  <c r="E21" i="259"/>
  <c r="E16" i="259"/>
  <c r="D30" i="259"/>
  <c r="E30" i="259"/>
  <c r="C30" i="259"/>
  <c r="E23" i="118"/>
  <c r="E30" i="118" s="1"/>
  <c r="E21" i="118"/>
  <c r="E16" i="118"/>
  <c r="D30" i="118"/>
  <c r="C30" i="118"/>
  <c r="E16" i="157"/>
  <c r="D30" i="157"/>
  <c r="E30" i="157"/>
  <c r="C30" i="157"/>
  <c r="E16" i="296"/>
  <c r="D30" i="296"/>
  <c r="E30" i="296"/>
  <c r="C30" i="296"/>
  <c r="D30" i="288"/>
  <c r="C30" i="288"/>
  <c r="E30" i="288"/>
  <c r="E16" i="288"/>
  <c r="D30" i="284"/>
  <c r="C30" i="284"/>
  <c r="E30" i="284"/>
  <c r="E16" i="284"/>
  <c r="D30" i="249"/>
  <c r="C30" i="249"/>
  <c r="F16" i="249"/>
  <c r="E16" i="287"/>
  <c r="D30" i="287"/>
  <c r="E30" i="287"/>
  <c r="C30" i="287"/>
  <c r="E16" i="82"/>
  <c r="D30" i="82"/>
  <c r="E30" i="82"/>
  <c r="C30" i="82"/>
  <c r="D30" i="285"/>
  <c r="C30" i="285"/>
  <c r="E23" i="285"/>
  <c r="E21" i="285"/>
  <c r="E16" i="285"/>
  <c r="E16" i="247"/>
  <c r="D30" i="247"/>
  <c r="E30" i="247"/>
  <c r="C30" i="247"/>
  <c r="D30" i="153"/>
  <c r="C30" i="153"/>
  <c r="E23" i="153"/>
  <c r="E21" i="153"/>
  <c r="E16" i="153"/>
  <c r="D30" i="293"/>
  <c r="C30" i="293"/>
  <c r="E16" i="79"/>
  <c r="D30" i="79"/>
  <c r="E30" i="79"/>
  <c r="C30" i="79"/>
  <c r="E16" i="269"/>
  <c r="D30" i="269"/>
  <c r="E30" i="269"/>
  <c r="C30" i="269"/>
  <c r="E16" i="263"/>
  <c r="D30" i="263"/>
  <c r="E30" i="263"/>
  <c r="C30" i="263"/>
  <c r="D30" i="58"/>
  <c r="C30" i="58"/>
  <c r="E30" i="58"/>
  <c r="E16" i="58"/>
  <c r="D30" i="219"/>
  <c r="C30" i="219"/>
  <c r="E30" i="219"/>
  <c r="E16" i="219"/>
  <c r="D30" i="286"/>
  <c r="C30" i="286"/>
  <c r="E23" i="286"/>
  <c r="E30" i="286" s="1"/>
  <c r="E21" i="286"/>
  <c r="E16" i="286"/>
  <c r="D30" i="201"/>
  <c r="C30" i="201"/>
  <c r="E30" i="201"/>
  <c r="E16" i="201"/>
  <c r="D30" i="176"/>
  <c r="C30" i="176"/>
  <c r="E30" i="176"/>
  <c r="E16" i="176"/>
  <c r="U17" i="308" l="1"/>
  <c r="U18" i="308" s="1"/>
  <c r="V16" i="308"/>
  <c r="U23" i="308"/>
  <c r="U21" i="308"/>
  <c r="E17" i="208"/>
  <c r="E18" i="208" s="1"/>
  <c r="F16" i="208"/>
  <c r="F16" i="195"/>
  <c r="G16" i="301"/>
  <c r="G17" i="301" s="1"/>
  <c r="G18" i="301" s="1"/>
  <c r="K17" i="307"/>
  <c r="K18" i="307" s="1"/>
  <c r="L16" i="307"/>
  <c r="C69" i="4" s="1"/>
  <c r="C69" i="76" s="1"/>
  <c r="K23" i="307"/>
  <c r="K21" i="307"/>
  <c r="F28" i="306"/>
  <c r="F30" i="306"/>
  <c r="G17" i="306"/>
  <c r="G18" i="306" s="1"/>
  <c r="H16" i="306"/>
  <c r="G23" i="306"/>
  <c r="G21" i="306"/>
  <c r="E17" i="293"/>
  <c r="E18" i="293" s="1"/>
  <c r="F16" i="293"/>
  <c r="F28" i="305"/>
  <c r="F30" i="305"/>
  <c r="G23" i="305"/>
  <c r="G21" i="305"/>
  <c r="G17" i="305"/>
  <c r="G18" i="305" s="1"/>
  <c r="H16" i="305"/>
  <c r="F28" i="304"/>
  <c r="F30" i="304"/>
  <c r="G17" i="304"/>
  <c r="G18" i="304" s="1"/>
  <c r="H16" i="304"/>
  <c r="G23" i="304"/>
  <c r="G30" i="304" s="1"/>
  <c r="G21" i="304"/>
  <c r="F28" i="303"/>
  <c r="F30" i="303"/>
  <c r="G17" i="303"/>
  <c r="G18" i="303" s="1"/>
  <c r="H16" i="303"/>
  <c r="G23" i="303"/>
  <c r="G30" i="303" s="1"/>
  <c r="G21" i="303"/>
  <c r="H30" i="267"/>
  <c r="G28" i="267"/>
  <c r="F28" i="267"/>
  <c r="H28" i="267"/>
  <c r="G30" i="267"/>
  <c r="F30" i="267"/>
  <c r="F28" i="235"/>
  <c r="G30" i="260"/>
  <c r="F28" i="260"/>
  <c r="G28" i="260"/>
  <c r="F30" i="260"/>
  <c r="F28" i="242"/>
  <c r="F30" i="242"/>
  <c r="E30" i="202"/>
  <c r="E30" i="188"/>
  <c r="F23" i="302"/>
  <c r="F21" i="302"/>
  <c r="F17" i="302"/>
  <c r="F18" i="302" s="1"/>
  <c r="G16" i="302"/>
  <c r="G23" i="301"/>
  <c r="G21" i="301"/>
  <c r="E30" i="261"/>
  <c r="F17" i="300"/>
  <c r="F18" i="300" s="1"/>
  <c r="G16" i="300"/>
  <c r="F23" i="300"/>
  <c r="F21" i="300"/>
  <c r="F23" i="299"/>
  <c r="F21" i="299"/>
  <c r="F17" i="299"/>
  <c r="F18" i="299" s="1"/>
  <c r="G16" i="299"/>
  <c r="E30" i="153"/>
  <c r="H17" i="267"/>
  <c r="H18" i="267" s="1"/>
  <c r="I16" i="267"/>
  <c r="E28" i="245"/>
  <c r="E17" i="245"/>
  <c r="E18" i="245" s="1"/>
  <c r="F16" i="245"/>
  <c r="F30" i="276"/>
  <c r="E28" i="276"/>
  <c r="F28" i="276"/>
  <c r="F17" i="276"/>
  <c r="F18" i="276" s="1"/>
  <c r="G16" i="276"/>
  <c r="E30" i="276"/>
  <c r="E28" i="213"/>
  <c r="E17" i="213"/>
  <c r="E18" i="213" s="1"/>
  <c r="F16" i="213"/>
  <c r="E28" i="271"/>
  <c r="E17" i="271"/>
  <c r="E18" i="271" s="1"/>
  <c r="F16" i="271"/>
  <c r="E28" i="272"/>
  <c r="E17" i="272"/>
  <c r="E18" i="272" s="1"/>
  <c r="F16" i="272"/>
  <c r="E28" i="290"/>
  <c r="E17" i="290"/>
  <c r="E18" i="290" s="1"/>
  <c r="F16" i="290"/>
  <c r="E28" i="191"/>
  <c r="E17" i="191"/>
  <c r="E18" i="191" s="1"/>
  <c r="F16" i="191"/>
  <c r="E28" i="275"/>
  <c r="E17" i="275"/>
  <c r="E18" i="275" s="1"/>
  <c r="F16" i="275"/>
  <c r="E28" i="289"/>
  <c r="E17" i="289"/>
  <c r="E18" i="289" s="1"/>
  <c r="F16" i="289"/>
  <c r="E28" i="217"/>
  <c r="E17" i="217"/>
  <c r="E18" i="217" s="1"/>
  <c r="F16" i="217"/>
  <c r="E28" i="298"/>
  <c r="E17" i="298"/>
  <c r="E18" i="298" s="1"/>
  <c r="F16" i="298"/>
  <c r="E28" i="220"/>
  <c r="E30" i="220"/>
  <c r="E17" i="220"/>
  <c r="E18" i="220" s="1"/>
  <c r="F16" i="220"/>
  <c r="E28" i="291"/>
  <c r="E17" i="291"/>
  <c r="E18" i="291" s="1"/>
  <c r="F16" i="291"/>
  <c r="F30" i="195"/>
  <c r="E28" i="195"/>
  <c r="F28" i="195"/>
  <c r="F17" i="195"/>
  <c r="F18" i="195" s="1"/>
  <c r="G16" i="195"/>
  <c r="E28" i="261"/>
  <c r="E17" i="261"/>
  <c r="E18" i="261" s="1"/>
  <c r="F16" i="261"/>
  <c r="E28" i="257"/>
  <c r="E30" i="257"/>
  <c r="E17" i="257"/>
  <c r="E18" i="257" s="1"/>
  <c r="F16" i="257"/>
  <c r="F17" i="242"/>
  <c r="F18" i="242" s="1"/>
  <c r="G16" i="242"/>
  <c r="E28" i="123"/>
  <c r="E17" i="123"/>
  <c r="E18" i="123" s="1"/>
  <c r="F16" i="123"/>
  <c r="E28" i="188"/>
  <c r="E17" i="188"/>
  <c r="E18" i="188" s="1"/>
  <c r="F16" i="188"/>
  <c r="F17" i="235"/>
  <c r="F18" i="235" s="1"/>
  <c r="G16" i="235"/>
  <c r="E28" i="246"/>
  <c r="E17" i="246"/>
  <c r="E18" i="246" s="1"/>
  <c r="F16" i="246"/>
  <c r="E28" i="208"/>
  <c r="G28" i="208"/>
  <c r="F28" i="208"/>
  <c r="E30" i="208"/>
  <c r="G30" i="208"/>
  <c r="F30" i="208"/>
  <c r="E28" i="281"/>
  <c r="E17" i="281"/>
  <c r="E18" i="281" s="1"/>
  <c r="F16" i="281"/>
  <c r="E17" i="295"/>
  <c r="E18" i="295" s="1"/>
  <c r="F16" i="295"/>
  <c r="E28" i="295"/>
  <c r="E30" i="295"/>
  <c r="E28" i="241"/>
  <c r="E17" i="241"/>
  <c r="E18" i="241" s="1"/>
  <c r="F16" i="241"/>
  <c r="E28" i="297"/>
  <c r="E17" i="297"/>
  <c r="E18" i="297" s="1"/>
  <c r="F16" i="297"/>
  <c r="E30" i="297"/>
  <c r="E28" i="161"/>
  <c r="E17" i="161"/>
  <c r="E18" i="161" s="1"/>
  <c r="F16" i="161"/>
  <c r="E28" i="202"/>
  <c r="E17" i="202"/>
  <c r="E18" i="202" s="1"/>
  <c r="F16" i="202"/>
  <c r="G17" i="260"/>
  <c r="G18" i="260" s="1"/>
  <c r="H16" i="260"/>
  <c r="E28" i="120"/>
  <c r="E30" i="120"/>
  <c r="E17" i="120"/>
  <c r="E18" i="120" s="1"/>
  <c r="F16" i="120"/>
  <c r="E28" i="160"/>
  <c r="E17" i="160"/>
  <c r="E18" i="160" s="1"/>
  <c r="F16" i="160"/>
  <c r="E28" i="279"/>
  <c r="E17" i="279"/>
  <c r="E18" i="279" s="1"/>
  <c r="F16" i="279"/>
  <c r="E28" i="119"/>
  <c r="E17" i="119"/>
  <c r="E18" i="119" s="1"/>
  <c r="F16" i="119"/>
  <c r="E28" i="264"/>
  <c r="E17" i="264"/>
  <c r="E18" i="264" s="1"/>
  <c r="F16" i="264"/>
  <c r="E28" i="294"/>
  <c r="E30" i="294"/>
  <c r="E17" i="294"/>
  <c r="E18" i="294" s="1"/>
  <c r="F16" i="294"/>
  <c r="E28" i="159"/>
  <c r="E17" i="159"/>
  <c r="E18" i="159" s="1"/>
  <c r="F16" i="159"/>
  <c r="E28" i="163"/>
  <c r="E17" i="163"/>
  <c r="E18" i="163" s="1"/>
  <c r="F16" i="163"/>
  <c r="F30" i="283"/>
  <c r="E28" i="283"/>
  <c r="F28" i="283"/>
  <c r="F17" i="283"/>
  <c r="F18" i="283" s="1"/>
  <c r="G16" i="283"/>
  <c r="E30" i="283"/>
  <c r="E28" i="259"/>
  <c r="E17" i="259"/>
  <c r="E18" i="259" s="1"/>
  <c r="F16" i="259"/>
  <c r="E28" i="118"/>
  <c r="E17" i="118"/>
  <c r="E18" i="118" s="1"/>
  <c r="F16" i="118"/>
  <c r="E28" i="157"/>
  <c r="E17" i="157"/>
  <c r="E18" i="157" s="1"/>
  <c r="F16" i="157"/>
  <c r="E28" i="296"/>
  <c r="E17" i="296"/>
  <c r="E18" i="296" s="1"/>
  <c r="F16" i="296"/>
  <c r="E28" i="288"/>
  <c r="E17" i="288"/>
  <c r="E18" i="288" s="1"/>
  <c r="F16" i="288"/>
  <c r="E28" i="284"/>
  <c r="E17" i="284"/>
  <c r="E18" i="284" s="1"/>
  <c r="F16" i="284"/>
  <c r="F30" i="249"/>
  <c r="E28" i="249"/>
  <c r="F28" i="249"/>
  <c r="F17" i="249"/>
  <c r="F18" i="249" s="1"/>
  <c r="G16" i="249"/>
  <c r="E30" i="249"/>
  <c r="E28" i="287"/>
  <c r="E17" i="287"/>
  <c r="E18" i="287" s="1"/>
  <c r="F16" i="287"/>
  <c r="E28" i="82"/>
  <c r="E17" i="82"/>
  <c r="E18" i="82" s="1"/>
  <c r="F16" i="82"/>
  <c r="E28" i="285"/>
  <c r="E30" i="285"/>
  <c r="E17" i="285"/>
  <c r="E18" i="285" s="1"/>
  <c r="F16" i="285"/>
  <c r="E28" i="247"/>
  <c r="E17" i="247"/>
  <c r="E18" i="247" s="1"/>
  <c r="F16" i="247"/>
  <c r="E28" i="153"/>
  <c r="E17" i="153"/>
  <c r="E18" i="153" s="1"/>
  <c r="F16" i="153"/>
  <c r="E28" i="293"/>
  <c r="E30" i="293"/>
  <c r="E28" i="79"/>
  <c r="E17" i="79"/>
  <c r="E18" i="79" s="1"/>
  <c r="F16" i="79"/>
  <c r="E28" i="269"/>
  <c r="E17" i="269"/>
  <c r="E18" i="269" s="1"/>
  <c r="F16" i="269"/>
  <c r="E28" i="263"/>
  <c r="E17" i="263"/>
  <c r="E18" i="263" s="1"/>
  <c r="F16" i="263"/>
  <c r="E28" i="58"/>
  <c r="E17" i="58"/>
  <c r="E18" i="58" s="1"/>
  <c r="F16" i="58"/>
  <c r="E28" i="219"/>
  <c r="E17" i="219"/>
  <c r="E18" i="219" s="1"/>
  <c r="F16" i="219"/>
  <c r="E28" i="286"/>
  <c r="E17" i="286"/>
  <c r="E18" i="286" s="1"/>
  <c r="F16" i="286"/>
  <c r="E28" i="201"/>
  <c r="E17" i="201"/>
  <c r="E18" i="201" s="1"/>
  <c r="F16" i="201"/>
  <c r="E28" i="176"/>
  <c r="E17" i="176"/>
  <c r="E18" i="176" s="1"/>
  <c r="F16" i="176"/>
  <c r="AK47" i="72"/>
  <c r="J47" i="72" s="1"/>
  <c r="B47" i="72"/>
  <c r="A47" i="72"/>
  <c r="W16" i="308" l="1"/>
  <c r="V17" i="308"/>
  <c r="V18" i="308" s="1"/>
  <c r="V23" i="308"/>
  <c r="V21" i="308"/>
  <c r="H16" i="301"/>
  <c r="F17" i="208"/>
  <c r="F18" i="208" s="1"/>
  <c r="G16" i="208"/>
  <c r="L17" i="307"/>
  <c r="M16" i="307"/>
  <c r="L21" i="307"/>
  <c r="I69" i="4" s="1"/>
  <c r="L23" i="307"/>
  <c r="K69" i="4" s="1"/>
  <c r="G30" i="306"/>
  <c r="G28" i="306"/>
  <c r="H17" i="306"/>
  <c r="H18" i="306" s="1"/>
  <c r="I16" i="306"/>
  <c r="H21" i="306"/>
  <c r="H23" i="306"/>
  <c r="F17" i="293"/>
  <c r="F18" i="293" s="1"/>
  <c r="G16" i="293"/>
  <c r="G28" i="305"/>
  <c r="G30" i="305"/>
  <c r="H17" i="305"/>
  <c r="H18" i="305" s="1"/>
  <c r="I16" i="305"/>
  <c r="H21" i="305"/>
  <c r="H23" i="305"/>
  <c r="G28" i="304"/>
  <c r="H17" i="304"/>
  <c r="H18" i="304" s="1"/>
  <c r="I16" i="304"/>
  <c r="H21" i="304"/>
  <c r="H23" i="304"/>
  <c r="G28" i="303"/>
  <c r="H17" i="303"/>
  <c r="H18" i="303" s="1"/>
  <c r="I16" i="303"/>
  <c r="H21" i="303"/>
  <c r="H23" i="303"/>
  <c r="F28" i="302"/>
  <c r="F30" i="302"/>
  <c r="G17" i="302"/>
  <c r="G18" i="302" s="1"/>
  <c r="H16" i="302"/>
  <c r="G23" i="302"/>
  <c r="G30" i="302" s="1"/>
  <c r="G21" i="302"/>
  <c r="G28" i="301"/>
  <c r="G30" i="301"/>
  <c r="H17" i="301"/>
  <c r="H18" i="301" s="1"/>
  <c r="I16" i="301"/>
  <c r="H23" i="301"/>
  <c r="H21" i="301"/>
  <c r="F28" i="300"/>
  <c r="F30" i="300"/>
  <c r="G17" i="300"/>
  <c r="G18" i="300" s="1"/>
  <c r="H16" i="300"/>
  <c r="G23" i="300"/>
  <c r="G30" i="300" s="1"/>
  <c r="G21" i="300"/>
  <c r="F28" i="299"/>
  <c r="F30" i="299"/>
  <c r="G17" i="299"/>
  <c r="G18" i="299" s="1"/>
  <c r="H16" i="299"/>
  <c r="G23" i="299"/>
  <c r="G30" i="299" s="1"/>
  <c r="G21" i="299"/>
  <c r="I17" i="267"/>
  <c r="I18" i="267" s="1"/>
  <c r="J16" i="267"/>
  <c r="F21" i="245"/>
  <c r="F23" i="245"/>
  <c r="F17" i="245"/>
  <c r="F18" i="245" s="1"/>
  <c r="G16" i="245"/>
  <c r="G17" i="276"/>
  <c r="G18" i="276" s="1"/>
  <c r="H16" i="276"/>
  <c r="G23" i="276"/>
  <c r="G21" i="276"/>
  <c r="F17" i="213"/>
  <c r="F18" i="213" s="1"/>
  <c r="G16" i="213"/>
  <c r="F17" i="271"/>
  <c r="F18" i="271" s="1"/>
  <c r="G16" i="271"/>
  <c r="F17" i="272"/>
  <c r="F18" i="272" s="1"/>
  <c r="G16" i="272"/>
  <c r="F17" i="290"/>
  <c r="F18" i="290" s="1"/>
  <c r="G16" i="290"/>
  <c r="F17" i="191"/>
  <c r="F18" i="191" s="1"/>
  <c r="G16" i="191"/>
  <c r="F21" i="275"/>
  <c r="F23" i="275"/>
  <c r="F17" i="275"/>
  <c r="F18" i="275" s="1"/>
  <c r="G16" i="275"/>
  <c r="F21" i="289"/>
  <c r="F23" i="289"/>
  <c r="F17" i="289"/>
  <c r="F18" i="289" s="1"/>
  <c r="G16" i="289"/>
  <c r="F21" i="217"/>
  <c r="F23" i="217"/>
  <c r="F17" i="217"/>
  <c r="F18" i="217" s="1"/>
  <c r="G16" i="217"/>
  <c r="F17" i="298"/>
  <c r="F18" i="298" s="1"/>
  <c r="G16" i="298"/>
  <c r="F21" i="298"/>
  <c r="F23" i="298"/>
  <c r="F17" i="220"/>
  <c r="F18" i="220" s="1"/>
  <c r="G16" i="220"/>
  <c r="F17" i="291"/>
  <c r="F18" i="291" s="1"/>
  <c r="G16" i="291"/>
  <c r="G17" i="195"/>
  <c r="G18" i="195" s="1"/>
  <c r="H16" i="195"/>
  <c r="G23" i="195"/>
  <c r="G21" i="195"/>
  <c r="F17" i="261"/>
  <c r="F18" i="261" s="1"/>
  <c r="G16" i="261"/>
  <c r="F23" i="261"/>
  <c r="F21" i="261"/>
  <c r="F17" i="257"/>
  <c r="F18" i="257" s="1"/>
  <c r="G16" i="257"/>
  <c r="G17" i="242"/>
  <c r="G18" i="242" s="1"/>
  <c r="H16" i="242"/>
  <c r="G23" i="242"/>
  <c r="G21" i="242"/>
  <c r="F17" i="123"/>
  <c r="F18" i="123" s="1"/>
  <c r="G16" i="123"/>
  <c r="F23" i="123"/>
  <c r="F21" i="123"/>
  <c r="F17" i="188"/>
  <c r="F18" i="188" s="1"/>
  <c r="G16" i="188"/>
  <c r="G17" i="235"/>
  <c r="G18" i="235" s="1"/>
  <c r="H16" i="235"/>
  <c r="F17" i="246"/>
  <c r="F18" i="246" s="1"/>
  <c r="G16" i="246"/>
  <c r="F17" i="281"/>
  <c r="F18" i="281" s="1"/>
  <c r="G16" i="281"/>
  <c r="F17" i="295"/>
  <c r="F18" i="295" s="1"/>
  <c r="G16" i="295"/>
  <c r="F21" i="241"/>
  <c r="F23" i="241"/>
  <c r="F17" i="241"/>
  <c r="F18" i="241" s="1"/>
  <c r="G16" i="241"/>
  <c r="F17" i="297"/>
  <c r="F18" i="297" s="1"/>
  <c r="G16" i="297"/>
  <c r="F21" i="161"/>
  <c r="F23" i="161"/>
  <c r="F17" i="161"/>
  <c r="F18" i="161" s="1"/>
  <c r="G16" i="161"/>
  <c r="F17" i="202"/>
  <c r="F18" i="202" s="1"/>
  <c r="G16" i="202"/>
  <c r="F23" i="202"/>
  <c r="F21" i="202"/>
  <c r="H17" i="260"/>
  <c r="H18" i="260" s="1"/>
  <c r="I16" i="260"/>
  <c r="F17" i="120"/>
  <c r="F18" i="120" s="1"/>
  <c r="G16" i="120"/>
  <c r="F17" i="160"/>
  <c r="F18" i="160" s="1"/>
  <c r="G16" i="160"/>
  <c r="F23" i="160"/>
  <c r="F21" i="160"/>
  <c r="F17" i="279"/>
  <c r="F18" i="279" s="1"/>
  <c r="G16" i="279"/>
  <c r="F21" i="119"/>
  <c r="F23" i="119"/>
  <c r="F17" i="119"/>
  <c r="F18" i="119" s="1"/>
  <c r="G16" i="119"/>
  <c r="F21" i="264"/>
  <c r="F23" i="264"/>
  <c r="F17" i="264"/>
  <c r="F18" i="264" s="1"/>
  <c r="G16" i="264"/>
  <c r="F17" i="294"/>
  <c r="F18" i="294" s="1"/>
  <c r="G16" i="294"/>
  <c r="F21" i="159"/>
  <c r="F23" i="159"/>
  <c r="F17" i="159"/>
  <c r="F18" i="159" s="1"/>
  <c r="G16" i="159"/>
  <c r="F21" i="163"/>
  <c r="F23" i="163"/>
  <c r="F17" i="163"/>
  <c r="F18" i="163" s="1"/>
  <c r="G16" i="163"/>
  <c r="G17" i="283"/>
  <c r="G18" i="283" s="1"/>
  <c r="H16" i="283"/>
  <c r="G23" i="283"/>
  <c r="G21" i="283"/>
  <c r="F21" i="259"/>
  <c r="F23" i="259"/>
  <c r="F17" i="259"/>
  <c r="F18" i="259" s="1"/>
  <c r="G16" i="259"/>
  <c r="F21" i="118"/>
  <c r="F23" i="118"/>
  <c r="F17" i="118"/>
  <c r="F18" i="118" s="1"/>
  <c r="G16" i="118"/>
  <c r="F17" i="157"/>
  <c r="F18" i="157" s="1"/>
  <c r="G16" i="157"/>
  <c r="F17" i="296"/>
  <c r="F18" i="296" s="1"/>
  <c r="G16" i="296"/>
  <c r="F17" i="288"/>
  <c r="F18" i="288" s="1"/>
  <c r="G16" i="288"/>
  <c r="F17" i="284"/>
  <c r="F18" i="284" s="1"/>
  <c r="G16" i="284"/>
  <c r="G17" i="249"/>
  <c r="G18" i="249" s="1"/>
  <c r="H16" i="249"/>
  <c r="F17" i="287"/>
  <c r="F18" i="287" s="1"/>
  <c r="G16" i="287"/>
  <c r="F17" i="82"/>
  <c r="F18" i="82" s="1"/>
  <c r="G16" i="82"/>
  <c r="F23" i="285"/>
  <c r="F21" i="285"/>
  <c r="F17" i="285"/>
  <c r="F18" i="285" s="1"/>
  <c r="G16" i="285"/>
  <c r="F17" i="247"/>
  <c r="F18" i="247" s="1"/>
  <c r="G16" i="247"/>
  <c r="F17" i="153"/>
  <c r="F18" i="153" s="1"/>
  <c r="G16" i="153"/>
  <c r="F23" i="153"/>
  <c r="F21" i="153"/>
  <c r="F21" i="79"/>
  <c r="F23" i="79"/>
  <c r="F17" i="79"/>
  <c r="F18" i="79" s="1"/>
  <c r="G16" i="79"/>
  <c r="F17" i="269"/>
  <c r="F18" i="269" s="1"/>
  <c r="G16" i="269"/>
  <c r="F21" i="263"/>
  <c r="F23" i="263"/>
  <c r="F17" i="263"/>
  <c r="F18" i="263" s="1"/>
  <c r="G16" i="263"/>
  <c r="F17" i="58"/>
  <c r="F18" i="58" s="1"/>
  <c r="G16" i="58"/>
  <c r="F17" i="219"/>
  <c r="F18" i="219" s="1"/>
  <c r="G16" i="219"/>
  <c r="F17" i="286"/>
  <c r="F18" i="286" s="1"/>
  <c r="G16" i="286"/>
  <c r="F23" i="286"/>
  <c r="F21" i="286"/>
  <c r="F17" i="201"/>
  <c r="F18" i="201" s="1"/>
  <c r="G16" i="201"/>
  <c r="F17" i="176"/>
  <c r="F18" i="176" s="1"/>
  <c r="G16" i="176"/>
  <c r="W23" i="308" l="1"/>
  <c r="W21" i="308"/>
  <c r="W17" i="308"/>
  <c r="W18" i="308" s="1"/>
  <c r="X16" i="308"/>
  <c r="X17" i="308" s="1"/>
  <c r="X18" i="308" s="1"/>
  <c r="I4" i="308" s="1"/>
  <c r="L18" i="307"/>
  <c r="G69" i="4" s="1"/>
  <c r="F69" i="4" s="1"/>
  <c r="E69" i="4"/>
  <c r="E69" i="76" s="1"/>
  <c r="G17" i="208"/>
  <c r="G18" i="208" s="1"/>
  <c r="H16" i="208"/>
  <c r="I28" i="267"/>
  <c r="I30" i="267"/>
  <c r="M17" i="307"/>
  <c r="M18" i="307" s="1"/>
  <c r="N16" i="307"/>
  <c r="M23" i="307"/>
  <c r="M21" i="307"/>
  <c r="H30" i="208"/>
  <c r="H28" i="208"/>
  <c r="H28" i="260"/>
  <c r="H30" i="260"/>
  <c r="G28" i="235"/>
  <c r="G30" i="235"/>
  <c r="G28" i="249"/>
  <c r="G30" i="249"/>
  <c r="H30" i="306"/>
  <c r="H28" i="306"/>
  <c r="I17" i="306"/>
  <c r="I18" i="306" s="1"/>
  <c r="J16" i="306"/>
  <c r="I23" i="306"/>
  <c r="I21" i="306"/>
  <c r="F28" i="293"/>
  <c r="G17" i="293"/>
  <c r="G18" i="293" s="1"/>
  <c r="H16" i="293"/>
  <c r="F30" i="293"/>
  <c r="G30" i="293"/>
  <c r="G28" i="293"/>
  <c r="G28" i="195"/>
  <c r="G30" i="195"/>
  <c r="H30" i="305"/>
  <c r="H28" i="305"/>
  <c r="I17" i="305"/>
  <c r="I18" i="305" s="1"/>
  <c r="J16" i="305"/>
  <c r="I23" i="305"/>
  <c r="I21" i="305"/>
  <c r="I28" i="305" s="1"/>
  <c r="H30" i="304"/>
  <c r="H28" i="304"/>
  <c r="I17" i="304"/>
  <c r="I18" i="304" s="1"/>
  <c r="J16" i="304"/>
  <c r="I23" i="304"/>
  <c r="I21" i="304"/>
  <c r="H30" i="303"/>
  <c r="H28" i="303"/>
  <c r="I17" i="303"/>
  <c r="I18" i="303" s="1"/>
  <c r="J16" i="303"/>
  <c r="I23" i="303"/>
  <c r="I21" i="303"/>
  <c r="F30" i="213"/>
  <c r="F28" i="213"/>
  <c r="F28" i="271"/>
  <c r="F30" i="271"/>
  <c r="F30" i="272"/>
  <c r="F28" i="272"/>
  <c r="F30" i="290"/>
  <c r="F28" i="290"/>
  <c r="F30" i="191"/>
  <c r="F28" i="191"/>
  <c r="F28" i="220"/>
  <c r="F30" i="220"/>
  <c r="F28" i="291"/>
  <c r="G28" i="291"/>
  <c r="F30" i="291"/>
  <c r="G28" i="257"/>
  <c r="F28" i="257"/>
  <c r="F30" i="257"/>
  <c r="F30" i="246"/>
  <c r="F28" i="246"/>
  <c r="F30" i="281"/>
  <c r="G30" i="281"/>
  <c r="F28" i="281"/>
  <c r="F30" i="295"/>
  <c r="F28" i="295"/>
  <c r="G28" i="120"/>
  <c r="F28" i="120"/>
  <c r="F30" i="120"/>
  <c r="F28" i="160"/>
  <c r="F30" i="160"/>
  <c r="F30" i="279"/>
  <c r="F28" i="279"/>
  <c r="F28" i="294"/>
  <c r="F30" i="294"/>
  <c r="G30" i="294"/>
  <c r="F30" i="157"/>
  <c r="F28" i="157"/>
  <c r="F30" i="296"/>
  <c r="G30" i="296"/>
  <c r="F28" i="296"/>
  <c r="F28" i="288"/>
  <c r="F30" i="288"/>
  <c r="F28" i="284"/>
  <c r="F30" i="284"/>
  <c r="G30" i="284"/>
  <c r="F30" i="287"/>
  <c r="F28" i="287"/>
  <c r="F30" i="82"/>
  <c r="F28" i="82"/>
  <c r="G28" i="82"/>
  <c r="F30" i="247"/>
  <c r="F28" i="247"/>
  <c r="F30" i="79"/>
  <c r="F28" i="79"/>
  <c r="F30" i="269"/>
  <c r="F28" i="269"/>
  <c r="F30" i="263"/>
  <c r="F28" i="263"/>
  <c r="F28" i="58"/>
  <c r="F30" i="58"/>
  <c r="F28" i="219"/>
  <c r="F30" i="219"/>
  <c r="G30" i="219"/>
  <c r="F28" i="201"/>
  <c r="F30" i="201"/>
  <c r="G30" i="201"/>
  <c r="F28" i="176"/>
  <c r="F30" i="176"/>
  <c r="G28" i="242"/>
  <c r="G30" i="242"/>
  <c r="F30" i="159"/>
  <c r="F28" i="159"/>
  <c r="F28" i="202"/>
  <c r="F30" i="202"/>
  <c r="F30" i="264"/>
  <c r="F28" i="264"/>
  <c r="F28" i="188"/>
  <c r="F30" i="188"/>
  <c r="F30" i="259"/>
  <c r="F28" i="259"/>
  <c r="G28" i="302"/>
  <c r="H17" i="302"/>
  <c r="H18" i="302" s="1"/>
  <c r="I16" i="302"/>
  <c r="H21" i="302"/>
  <c r="H23" i="302"/>
  <c r="F30" i="163"/>
  <c r="F28" i="163"/>
  <c r="F30" i="118"/>
  <c r="F28" i="118"/>
  <c r="F30" i="119"/>
  <c r="F28" i="119"/>
  <c r="H28" i="301"/>
  <c r="H30" i="301"/>
  <c r="I17" i="301"/>
  <c r="I18" i="301" s="1"/>
  <c r="J16" i="301"/>
  <c r="I23" i="301"/>
  <c r="I30" i="301" s="1"/>
  <c r="I21" i="301"/>
  <c r="F28" i="261"/>
  <c r="F30" i="261"/>
  <c r="F30" i="241"/>
  <c r="F28" i="241"/>
  <c r="G28" i="300"/>
  <c r="H17" i="300"/>
  <c r="H18" i="300" s="1"/>
  <c r="I16" i="300"/>
  <c r="H21" i="300"/>
  <c r="H23" i="300"/>
  <c r="F28" i="285"/>
  <c r="F30" i="285"/>
  <c r="G28" i="283"/>
  <c r="G30" i="283"/>
  <c r="F30" i="275"/>
  <c r="F28" i="275"/>
  <c r="F30" i="245"/>
  <c r="F28" i="245"/>
  <c r="F28" i="286"/>
  <c r="F30" i="286"/>
  <c r="F30" i="217"/>
  <c r="F28" i="217"/>
  <c r="F30" i="289"/>
  <c r="F28" i="289"/>
  <c r="F30" i="298"/>
  <c r="F28" i="298"/>
  <c r="G28" i="276"/>
  <c r="G30" i="276"/>
  <c r="G28" i="299"/>
  <c r="H17" i="299"/>
  <c r="H18" i="299" s="1"/>
  <c r="I16" i="299"/>
  <c r="H21" i="299"/>
  <c r="H23" i="299"/>
  <c r="F30" i="161"/>
  <c r="F28" i="161"/>
  <c r="F28" i="153"/>
  <c r="F30" i="153"/>
  <c r="F28" i="297"/>
  <c r="F30" i="297"/>
  <c r="F28" i="123"/>
  <c r="F30" i="123"/>
  <c r="J17" i="267"/>
  <c r="J18" i="267" s="1"/>
  <c r="K16" i="267"/>
  <c r="G17" i="245"/>
  <c r="G18" i="245" s="1"/>
  <c r="H16" i="245"/>
  <c r="G23" i="245"/>
  <c r="G21" i="245"/>
  <c r="G28" i="245" s="1"/>
  <c r="H17" i="276"/>
  <c r="H18" i="276" s="1"/>
  <c r="I16" i="276"/>
  <c r="H23" i="276"/>
  <c r="H21" i="276"/>
  <c r="H28" i="276" s="1"/>
  <c r="G17" i="213"/>
  <c r="G18" i="213" s="1"/>
  <c r="H16" i="213"/>
  <c r="G23" i="213"/>
  <c r="G21" i="213"/>
  <c r="G28" i="213" s="1"/>
  <c r="G17" i="271"/>
  <c r="G18" i="271" s="1"/>
  <c r="H16" i="271"/>
  <c r="G17" i="272"/>
  <c r="G18" i="272" s="1"/>
  <c r="H16" i="272"/>
  <c r="G23" i="272"/>
  <c r="G21" i="272"/>
  <c r="G28" i="272" s="1"/>
  <c r="G17" i="290"/>
  <c r="G18" i="290" s="1"/>
  <c r="H16" i="290"/>
  <c r="G17" i="191"/>
  <c r="G18" i="191" s="1"/>
  <c r="H16" i="191"/>
  <c r="G23" i="191"/>
  <c r="G21" i="191"/>
  <c r="G17" i="275"/>
  <c r="G18" i="275" s="1"/>
  <c r="H16" i="275"/>
  <c r="G23" i="275"/>
  <c r="G21" i="275"/>
  <c r="G17" i="289"/>
  <c r="G18" i="289" s="1"/>
  <c r="H16" i="289"/>
  <c r="G23" i="289"/>
  <c r="G21" i="289"/>
  <c r="G28" i="289" s="1"/>
  <c r="G17" i="217"/>
  <c r="G18" i="217" s="1"/>
  <c r="H16" i="217"/>
  <c r="G23" i="217"/>
  <c r="G21" i="217"/>
  <c r="G17" i="298"/>
  <c r="G18" i="298" s="1"/>
  <c r="H16" i="298"/>
  <c r="G23" i="298"/>
  <c r="G21" i="298"/>
  <c r="G17" i="220"/>
  <c r="G18" i="220" s="1"/>
  <c r="H16" i="220"/>
  <c r="G17" i="291"/>
  <c r="G18" i="291" s="1"/>
  <c r="H16" i="291"/>
  <c r="H17" i="195"/>
  <c r="H18" i="195" s="1"/>
  <c r="I16" i="195"/>
  <c r="H23" i="195"/>
  <c r="H21" i="195"/>
  <c r="G17" i="261"/>
  <c r="G18" i="261" s="1"/>
  <c r="H16" i="261"/>
  <c r="G23" i="261"/>
  <c r="G30" i="261" s="1"/>
  <c r="G21" i="261"/>
  <c r="G17" i="257"/>
  <c r="G18" i="257" s="1"/>
  <c r="H16" i="257"/>
  <c r="H17" i="242"/>
  <c r="H18" i="242" s="1"/>
  <c r="I16" i="242"/>
  <c r="H21" i="242"/>
  <c r="H23" i="242"/>
  <c r="G17" i="123"/>
  <c r="G18" i="123" s="1"/>
  <c r="H16" i="123"/>
  <c r="G23" i="123"/>
  <c r="G21" i="123"/>
  <c r="G17" i="188"/>
  <c r="G18" i="188" s="1"/>
  <c r="H16" i="188"/>
  <c r="G23" i="188"/>
  <c r="G21" i="188"/>
  <c r="H17" i="235"/>
  <c r="H18" i="235" s="1"/>
  <c r="I16" i="235"/>
  <c r="G17" i="246"/>
  <c r="G18" i="246" s="1"/>
  <c r="H16" i="246"/>
  <c r="I28" i="208"/>
  <c r="G17" i="281"/>
  <c r="G18" i="281" s="1"/>
  <c r="H16" i="281"/>
  <c r="G17" i="295"/>
  <c r="G18" i="295" s="1"/>
  <c r="H16" i="295"/>
  <c r="G30" i="295"/>
  <c r="G17" i="241"/>
  <c r="G18" i="241" s="1"/>
  <c r="H16" i="241"/>
  <c r="G23" i="241"/>
  <c r="G21" i="241"/>
  <c r="G17" i="297"/>
  <c r="G18" i="297" s="1"/>
  <c r="H16" i="297"/>
  <c r="G23" i="297"/>
  <c r="G30" i="297" s="1"/>
  <c r="G21" i="297"/>
  <c r="G17" i="161"/>
  <c r="G18" i="161" s="1"/>
  <c r="H16" i="161"/>
  <c r="G23" i="161"/>
  <c r="G21" i="161"/>
  <c r="G17" i="202"/>
  <c r="G18" i="202" s="1"/>
  <c r="H16" i="202"/>
  <c r="G23" i="202"/>
  <c r="G21" i="202"/>
  <c r="I17" i="260"/>
  <c r="I18" i="260" s="1"/>
  <c r="J16" i="260"/>
  <c r="G17" i="120"/>
  <c r="G18" i="120" s="1"/>
  <c r="H16" i="120"/>
  <c r="G17" i="160"/>
  <c r="G18" i="160" s="1"/>
  <c r="H16" i="160"/>
  <c r="G23" i="160"/>
  <c r="G21" i="160"/>
  <c r="G28" i="160" s="1"/>
  <c r="G17" i="279"/>
  <c r="G18" i="279" s="1"/>
  <c r="H16" i="279"/>
  <c r="G17" i="119"/>
  <c r="G18" i="119" s="1"/>
  <c r="H16" i="119"/>
  <c r="G23" i="119"/>
  <c r="G21" i="119"/>
  <c r="G17" i="264"/>
  <c r="G18" i="264" s="1"/>
  <c r="H16" i="264"/>
  <c r="G23" i="264"/>
  <c r="G21" i="264"/>
  <c r="G28" i="264" s="1"/>
  <c r="G17" i="294"/>
  <c r="G18" i="294" s="1"/>
  <c r="H16" i="294"/>
  <c r="G17" i="159"/>
  <c r="G18" i="159" s="1"/>
  <c r="H16" i="159"/>
  <c r="G23" i="159"/>
  <c r="G21" i="159"/>
  <c r="G28" i="159" s="1"/>
  <c r="G17" i="163"/>
  <c r="G18" i="163" s="1"/>
  <c r="H16" i="163"/>
  <c r="G23" i="163"/>
  <c r="G21" i="163"/>
  <c r="H17" i="283"/>
  <c r="H18" i="283" s="1"/>
  <c r="I16" i="283"/>
  <c r="H23" i="283"/>
  <c r="H21" i="283"/>
  <c r="G17" i="259"/>
  <c r="G18" i="259" s="1"/>
  <c r="H16" i="259"/>
  <c r="G23" i="259"/>
  <c r="G21" i="259"/>
  <c r="G17" i="118"/>
  <c r="G18" i="118" s="1"/>
  <c r="H16" i="118"/>
  <c r="G23" i="118"/>
  <c r="G21" i="118"/>
  <c r="G17" i="157"/>
  <c r="G18" i="157" s="1"/>
  <c r="H16" i="157"/>
  <c r="G17" i="296"/>
  <c r="G18" i="296" s="1"/>
  <c r="H16" i="296"/>
  <c r="G17" i="288"/>
  <c r="G18" i="288" s="1"/>
  <c r="H16" i="288"/>
  <c r="G17" i="284"/>
  <c r="G18" i="284" s="1"/>
  <c r="H16" i="284"/>
  <c r="H17" i="249"/>
  <c r="H18" i="249" s="1"/>
  <c r="I16" i="249"/>
  <c r="G17" i="287"/>
  <c r="G18" i="287" s="1"/>
  <c r="H16" i="287"/>
  <c r="G17" i="82"/>
  <c r="G18" i="82" s="1"/>
  <c r="H16" i="82"/>
  <c r="G17" i="285"/>
  <c r="G18" i="285" s="1"/>
  <c r="H16" i="285"/>
  <c r="G23" i="285"/>
  <c r="G21" i="285"/>
  <c r="G28" i="285" s="1"/>
  <c r="G17" i="247"/>
  <c r="G18" i="247" s="1"/>
  <c r="H16" i="247"/>
  <c r="G17" i="153"/>
  <c r="G18" i="153" s="1"/>
  <c r="H16" i="153"/>
  <c r="G23" i="153"/>
  <c r="G30" i="153" s="1"/>
  <c r="G21" i="153"/>
  <c r="G17" i="79"/>
  <c r="G18" i="79" s="1"/>
  <c r="H16" i="79"/>
  <c r="G23" i="79"/>
  <c r="G21" i="79"/>
  <c r="G17" i="269"/>
  <c r="G18" i="269" s="1"/>
  <c r="H16" i="269"/>
  <c r="G17" i="263"/>
  <c r="G18" i="263" s="1"/>
  <c r="H16" i="263"/>
  <c r="G23" i="263"/>
  <c r="G21" i="263"/>
  <c r="G17" i="58"/>
  <c r="G18" i="58" s="1"/>
  <c r="H16" i="58"/>
  <c r="G23" i="58"/>
  <c r="G30" i="58" s="1"/>
  <c r="G21" i="58"/>
  <c r="G17" i="219"/>
  <c r="G18" i="219" s="1"/>
  <c r="H16" i="219"/>
  <c r="G17" i="286"/>
  <c r="G18" i="286" s="1"/>
  <c r="H16" i="286"/>
  <c r="G23" i="286"/>
  <c r="G21" i="286"/>
  <c r="G28" i="286" s="1"/>
  <c r="G17" i="201"/>
  <c r="G18" i="201" s="1"/>
  <c r="H16" i="201"/>
  <c r="G17" i="176"/>
  <c r="G18" i="176" s="1"/>
  <c r="H16" i="176"/>
  <c r="G23" i="176"/>
  <c r="G21" i="176"/>
  <c r="X23" i="308" l="1"/>
  <c r="X21" i="308"/>
  <c r="I16" i="208"/>
  <c r="H17" i="208"/>
  <c r="H18" i="208" s="1"/>
  <c r="J30" i="267"/>
  <c r="K30" i="267"/>
  <c r="J28" i="267"/>
  <c r="I30" i="208"/>
  <c r="I30" i="260"/>
  <c r="I28" i="260"/>
  <c r="N17" i="307"/>
  <c r="N18" i="307" s="1"/>
  <c r="O16" i="307"/>
  <c r="N23" i="307"/>
  <c r="N21" i="307"/>
  <c r="H30" i="235"/>
  <c r="I30" i="235"/>
  <c r="H28" i="235"/>
  <c r="H28" i="249"/>
  <c r="H30" i="249"/>
  <c r="G30" i="279"/>
  <c r="G30" i="271"/>
  <c r="G28" i="271"/>
  <c r="H28" i="290"/>
  <c r="G28" i="290"/>
  <c r="G30" i="290"/>
  <c r="G30" i="191"/>
  <c r="G28" i="191"/>
  <c r="G28" i="220"/>
  <c r="G30" i="220"/>
  <c r="G30" i="291"/>
  <c r="G30" i="257"/>
  <c r="G30" i="246"/>
  <c r="G28" i="246"/>
  <c r="G28" i="281"/>
  <c r="G28" i="295"/>
  <c r="G30" i="120"/>
  <c r="G28" i="279"/>
  <c r="G28" i="294"/>
  <c r="H28" i="294"/>
  <c r="H30" i="157"/>
  <c r="G28" i="157"/>
  <c r="G30" i="157"/>
  <c r="G28" i="296"/>
  <c r="H30" i="288"/>
  <c r="G30" i="288"/>
  <c r="G28" i="288"/>
  <c r="G28" i="284"/>
  <c r="G28" i="287"/>
  <c r="G30" i="287"/>
  <c r="G30" i="82"/>
  <c r="G28" i="247"/>
  <c r="G30" i="247"/>
  <c r="G30" i="269"/>
  <c r="G28" i="269"/>
  <c r="H30" i="269"/>
  <c r="G28" i="219"/>
  <c r="G28" i="201"/>
  <c r="G28" i="58"/>
  <c r="G30" i="272"/>
  <c r="I28" i="306"/>
  <c r="I30" i="306"/>
  <c r="J17" i="306"/>
  <c r="J18" i="306" s="1"/>
  <c r="K16" i="306"/>
  <c r="J23" i="306"/>
  <c r="J21" i="306"/>
  <c r="G28" i="263"/>
  <c r="G30" i="263"/>
  <c r="H17" i="293"/>
  <c r="H18" i="293" s="1"/>
  <c r="I16" i="293"/>
  <c r="H30" i="293"/>
  <c r="H28" i="293"/>
  <c r="H30" i="195"/>
  <c r="H28" i="195"/>
  <c r="I30" i="305"/>
  <c r="J17" i="305"/>
  <c r="J18" i="305" s="1"/>
  <c r="K16" i="305"/>
  <c r="J23" i="305"/>
  <c r="J21" i="305"/>
  <c r="G30" i="160"/>
  <c r="G30" i="176"/>
  <c r="G28" i="176"/>
  <c r="G28" i="79"/>
  <c r="G30" i="79"/>
  <c r="I28" i="304"/>
  <c r="I30" i="304"/>
  <c r="J17" i="304"/>
  <c r="J18" i="304" s="1"/>
  <c r="K16" i="304"/>
  <c r="J23" i="304"/>
  <c r="J21" i="304"/>
  <c r="I28" i="303"/>
  <c r="I30" i="303"/>
  <c r="J17" i="303"/>
  <c r="J18" i="303" s="1"/>
  <c r="K16" i="303"/>
  <c r="J23" i="303"/>
  <c r="J21" i="303"/>
  <c r="G30" i="213"/>
  <c r="H28" i="242"/>
  <c r="H30" i="242"/>
  <c r="G30" i="159"/>
  <c r="G30" i="202"/>
  <c r="G28" i="202"/>
  <c r="G30" i="264"/>
  <c r="G30" i="188"/>
  <c r="G28" i="188"/>
  <c r="G28" i="259"/>
  <c r="G30" i="259"/>
  <c r="H28" i="302"/>
  <c r="H30" i="302"/>
  <c r="I23" i="302"/>
  <c r="I30" i="302" s="1"/>
  <c r="I21" i="302"/>
  <c r="I17" i="302"/>
  <c r="I18" i="302" s="1"/>
  <c r="J16" i="302"/>
  <c r="G28" i="163"/>
  <c r="G30" i="163"/>
  <c r="G28" i="118"/>
  <c r="G30" i="118"/>
  <c r="G28" i="119"/>
  <c r="G30" i="119"/>
  <c r="I28" i="301"/>
  <c r="J17" i="301"/>
  <c r="J18" i="301" s="1"/>
  <c r="K16" i="301"/>
  <c r="J21" i="301"/>
  <c r="J23" i="301"/>
  <c r="J30" i="301" s="1"/>
  <c r="G28" i="261"/>
  <c r="G28" i="241"/>
  <c r="G30" i="241"/>
  <c r="H30" i="300"/>
  <c r="H28" i="300"/>
  <c r="I17" i="300"/>
  <c r="I18" i="300" s="1"/>
  <c r="J16" i="300"/>
  <c r="I23" i="300"/>
  <c r="I30" i="300" s="1"/>
  <c r="I21" i="300"/>
  <c r="G30" i="285"/>
  <c r="H30" i="283"/>
  <c r="H28" i="283"/>
  <c r="G28" i="275"/>
  <c r="G30" i="275"/>
  <c r="G30" i="245"/>
  <c r="G30" i="286"/>
  <c r="G28" i="217"/>
  <c r="G30" i="217"/>
  <c r="G30" i="289"/>
  <c r="G28" i="298"/>
  <c r="G30" i="298"/>
  <c r="H30" i="276"/>
  <c r="H28" i="299"/>
  <c r="H30" i="299"/>
  <c r="I17" i="299"/>
  <c r="I18" i="299" s="1"/>
  <c r="J16" i="299"/>
  <c r="I23" i="299"/>
  <c r="I21" i="299"/>
  <c r="G28" i="161"/>
  <c r="G30" i="161"/>
  <c r="G28" i="153"/>
  <c r="G28" i="297"/>
  <c r="G30" i="123"/>
  <c r="G28" i="123"/>
  <c r="K17" i="267"/>
  <c r="K18" i="267" s="1"/>
  <c r="L16" i="267"/>
  <c r="C76" i="4" s="1"/>
  <c r="C76" i="76" s="1"/>
  <c r="H23" i="245"/>
  <c r="H21" i="245"/>
  <c r="H17" i="245"/>
  <c r="H18" i="245" s="1"/>
  <c r="I16" i="245"/>
  <c r="I17" i="276"/>
  <c r="I18" i="276" s="1"/>
  <c r="J16" i="276"/>
  <c r="I23" i="276"/>
  <c r="I21" i="276"/>
  <c r="H23" i="213"/>
  <c r="H30" i="213" s="1"/>
  <c r="H21" i="213"/>
  <c r="H17" i="213"/>
  <c r="H18" i="213" s="1"/>
  <c r="I16" i="213"/>
  <c r="H17" i="271"/>
  <c r="H18" i="271" s="1"/>
  <c r="I16" i="271"/>
  <c r="H23" i="272"/>
  <c r="H21" i="272"/>
  <c r="H28" i="272" s="1"/>
  <c r="H17" i="272"/>
  <c r="H18" i="272" s="1"/>
  <c r="I16" i="272"/>
  <c r="H17" i="290"/>
  <c r="H18" i="290" s="1"/>
  <c r="I16" i="290"/>
  <c r="H23" i="191"/>
  <c r="H21" i="191"/>
  <c r="H17" i="191"/>
  <c r="H18" i="191" s="1"/>
  <c r="I16" i="191"/>
  <c r="H23" i="275"/>
  <c r="H21" i="275"/>
  <c r="H17" i="275"/>
  <c r="H18" i="275" s="1"/>
  <c r="I16" i="275"/>
  <c r="H23" i="289"/>
  <c r="H21" i="289"/>
  <c r="H17" i="289"/>
  <c r="H18" i="289" s="1"/>
  <c r="I16" i="289"/>
  <c r="H17" i="217"/>
  <c r="H18" i="217" s="1"/>
  <c r="I16" i="217"/>
  <c r="H23" i="217"/>
  <c r="H21" i="217"/>
  <c r="H17" i="298"/>
  <c r="H18" i="298" s="1"/>
  <c r="I16" i="298"/>
  <c r="H23" i="298"/>
  <c r="H21" i="298"/>
  <c r="H28" i="298" s="1"/>
  <c r="H17" i="220"/>
  <c r="H18" i="220" s="1"/>
  <c r="I16" i="220"/>
  <c r="H17" i="291"/>
  <c r="H18" i="291" s="1"/>
  <c r="I16" i="291"/>
  <c r="I17" i="195"/>
  <c r="I18" i="195" s="1"/>
  <c r="J16" i="195"/>
  <c r="I23" i="195"/>
  <c r="I21" i="195"/>
  <c r="H17" i="261"/>
  <c r="H18" i="261" s="1"/>
  <c r="I16" i="261"/>
  <c r="H21" i="261"/>
  <c r="H23" i="261"/>
  <c r="H17" i="257"/>
  <c r="H18" i="257" s="1"/>
  <c r="I16" i="257"/>
  <c r="I17" i="242"/>
  <c r="I18" i="242" s="1"/>
  <c r="J16" i="242"/>
  <c r="I23" i="242"/>
  <c r="I21" i="242"/>
  <c r="H17" i="123"/>
  <c r="H18" i="123" s="1"/>
  <c r="I16" i="123"/>
  <c r="H21" i="123"/>
  <c r="H23" i="123"/>
  <c r="H17" i="188"/>
  <c r="H18" i="188" s="1"/>
  <c r="I16" i="188"/>
  <c r="H21" i="188"/>
  <c r="H23" i="188"/>
  <c r="I17" i="235"/>
  <c r="I18" i="235" s="1"/>
  <c r="J16" i="235"/>
  <c r="H17" i="246"/>
  <c r="H18" i="246" s="1"/>
  <c r="I16" i="246"/>
  <c r="H17" i="281"/>
  <c r="H18" i="281" s="1"/>
  <c r="I16" i="281"/>
  <c r="H17" i="295"/>
  <c r="H18" i="295" s="1"/>
  <c r="I16" i="295"/>
  <c r="H23" i="241"/>
  <c r="H21" i="241"/>
  <c r="H17" i="241"/>
  <c r="H18" i="241" s="1"/>
  <c r="I16" i="241"/>
  <c r="H17" i="297"/>
  <c r="H18" i="297" s="1"/>
  <c r="I16" i="297"/>
  <c r="H23" i="297"/>
  <c r="H21" i="297"/>
  <c r="H23" i="161"/>
  <c r="H21" i="161"/>
  <c r="H17" i="161"/>
  <c r="H18" i="161" s="1"/>
  <c r="I16" i="161"/>
  <c r="H17" i="202"/>
  <c r="H18" i="202" s="1"/>
  <c r="I16" i="202"/>
  <c r="H21" i="202"/>
  <c r="H23" i="202"/>
  <c r="J17" i="260"/>
  <c r="J18" i="260" s="1"/>
  <c r="K16" i="260"/>
  <c r="J28" i="260"/>
  <c r="H17" i="120"/>
  <c r="H18" i="120" s="1"/>
  <c r="I16" i="120"/>
  <c r="H21" i="120"/>
  <c r="H23" i="120"/>
  <c r="H17" i="160"/>
  <c r="H18" i="160" s="1"/>
  <c r="I16" i="160"/>
  <c r="H21" i="160"/>
  <c r="H23" i="160"/>
  <c r="H30" i="160" s="1"/>
  <c r="H28" i="279"/>
  <c r="H17" i="279"/>
  <c r="H18" i="279" s="1"/>
  <c r="I16" i="279"/>
  <c r="H23" i="119"/>
  <c r="H21" i="119"/>
  <c r="H17" i="119"/>
  <c r="H18" i="119" s="1"/>
  <c r="I16" i="119"/>
  <c r="H23" i="264"/>
  <c r="H21" i="264"/>
  <c r="H17" i="264"/>
  <c r="H18" i="264" s="1"/>
  <c r="I16" i="264"/>
  <c r="H17" i="294"/>
  <c r="H18" i="294" s="1"/>
  <c r="I16" i="294"/>
  <c r="H23" i="159"/>
  <c r="H21" i="159"/>
  <c r="H28" i="159" s="1"/>
  <c r="H17" i="159"/>
  <c r="H18" i="159" s="1"/>
  <c r="I16" i="159"/>
  <c r="H23" i="163"/>
  <c r="H21" i="163"/>
  <c r="H17" i="163"/>
  <c r="H18" i="163" s="1"/>
  <c r="I16" i="163"/>
  <c r="I17" i="283"/>
  <c r="I18" i="283" s="1"/>
  <c r="J16" i="283"/>
  <c r="I23" i="283"/>
  <c r="I30" i="283" s="1"/>
  <c r="I21" i="283"/>
  <c r="H23" i="259"/>
  <c r="H21" i="259"/>
  <c r="H28" i="259" s="1"/>
  <c r="H17" i="259"/>
  <c r="H18" i="259" s="1"/>
  <c r="I16" i="259"/>
  <c r="H23" i="118"/>
  <c r="H21" i="118"/>
  <c r="H17" i="118"/>
  <c r="H18" i="118" s="1"/>
  <c r="I16" i="118"/>
  <c r="H17" i="157"/>
  <c r="H18" i="157" s="1"/>
  <c r="I16" i="157"/>
  <c r="H17" i="296"/>
  <c r="H18" i="296" s="1"/>
  <c r="I16" i="296"/>
  <c r="H17" i="288"/>
  <c r="H18" i="288" s="1"/>
  <c r="I16" i="288"/>
  <c r="H17" i="284"/>
  <c r="H18" i="284" s="1"/>
  <c r="I16" i="284"/>
  <c r="I17" i="249"/>
  <c r="I18" i="249" s="1"/>
  <c r="J16" i="249"/>
  <c r="H17" i="287"/>
  <c r="H18" i="287" s="1"/>
  <c r="I16" i="287"/>
  <c r="H17" i="82"/>
  <c r="H18" i="82" s="1"/>
  <c r="I16" i="82"/>
  <c r="H17" i="285"/>
  <c r="H18" i="285" s="1"/>
  <c r="I16" i="285"/>
  <c r="H21" i="285"/>
  <c r="H23" i="285"/>
  <c r="H17" i="247"/>
  <c r="H18" i="247" s="1"/>
  <c r="I16" i="247"/>
  <c r="H17" i="153"/>
  <c r="H18" i="153" s="1"/>
  <c r="I16" i="153"/>
  <c r="H21" i="153"/>
  <c r="H23" i="153"/>
  <c r="H23" i="79"/>
  <c r="H21" i="79"/>
  <c r="H17" i="79"/>
  <c r="H18" i="79" s="1"/>
  <c r="I16" i="79"/>
  <c r="H17" i="269"/>
  <c r="H18" i="269" s="1"/>
  <c r="I16" i="269"/>
  <c r="H23" i="263"/>
  <c r="H21" i="263"/>
  <c r="H17" i="263"/>
  <c r="H18" i="263" s="1"/>
  <c r="I16" i="263"/>
  <c r="H17" i="58"/>
  <c r="H18" i="58" s="1"/>
  <c r="I16" i="58"/>
  <c r="H21" i="58"/>
  <c r="H23" i="58"/>
  <c r="H17" i="219"/>
  <c r="H18" i="219" s="1"/>
  <c r="I16" i="219"/>
  <c r="H17" i="286"/>
  <c r="H18" i="286" s="1"/>
  <c r="I16" i="286"/>
  <c r="H21" i="286"/>
  <c r="H23" i="286"/>
  <c r="H17" i="201"/>
  <c r="H18" i="201" s="1"/>
  <c r="I16" i="201"/>
  <c r="H17" i="176"/>
  <c r="H18" i="176" s="1"/>
  <c r="I16" i="176"/>
  <c r="H21" i="176"/>
  <c r="H23" i="176"/>
  <c r="AK63" i="72"/>
  <c r="J63" i="72" s="1"/>
  <c r="B63" i="72"/>
  <c r="A63" i="72"/>
  <c r="B63" i="76"/>
  <c r="A63" i="76"/>
  <c r="M63" i="4"/>
  <c r="K63" i="72" s="1"/>
  <c r="L63" i="72" s="1"/>
  <c r="J63" i="4"/>
  <c r="H63" i="4"/>
  <c r="D63" i="4"/>
  <c r="J16" i="208" l="1"/>
  <c r="I17" i="208"/>
  <c r="I18" i="208" s="1"/>
  <c r="K28" i="267"/>
  <c r="J30" i="208"/>
  <c r="K28" i="208"/>
  <c r="J28" i="208"/>
  <c r="J30" i="260"/>
  <c r="K30" i="260"/>
  <c r="I28" i="235"/>
  <c r="J28" i="235"/>
  <c r="I30" i="249"/>
  <c r="I28" i="249"/>
  <c r="O17" i="307"/>
  <c r="O18" i="307" s="1"/>
  <c r="P16" i="307"/>
  <c r="O23" i="307"/>
  <c r="O21" i="307"/>
  <c r="H30" i="290"/>
  <c r="H28" i="220"/>
  <c r="H30" i="220"/>
  <c r="H28" i="291"/>
  <c r="H30" i="291"/>
  <c r="H30" i="257"/>
  <c r="H28" i="257"/>
  <c r="H30" i="246"/>
  <c r="H28" i="246"/>
  <c r="H30" i="281"/>
  <c r="H28" i="281"/>
  <c r="H28" i="295"/>
  <c r="I28" i="295"/>
  <c r="H30" i="295"/>
  <c r="H30" i="120"/>
  <c r="H28" i="120"/>
  <c r="I30" i="294"/>
  <c r="H30" i="294"/>
  <c r="H28" i="157"/>
  <c r="H30" i="296"/>
  <c r="H28" i="296"/>
  <c r="H28" i="288"/>
  <c r="H30" i="284"/>
  <c r="H28" i="284"/>
  <c r="H30" i="287"/>
  <c r="H28" i="287"/>
  <c r="H28" i="82"/>
  <c r="H30" i="82"/>
  <c r="I28" i="247"/>
  <c r="H30" i="247"/>
  <c r="H28" i="247"/>
  <c r="I28" i="269"/>
  <c r="H28" i="269"/>
  <c r="H28" i="219"/>
  <c r="H30" i="219"/>
  <c r="H28" i="201"/>
  <c r="H30" i="201"/>
  <c r="H28" i="191"/>
  <c r="H30" i="191"/>
  <c r="H28" i="271"/>
  <c r="H30" i="271"/>
  <c r="H30" i="279"/>
  <c r="H30" i="58"/>
  <c r="H28" i="58"/>
  <c r="H30" i="272"/>
  <c r="J30" i="306"/>
  <c r="J28" i="306"/>
  <c r="K17" i="306"/>
  <c r="K18" i="306" s="1"/>
  <c r="L16" i="306"/>
  <c r="C46" i="4" s="1"/>
  <c r="C46" i="76" s="1"/>
  <c r="K23" i="306"/>
  <c r="K21" i="306"/>
  <c r="H28" i="263"/>
  <c r="H30" i="263"/>
  <c r="J16" i="293"/>
  <c r="I17" i="293"/>
  <c r="I18" i="293" s="1"/>
  <c r="I30" i="293"/>
  <c r="I28" i="293"/>
  <c r="I28" i="195"/>
  <c r="I30" i="195"/>
  <c r="J28" i="305"/>
  <c r="J30" i="305"/>
  <c r="K17" i="305"/>
  <c r="K18" i="305" s="1"/>
  <c r="L16" i="305"/>
  <c r="C33" i="4" s="1"/>
  <c r="C33" i="76" s="1"/>
  <c r="K23" i="305"/>
  <c r="K21" i="305"/>
  <c r="K28" i="305" s="1"/>
  <c r="H28" i="160"/>
  <c r="H28" i="176"/>
  <c r="H30" i="176"/>
  <c r="H28" i="79"/>
  <c r="H30" i="79"/>
  <c r="J28" i="304"/>
  <c r="J30" i="304"/>
  <c r="K17" i="304"/>
  <c r="K18" i="304" s="1"/>
  <c r="L16" i="304"/>
  <c r="C20" i="4" s="1"/>
  <c r="C20" i="76" s="1"/>
  <c r="K23" i="304"/>
  <c r="K30" i="304" s="1"/>
  <c r="K21" i="304"/>
  <c r="J28" i="303"/>
  <c r="J30" i="303"/>
  <c r="K17" i="303"/>
  <c r="K18" i="303" s="1"/>
  <c r="L16" i="303"/>
  <c r="C77" i="4" s="1"/>
  <c r="K23" i="303"/>
  <c r="K30" i="303" s="1"/>
  <c r="K21" i="303"/>
  <c r="H28" i="213"/>
  <c r="I30" i="242"/>
  <c r="I28" i="242"/>
  <c r="H30" i="159"/>
  <c r="H28" i="202"/>
  <c r="H30" i="202"/>
  <c r="H28" i="264"/>
  <c r="H30" i="264"/>
  <c r="H28" i="188"/>
  <c r="H30" i="188"/>
  <c r="H30" i="259"/>
  <c r="I28" i="302"/>
  <c r="J17" i="302"/>
  <c r="J18" i="302" s="1"/>
  <c r="K16" i="302"/>
  <c r="J23" i="302"/>
  <c r="J30" i="302" s="1"/>
  <c r="J21" i="302"/>
  <c r="H30" i="163"/>
  <c r="H28" i="163"/>
  <c r="H30" i="118"/>
  <c r="H28" i="118"/>
  <c r="H30" i="119"/>
  <c r="H28" i="119"/>
  <c r="J28" i="301"/>
  <c r="K17" i="301"/>
  <c r="K18" i="301" s="1"/>
  <c r="L16" i="301"/>
  <c r="C24" i="4" s="1"/>
  <c r="C24" i="76" s="1"/>
  <c r="K23" i="301"/>
  <c r="K21" i="301"/>
  <c r="K28" i="301" s="1"/>
  <c r="H28" i="261"/>
  <c r="H30" i="261"/>
  <c r="H28" i="241"/>
  <c r="H30" i="241"/>
  <c r="I28" i="300"/>
  <c r="J17" i="300"/>
  <c r="J18" i="300" s="1"/>
  <c r="K16" i="300"/>
  <c r="J23" i="300"/>
  <c r="J21" i="300"/>
  <c r="H28" i="285"/>
  <c r="H30" i="285"/>
  <c r="I28" i="283"/>
  <c r="H28" i="275"/>
  <c r="H30" i="275"/>
  <c r="H28" i="245"/>
  <c r="H30" i="245"/>
  <c r="H28" i="286"/>
  <c r="H30" i="286"/>
  <c r="H30" i="217"/>
  <c r="H28" i="217"/>
  <c r="H28" i="289"/>
  <c r="H30" i="289"/>
  <c r="H30" i="298"/>
  <c r="I30" i="276"/>
  <c r="I28" i="276"/>
  <c r="I28" i="299"/>
  <c r="I30" i="299"/>
  <c r="J17" i="299"/>
  <c r="J18" i="299" s="1"/>
  <c r="K16" i="299"/>
  <c r="J23" i="299"/>
  <c r="J21" i="299"/>
  <c r="J28" i="299" s="1"/>
  <c r="H28" i="161"/>
  <c r="H30" i="161"/>
  <c r="H30" i="153"/>
  <c r="H28" i="153"/>
  <c r="H30" i="297"/>
  <c r="H28" i="297"/>
  <c r="H30" i="123"/>
  <c r="H28" i="123"/>
  <c r="L17" i="267"/>
  <c r="M16" i="267"/>
  <c r="L21" i="267"/>
  <c r="I76" i="4" s="1"/>
  <c r="L23" i="267"/>
  <c r="K76" i="4" s="1"/>
  <c r="I17" i="245"/>
  <c r="I18" i="245" s="1"/>
  <c r="J16" i="245"/>
  <c r="I23" i="245"/>
  <c r="I21" i="245"/>
  <c r="I28" i="245" s="1"/>
  <c r="J17" i="276"/>
  <c r="J18" i="276" s="1"/>
  <c r="K16" i="276"/>
  <c r="J23" i="276"/>
  <c r="J21" i="276"/>
  <c r="J28" i="276" s="1"/>
  <c r="I17" i="213"/>
  <c r="I18" i="213" s="1"/>
  <c r="J16" i="213"/>
  <c r="I23" i="213"/>
  <c r="I21" i="213"/>
  <c r="I28" i="213" s="1"/>
  <c r="I17" i="271"/>
  <c r="I18" i="271" s="1"/>
  <c r="J16" i="271"/>
  <c r="I17" i="272"/>
  <c r="I18" i="272" s="1"/>
  <c r="J16" i="272"/>
  <c r="I23" i="272"/>
  <c r="I30" i="272" s="1"/>
  <c r="I21" i="272"/>
  <c r="I17" i="290"/>
  <c r="I18" i="290" s="1"/>
  <c r="J16" i="290"/>
  <c r="I30" i="290"/>
  <c r="I17" i="191"/>
  <c r="I18" i="191" s="1"/>
  <c r="J16" i="191"/>
  <c r="I23" i="191"/>
  <c r="I21" i="191"/>
  <c r="I28" i="191" s="1"/>
  <c r="I17" i="275"/>
  <c r="I18" i="275" s="1"/>
  <c r="J16" i="275"/>
  <c r="I23" i="275"/>
  <c r="I21" i="275"/>
  <c r="I17" i="289"/>
  <c r="I18" i="289" s="1"/>
  <c r="J16" i="289"/>
  <c r="I23" i="289"/>
  <c r="I21" i="289"/>
  <c r="I28" i="289" s="1"/>
  <c r="I17" i="217"/>
  <c r="I18" i="217" s="1"/>
  <c r="J16" i="217"/>
  <c r="I23" i="217"/>
  <c r="I21" i="217"/>
  <c r="L63" i="76"/>
  <c r="I17" i="298"/>
  <c r="I18" i="298" s="1"/>
  <c r="J16" i="298"/>
  <c r="I23" i="298"/>
  <c r="I21" i="298"/>
  <c r="I17" i="220"/>
  <c r="I18" i="220" s="1"/>
  <c r="J16" i="220"/>
  <c r="I28" i="220"/>
  <c r="I17" i="291"/>
  <c r="I18" i="291" s="1"/>
  <c r="J16" i="291"/>
  <c r="J17" i="195"/>
  <c r="J18" i="195" s="1"/>
  <c r="K16" i="195"/>
  <c r="J23" i="195"/>
  <c r="J21" i="195"/>
  <c r="I17" i="261"/>
  <c r="I18" i="261" s="1"/>
  <c r="J16" i="261"/>
  <c r="I23" i="261"/>
  <c r="I21" i="261"/>
  <c r="I17" i="257"/>
  <c r="I18" i="257" s="1"/>
  <c r="J16" i="257"/>
  <c r="J17" i="242"/>
  <c r="J18" i="242" s="1"/>
  <c r="K16" i="242"/>
  <c r="J23" i="242"/>
  <c r="J21" i="242"/>
  <c r="J28" i="242" s="1"/>
  <c r="I17" i="123"/>
  <c r="I18" i="123" s="1"/>
  <c r="J16" i="123"/>
  <c r="I23" i="123"/>
  <c r="I21" i="123"/>
  <c r="I17" i="188"/>
  <c r="I18" i="188" s="1"/>
  <c r="J16" i="188"/>
  <c r="I23" i="188"/>
  <c r="I21" i="188"/>
  <c r="I28" i="188" s="1"/>
  <c r="J17" i="235"/>
  <c r="J18" i="235" s="1"/>
  <c r="K16" i="235"/>
  <c r="I17" i="246"/>
  <c r="I18" i="246" s="1"/>
  <c r="J16" i="246"/>
  <c r="I28" i="246"/>
  <c r="I17" i="281"/>
  <c r="I18" i="281" s="1"/>
  <c r="J16" i="281"/>
  <c r="I17" i="295"/>
  <c r="I18" i="295" s="1"/>
  <c r="J16" i="295"/>
  <c r="I17" i="241"/>
  <c r="I18" i="241" s="1"/>
  <c r="J16" i="241"/>
  <c r="I23" i="241"/>
  <c r="I21" i="241"/>
  <c r="I17" i="297"/>
  <c r="I18" i="297" s="1"/>
  <c r="J16" i="297"/>
  <c r="I23" i="297"/>
  <c r="I21" i="297"/>
  <c r="I17" i="161"/>
  <c r="I18" i="161" s="1"/>
  <c r="J16" i="161"/>
  <c r="I23" i="161"/>
  <c r="I21" i="161"/>
  <c r="I17" i="202"/>
  <c r="I18" i="202" s="1"/>
  <c r="J16" i="202"/>
  <c r="I23" i="202"/>
  <c r="I21" i="202"/>
  <c r="K17" i="260"/>
  <c r="K18" i="260" s="1"/>
  <c r="L16" i="260"/>
  <c r="I17" i="120"/>
  <c r="I18" i="120" s="1"/>
  <c r="J16" i="120"/>
  <c r="I23" i="120"/>
  <c r="I21" i="120"/>
  <c r="I28" i="120" s="1"/>
  <c r="I17" i="160"/>
  <c r="I18" i="160" s="1"/>
  <c r="J16" i="160"/>
  <c r="I23" i="160"/>
  <c r="I30" i="160" s="1"/>
  <c r="I21" i="160"/>
  <c r="I17" i="279"/>
  <c r="I18" i="279" s="1"/>
  <c r="J16" i="279"/>
  <c r="I17" i="119"/>
  <c r="I18" i="119" s="1"/>
  <c r="J16" i="119"/>
  <c r="I23" i="119"/>
  <c r="I30" i="119" s="1"/>
  <c r="I21" i="119"/>
  <c r="I28" i="119" s="1"/>
  <c r="I17" i="264"/>
  <c r="I18" i="264" s="1"/>
  <c r="J16" i="264"/>
  <c r="I23" i="264"/>
  <c r="I21" i="264"/>
  <c r="I17" i="294"/>
  <c r="I18" i="294" s="1"/>
  <c r="J16" i="294"/>
  <c r="I17" i="159"/>
  <c r="I18" i="159" s="1"/>
  <c r="J16" i="159"/>
  <c r="I23" i="159"/>
  <c r="I21" i="159"/>
  <c r="I17" i="163"/>
  <c r="I18" i="163" s="1"/>
  <c r="J16" i="163"/>
  <c r="I23" i="163"/>
  <c r="I30" i="163" s="1"/>
  <c r="I21" i="163"/>
  <c r="I28" i="163" s="1"/>
  <c r="J17" i="283"/>
  <c r="J18" i="283" s="1"/>
  <c r="K16" i="283"/>
  <c r="J23" i="283"/>
  <c r="J30" i="283" s="1"/>
  <c r="J21" i="283"/>
  <c r="I17" i="259"/>
  <c r="I18" i="259" s="1"/>
  <c r="J16" i="259"/>
  <c r="I23" i="259"/>
  <c r="I21" i="259"/>
  <c r="I17" i="118"/>
  <c r="I18" i="118" s="1"/>
  <c r="J16" i="118"/>
  <c r="I23" i="118"/>
  <c r="I30" i="118" s="1"/>
  <c r="I21" i="118"/>
  <c r="I28" i="118" s="1"/>
  <c r="I17" i="157"/>
  <c r="I18" i="157" s="1"/>
  <c r="J16" i="157"/>
  <c r="I17" i="296"/>
  <c r="I18" i="296" s="1"/>
  <c r="J16" i="296"/>
  <c r="I17" i="288"/>
  <c r="I18" i="288" s="1"/>
  <c r="J16" i="288"/>
  <c r="I28" i="288"/>
  <c r="I17" i="284"/>
  <c r="I18" i="284" s="1"/>
  <c r="J16" i="284"/>
  <c r="I28" i="284"/>
  <c r="J17" i="249"/>
  <c r="J18" i="249" s="1"/>
  <c r="K16" i="249"/>
  <c r="I17" i="287"/>
  <c r="I18" i="287" s="1"/>
  <c r="J16" i="287"/>
  <c r="I17" i="82"/>
  <c r="I18" i="82" s="1"/>
  <c r="J16" i="82"/>
  <c r="I17" i="285"/>
  <c r="I18" i="285" s="1"/>
  <c r="J16" i="285"/>
  <c r="I23" i="285"/>
  <c r="I21" i="285"/>
  <c r="I17" i="247"/>
  <c r="I18" i="247" s="1"/>
  <c r="J16" i="247"/>
  <c r="I17" i="153"/>
  <c r="I18" i="153" s="1"/>
  <c r="J16" i="153"/>
  <c r="I23" i="153"/>
  <c r="I21" i="153"/>
  <c r="I28" i="153" s="1"/>
  <c r="I17" i="79"/>
  <c r="I18" i="79" s="1"/>
  <c r="J16" i="79"/>
  <c r="I23" i="79"/>
  <c r="I21" i="79"/>
  <c r="I17" i="269"/>
  <c r="I18" i="269" s="1"/>
  <c r="J16" i="269"/>
  <c r="I17" i="263"/>
  <c r="I18" i="263" s="1"/>
  <c r="J16" i="263"/>
  <c r="I23" i="263"/>
  <c r="I21" i="263"/>
  <c r="I17" i="58"/>
  <c r="I18" i="58" s="1"/>
  <c r="J16" i="58"/>
  <c r="I23" i="58"/>
  <c r="I21" i="58"/>
  <c r="I17" i="219"/>
  <c r="I18" i="219" s="1"/>
  <c r="J16" i="219"/>
  <c r="I17" i="286"/>
  <c r="I18" i="286" s="1"/>
  <c r="J16" i="286"/>
  <c r="I23" i="286"/>
  <c r="I21" i="286"/>
  <c r="I17" i="201"/>
  <c r="I18" i="201" s="1"/>
  <c r="J16" i="201"/>
  <c r="I17" i="176"/>
  <c r="I18" i="176" s="1"/>
  <c r="J16" i="176"/>
  <c r="I23" i="176"/>
  <c r="I21" i="176"/>
  <c r="I28" i="176" s="1"/>
  <c r="D63" i="76"/>
  <c r="M63" i="72"/>
  <c r="L18" i="267" l="1"/>
  <c r="G76" i="4" s="1"/>
  <c r="F76" i="4" s="1"/>
  <c r="E76" i="4"/>
  <c r="E76" i="76" s="1"/>
  <c r="J17" i="208"/>
  <c r="J18" i="208" s="1"/>
  <c r="K16" i="208"/>
  <c r="L28" i="267"/>
  <c r="L30" i="267"/>
  <c r="K30" i="208"/>
  <c r="K28" i="260"/>
  <c r="J30" i="235"/>
  <c r="K30" i="235"/>
  <c r="J30" i="249"/>
  <c r="K30" i="249"/>
  <c r="J28" i="249"/>
  <c r="I30" i="220"/>
  <c r="I28" i="291"/>
  <c r="I30" i="291"/>
  <c r="I30" i="257"/>
  <c r="I28" i="257"/>
  <c r="I30" i="246"/>
  <c r="I28" i="281"/>
  <c r="I30" i="281"/>
  <c r="J30" i="281"/>
  <c r="I30" i="295"/>
  <c r="I28" i="294"/>
  <c r="J30" i="294"/>
  <c r="I30" i="157"/>
  <c r="I28" i="157"/>
  <c r="I28" i="296"/>
  <c r="I30" i="296"/>
  <c r="I30" i="288"/>
  <c r="I30" i="284"/>
  <c r="I28" i="287"/>
  <c r="I30" i="287"/>
  <c r="I30" i="82"/>
  <c r="I28" i="82"/>
  <c r="I30" i="247"/>
  <c r="I30" i="269"/>
  <c r="J28" i="269"/>
  <c r="I28" i="219"/>
  <c r="J30" i="219"/>
  <c r="I30" i="219"/>
  <c r="I28" i="290"/>
  <c r="I30" i="120"/>
  <c r="P17" i="307"/>
  <c r="P18" i="307" s="1"/>
  <c r="Q16" i="307"/>
  <c r="P21" i="307"/>
  <c r="P23" i="307"/>
  <c r="I28" i="201"/>
  <c r="I30" i="201"/>
  <c r="I30" i="191"/>
  <c r="I30" i="271"/>
  <c r="I28" i="271"/>
  <c r="I30" i="279"/>
  <c r="I28" i="279"/>
  <c r="I28" i="58"/>
  <c r="I30" i="58"/>
  <c r="I28" i="272"/>
  <c r="K28" i="306"/>
  <c r="K30" i="306"/>
  <c r="L17" i="306"/>
  <c r="M16" i="306"/>
  <c r="L21" i="306"/>
  <c r="L23" i="306"/>
  <c r="I30" i="263"/>
  <c r="I28" i="263"/>
  <c r="J28" i="293"/>
  <c r="J30" i="293"/>
  <c r="K16" i="293"/>
  <c r="J17" i="293"/>
  <c r="J18" i="293" s="1"/>
  <c r="J30" i="195"/>
  <c r="J28" i="195"/>
  <c r="K30" i="305"/>
  <c r="L17" i="305"/>
  <c r="M16" i="305"/>
  <c r="L21" i="305"/>
  <c r="L23" i="305"/>
  <c r="I28" i="160"/>
  <c r="I30" i="176"/>
  <c r="I30" i="79"/>
  <c r="I28" i="79"/>
  <c r="K28" i="304"/>
  <c r="L17" i="304"/>
  <c r="M16" i="304"/>
  <c r="L21" i="304"/>
  <c r="L23" i="304"/>
  <c r="K20" i="4" s="1"/>
  <c r="K28" i="303"/>
  <c r="L21" i="303"/>
  <c r="L23" i="303"/>
  <c r="K77" i="4" s="1"/>
  <c r="L17" i="303"/>
  <c r="M16" i="303"/>
  <c r="I30" i="213"/>
  <c r="J30" i="242"/>
  <c r="I28" i="159"/>
  <c r="I30" i="159"/>
  <c r="I30" i="202"/>
  <c r="I28" i="202"/>
  <c r="I28" i="264"/>
  <c r="I30" i="264"/>
  <c r="I30" i="188"/>
  <c r="I28" i="259"/>
  <c r="I30" i="259"/>
  <c r="J28" i="302"/>
  <c r="K17" i="302"/>
  <c r="K18" i="302" s="1"/>
  <c r="L16" i="302"/>
  <c r="C64" i="4" s="1"/>
  <c r="C64" i="76" s="1"/>
  <c r="K23" i="302"/>
  <c r="K21" i="302"/>
  <c r="K28" i="302" s="1"/>
  <c r="K30" i="301"/>
  <c r="L17" i="301"/>
  <c r="M16" i="301"/>
  <c r="L23" i="301"/>
  <c r="L21" i="301"/>
  <c r="I28" i="261"/>
  <c r="I30" i="261"/>
  <c r="I28" i="241"/>
  <c r="I30" i="241"/>
  <c r="J30" i="300"/>
  <c r="J28" i="300"/>
  <c r="K17" i="300"/>
  <c r="K18" i="300" s="1"/>
  <c r="L16" i="300"/>
  <c r="C51" i="4" s="1"/>
  <c r="C51" i="76" s="1"/>
  <c r="K23" i="300"/>
  <c r="K21" i="300"/>
  <c r="K28" i="300" s="1"/>
  <c r="I28" i="285"/>
  <c r="I30" i="285"/>
  <c r="J28" i="283"/>
  <c r="I30" i="275"/>
  <c r="I28" i="275"/>
  <c r="I30" i="245"/>
  <c r="I28" i="286"/>
  <c r="I30" i="286"/>
  <c r="I28" i="217"/>
  <c r="I30" i="217"/>
  <c r="I30" i="289"/>
  <c r="I28" i="298"/>
  <c r="I30" i="298"/>
  <c r="J30" i="276"/>
  <c r="J30" i="299"/>
  <c r="K17" i="299"/>
  <c r="K18" i="299" s="1"/>
  <c r="L16" i="299"/>
  <c r="C35" i="4" s="1"/>
  <c r="C35" i="76" s="1"/>
  <c r="K23" i="299"/>
  <c r="K21" i="299"/>
  <c r="K28" i="299" s="1"/>
  <c r="I28" i="161"/>
  <c r="I30" i="161"/>
  <c r="I30" i="153"/>
  <c r="I30" i="297"/>
  <c r="I28" i="297"/>
  <c r="I30" i="123"/>
  <c r="I28" i="123"/>
  <c r="M17" i="267"/>
  <c r="M18" i="267" s="1"/>
  <c r="N16" i="267"/>
  <c r="M23" i="267"/>
  <c r="M21" i="267"/>
  <c r="M28" i="267" s="1"/>
  <c r="J21" i="245"/>
  <c r="J23" i="245"/>
  <c r="J30" i="245" s="1"/>
  <c r="J17" i="245"/>
  <c r="J18" i="245" s="1"/>
  <c r="K16" i="245"/>
  <c r="K17" i="276"/>
  <c r="K18" i="276" s="1"/>
  <c r="L16" i="276"/>
  <c r="K23" i="276"/>
  <c r="K21" i="276"/>
  <c r="J21" i="213"/>
  <c r="J23" i="213"/>
  <c r="J17" i="213"/>
  <c r="J18" i="213" s="1"/>
  <c r="K16" i="213"/>
  <c r="J17" i="271"/>
  <c r="J18" i="271" s="1"/>
  <c r="K16" i="271"/>
  <c r="J21" i="272"/>
  <c r="J23" i="272"/>
  <c r="J17" i="272"/>
  <c r="J18" i="272" s="1"/>
  <c r="K16" i="272"/>
  <c r="J17" i="290"/>
  <c r="J18" i="290" s="1"/>
  <c r="K16" i="290"/>
  <c r="J21" i="290"/>
  <c r="J23" i="290"/>
  <c r="J21" i="191"/>
  <c r="J23" i="191"/>
  <c r="J17" i="191"/>
  <c r="J18" i="191" s="1"/>
  <c r="K16" i="191"/>
  <c r="J21" i="275"/>
  <c r="J23" i="275"/>
  <c r="J17" i="275"/>
  <c r="J18" i="275" s="1"/>
  <c r="K16" i="275"/>
  <c r="J21" i="289"/>
  <c r="J23" i="289"/>
  <c r="J17" i="289"/>
  <c r="J18" i="289" s="1"/>
  <c r="K16" i="289"/>
  <c r="J17" i="217"/>
  <c r="J18" i="217" s="1"/>
  <c r="K16" i="217"/>
  <c r="J21" i="217"/>
  <c r="J23" i="217"/>
  <c r="J17" i="298"/>
  <c r="J18" i="298" s="1"/>
  <c r="K16" i="298"/>
  <c r="J21" i="298"/>
  <c r="J23" i="298"/>
  <c r="J17" i="220"/>
  <c r="J18" i="220" s="1"/>
  <c r="K16" i="220"/>
  <c r="J17" i="291"/>
  <c r="J18" i="291" s="1"/>
  <c r="K16" i="291"/>
  <c r="K17" i="195"/>
  <c r="K18" i="195" s="1"/>
  <c r="L16" i="195"/>
  <c r="K23" i="195"/>
  <c r="K30" i="195" s="1"/>
  <c r="K21" i="195"/>
  <c r="J17" i="261"/>
  <c r="J18" i="261" s="1"/>
  <c r="K16" i="261"/>
  <c r="J23" i="261"/>
  <c r="J21" i="261"/>
  <c r="J28" i="261" s="1"/>
  <c r="J17" i="257"/>
  <c r="J18" i="257" s="1"/>
  <c r="K16" i="257"/>
  <c r="K17" i="242"/>
  <c r="K18" i="242" s="1"/>
  <c r="L16" i="242"/>
  <c r="K23" i="242"/>
  <c r="K21" i="242"/>
  <c r="J17" i="123"/>
  <c r="J18" i="123" s="1"/>
  <c r="K16" i="123"/>
  <c r="J23" i="123"/>
  <c r="J30" i="123" s="1"/>
  <c r="J21" i="123"/>
  <c r="J17" i="188"/>
  <c r="J18" i="188" s="1"/>
  <c r="K16" i="188"/>
  <c r="J23" i="188"/>
  <c r="J21" i="188"/>
  <c r="J28" i="188" s="1"/>
  <c r="K17" i="235"/>
  <c r="K18" i="235" s="1"/>
  <c r="L16" i="235"/>
  <c r="J17" i="246"/>
  <c r="J18" i="246" s="1"/>
  <c r="K16" i="246"/>
  <c r="J17" i="281"/>
  <c r="J18" i="281" s="1"/>
  <c r="K16" i="281"/>
  <c r="J17" i="295"/>
  <c r="J18" i="295" s="1"/>
  <c r="K16" i="295"/>
  <c r="J21" i="241"/>
  <c r="J23" i="241"/>
  <c r="J17" i="241"/>
  <c r="J18" i="241" s="1"/>
  <c r="K16" i="241"/>
  <c r="J17" i="297"/>
  <c r="J18" i="297" s="1"/>
  <c r="K16" i="297"/>
  <c r="J23" i="297"/>
  <c r="J21" i="297"/>
  <c r="J21" i="161"/>
  <c r="J23" i="161"/>
  <c r="J17" i="161"/>
  <c r="J18" i="161" s="1"/>
  <c r="K16" i="161"/>
  <c r="J17" i="202"/>
  <c r="J18" i="202" s="1"/>
  <c r="K16" i="202"/>
  <c r="J23" i="202"/>
  <c r="J21" i="202"/>
  <c r="L17" i="260"/>
  <c r="L18" i="260" s="1"/>
  <c r="M16" i="260"/>
  <c r="J17" i="120"/>
  <c r="J18" i="120" s="1"/>
  <c r="K16" i="120"/>
  <c r="J23" i="120"/>
  <c r="J30" i="120" s="1"/>
  <c r="J21" i="120"/>
  <c r="J17" i="160"/>
  <c r="J18" i="160" s="1"/>
  <c r="K16" i="160"/>
  <c r="J23" i="160"/>
  <c r="J30" i="160" s="1"/>
  <c r="J21" i="160"/>
  <c r="J30" i="279"/>
  <c r="J17" i="279"/>
  <c r="J18" i="279" s="1"/>
  <c r="K16" i="279"/>
  <c r="J21" i="119"/>
  <c r="J23" i="119"/>
  <c r="J17" i="119"/>
  <c r="J18" i="119" s="1"/>
  <c r="K16" i="119"/>
  <c r="J21" i="264"/>
  <c r="J23" i="264"/>
  <c r="J17" i="264"/>
  <c r="J18" i="264" s="1"/>
  <c r="K16" i="264"/>
  <c r="J17" i="294"/>
  <c r="J18" i="294" s="1"/>
  <c r="K16" i="294"/>
  <c r="J21" i="159"/>
  <c r="J23" i="159"/>
  <c r="J30" i="159" s="1"/>
  <c r="J17" i="159"/>
  <c r="J18" i="159" s="1"/>
  <c r="K16" i="159"/>
  <c r="J21" i="163"/>
  <c r="J23" i="163"/>
  <c r="J17" i="163"/>
  <c r="J18" i="163" s="1"/>
  <c r="K16" i="163"/>
  <c r="K17" i="283"/>
  <c r="K18" i="283" s="1"/>
  <c r="L16" i="283"/>
  <c r="K23" i="283"/>
  <c r="K30" i="283" s="1"/>
  <c r="K21" i="283"/>
  <c r="J21" i="259"/>
  <c r="J23" i="259"/>
  <c r="J30" i="259" s="1"/>
  <c r="J17" i="259"/>
  <c r="J18" i="259" s="1"/>
  <c r="K16" i="259"/>
  <c r="J21" i="118"/>
  <c r="J23" i="118"/>
  <c r="J17" i="118"/>
  <c r="J18" i="118" s="1"/>
  <c r="K16" i="118"/>
  <c r="J30" i="157"/>
  <c r="J17" i="157"/>
  <c r="J18" i="157" s="1"/>
  <c r="K16" i="157"/>
  <c r="J17" i="296"/>
  <c r="J18" i="296" s="1"/>
  <c r="K16" i="296"/>
  <c r="J17" i="288"/>
  <c r="J18" i="288" s="1"/>
  <c r="K16" i="288"/>
  <c r="J17" i="284"/>
  <c r="J18" i="284" s="1"/>
  <c r="K16" i="284"/>
  <c r="K17" i="249"/>
  <c r="K18" i="249" s="1"/>
  <c r="L16" i="249"/>
  <c r="J17" i="287"/>
  <c r="J18" i="287" s="1"/>
  <c r="K16" i="287"/>
  <c r="J17" i="82"/>
  <c r="J18" i="82" s="1"/>
  <c r="K16" i="82"/>
  <c r="J17" i="285"/>
  <c r="J18" i="285" s="1"/>
  <c r="K16" i="285"/>
  <c r="J23" i="285"/>
  <c r="J21" i="285"/>
  <c r="J30" i="247"/>
  <c r="J17" i="247"/>
  <c r="J18" i="247" s="1"/>
  <c r="K16" i="247"/>
  <c r="J17" i="153"/>
  <c r="J18" i="153" s="1"/>
  <c r="K16" i="153"/>
  <c r="J23" i="153"/>
  <c r="J30" i="153" s="1"/>
  <c r="J21" i="153"/>
  <c r="J21" i="79"/>
  <c r="J23" i="79"/>
  <c r="J30" i="79" s="1"/>
  <c r="J17" i="79"/>
  <c r="J18" i="79" s="1"/>
  <c r="K16" i="79"/>
  <c r="J17" i="269"/>
  <c r="J18" i="269" s="1"/>
  <c r="K16" i="269"/>
  <c r="J21" i="263"/>
  <c r="J23" i="263"/>
  <c r="J17" i="263"/>
  <c r="J18" i="263" s="1"/>
  <c r="K16" i="263"/>
  <c r="J17" i="58"/>
  <c r="J18" i="58" s="1"/>
  <c r="K16" i="58"/>
  <c r="J23" i="58"/>
  <c r="J21" i="58"/>
  <c r="J28" i="58" s="1"/>
  <c r="J17" i="219"/>
  <c r="J18" i="219" s="1"/>
  <c r="K16" i="219"/>
  <c r="J17" i="286"/>
  <c r="J18" i="286" s="1"/>
  <c r="K16" i="286"/>
  <c r="J23" i="286"/>
  <c r="J21" i="286"/>
  <c r="J28" i="286" s="1"/>
  <c r="J17" i="201"/>
  <c r="J18" i="201" s="1"/>
  <c r="K16" i="201"/>
  <c r="J23" i="201"/>
  <c r="J21" i="201"/>
  <c r="J17" i="176"/>
  <c r="J18" i="176" s="1"/>
  <c r="K16" i="176"/>
  <c r="J23" i="176"/>
  <c r="J30" i="176" s="1"/>
  <c r="J21" i="176"/>
  <c r="B47" i="76"/>
  <c r="A47" i="76"/>
  <c r="M47" i="4"/>
  <c r="J47" i="4"/>
  <c r="H47" i="4"/>
  <c r="D47" i="4"/>
  <c r="L18" i="301" l="1"/>
  <c r="G24" i="4" s="1"/>
  <c r="F24" i="4" s="1"/>
  <c r="E24" i="4"/>
  <c r="E24" i="76" s="1"/>
  <c r="L28" i="304"/>
  <c r="I20" i="4"/>
  <c r="L30" i="305"/>
  <c r="K33" i="4"/>
  <c r="L16" i="208"/>
  <c r="K17" i="208"/>
  <c r="K18" i="208" s="1"/>
  <c r="L28" i="301"/>
  <c r="I24" i="4"/>
  <c r="L28" i="303"/>
  <c r="I77" i="4"/>
  <c r="L28" i="305"/>
  <c r="I33" i="4"/>
  <c r="L30" i="306"/>
  <c r="K46" i="4"/>
  <c r="L30" i="301"/>
  <c r="K24" i="4"/>
  <c r="L18" i="304"/>
  <c r="G20" i="4" s="1"/>
  <c r="F20" i="4" s="1"/>
  <c r="E20" i="4"/>
  <c r="E20" i="76" s="1"/>
  <c r="L28" i="306"/>
  <c r="I46" i="4"/>
  <c r="L18" i="306"/>
  <c r="G46" i="4" s="1"/>
  <c r="F46" i="4" s="1"/>
  <c r="E46" i="4"/>
  <c r="E46" i="76" s="1"/>
  <c r="L18" i="303"/>
  <c r="G77" i="4" s="1"/>
  <c r="E77" i="4"/>
  <c r="L18" i="305"/>
  <c r="G33" i="4" s="1"/>
  <c r="F33" i="4" s="1"/>
  <c r="E33" i="4"/>
  <c r="E33" i="76" s="1"/>
  <c r="M30" i="267"/>
  <c r="L30" i="208"/>
  <c r="L28" i="208"/>
  <c r="L30" i="260"/>
  <c r="L28" i="260"/>
  <c r="K28" i="235"/>
  <c r="L28" i="235"/>
  <c r="K28" i="249"/>
  <c r="K28" i="220"/>
  <c r="J30" i="220"/>
  <c r="J28" i="220"/>
  <c r="J30" i="291"/>
  <c r="J28" i="291"/>
  <c r="J28" i="257"/>
  <c r="J30" i="257"/>
  <c r="K28" i="246"/>
  <c r="J28" i="246"/>
  <c r="J30" i="246"/>
  <c r="J28" i="281"/>
  <c r="J30" i="295"/>
  <c r="J28" i="295"/>
  <c r="J28" i="294"/>
  <c r="J28" i="296"/>
  <c r="K30" i="296"/>
  <c r="J30" i="296"/>
  <c r="J28" i="288"/>
  <c r="J30" i="288"/>
  <c r="J28" i="284"/>
  <c r="J30" i="284"/>
  <c r="J30" i="287"/>
  <c r="J28" i="287"/>
  <c r="J30" i="82"/>
  <c r="J28" i="82"/>
  <c r="J28" i="247"/>
  <c r="K28" i="247"/>
  <c r="J30" i="269"/>
  <c r="J28" i="219"/>
  <c r="K28" i="219"/>
  <c r="J28" i="157"/>
  <c r="J30" i="290"/>
  <c r="J28" i="290"/>
  <c r="J28" i="120"/>
  <c r="Q17" i="307"/>
  <c r="Q18" i="307" s="1"/>
  <c r="R16" i="307"/>
  <c r="Q23" i="307"/>
  <c r="Q21" i="307"/>
  <c r="J30" i="201"/>
  <c r="J28" i="201"/>
  <c r="J30" i="191"/>
  <c r="J28" i="191"/>
  <c r="J28" i="271"/>
  <c r="J30" i="271"/>
  <c r="J28" i="279"/>
  <c r="J30" i="58"/>
  <c r="J28" i="272"/>
  <c r="J30" i="272"/>
  <c r="M17" i="306"/>
  <c r="M18" i="306" s="1"/>
  <c r="N16" i="306"/>
  <c r="M23" i="306"/>
  <c r="M21" i="306"/>
  <c r="M28" i="306" s="1"/>
  <c r="J30" i="263"/>
  <c r="J28" i="263"/>
  <c r="K28" i="293"/>
  <c r="K30" i="293"/>
  <c r="L16" i="293"/>
  <c r="K17" i="293"/>
  <c r="K18" i="293" s="1"/>
  <c r="K28" i="195"/>
  <c r="M17" i="305"/>
  <c r="M18" i="305" s="1"/>
  <c r="N16" i="305"/>
  <c r="M23" i="305"/>
  <c r="M21" i="305"/>
  <c r="M28" i="305" s="1"/>
  <c r="J28" i="160"/>
  <c r="J28" i="176"/>
  <c r="J28" i="79"/>
  <c r="L30" i="304"/>
  <c r="M17" i="304"/>
  <c r="M18" i="304" s="1"/>
  <c r="N16" i="304"/>
  <c r="M23" i="304"/>
  <c r="M30" i="304" s="1"/>
  <c r="M21" i="304"/>
  <c r="M28" i="304" s="1"/>
  <c r="L30" i="303"/>
  <c r="M17" i="303"/>
  <c r="M18" i="303" s="1"/>
  <c r="N16" i="303"/>
  <c r="M23" i="303"/>
  <c r="M30" i="303" s="1"/>
  <c r="M21" i="303"/>
  <c r="M28" i="303" s="1"/>
  <c r="J30" i="213"/>
  <c r="J28" i="213"/>
  <c r="K30" i="242"/>
  <c r="K28" i="242"/>
  <c r="J28" i="159"/>
  <c r="J28" i="202"/>
  <c r="J30" i="202"/>
  <c r="J30" i="264"/>
  <c r="J28" i="264"/>
  <c r="J30" i="188"/>
  <c r="J28" i="259"/>
  <c r="K30" i="302"/>
  <c r="L17" i="302"/>
  <c r="M16" i="302"/>
  <c r="L21" i="302"/>
  <c r="L23" i="302"/>
  <c r="K64" i="4" s="1"/>
  <c r="J30" i="163"/>
  <c r="J28" i="163"/>
  <c r="J30" i="118"/>
  <c r="J28" i="118"/>
  <c r="J30" i="119"/>
  <c r="J28" i="119"/>
  <c r="M17" i="301"/>
  <c r="M18" i="301" s="1"/>
  <c r="N16" i="301"/>
  <c r="M23" i="301"/>
  <c r="M30" i="301" s="1"/>
  <c r="M21" i="301"/>
  <c r="M28" i="301" s="1"/>
  <c r="J30" i="261"/>
  <c r="J28" i="241"/>
  <c r="J30" i="241"/>
  <c r="K30" i="300"/>
  <c r="L17" i="300"/>
  <c r="M16" i="300"/>
  <c r="L21" i="300"/>
  <c r="L23" i="300"/>
  <c r="K51" i="4" s="1"/>
  <c r="J30" i="285"/>
  <c r="J28" i="285"/>
  <c r="K28" i="283"/>
  <c r="J28" i="275"/>
  <c r="J30" i="275"/>
  <c r="J28" i="245"/>
  <c r="J30" i="286"/>
  <c r="J30" i="217"/>
  <c r="J28" i="217"/>
  <c r="J30" i="289"/>
  <c r="J28" i="289"/>
  <c r="J30" i="298"/>
  <c r="J28" i="298"/>
  <c r="K28" i="276"/>
  <c r="K30" i="276"/>
  <c r="K30" i="299"/>
  <c r="L17" i="299"/>
  <c r="M16" i="299"/>
  <c r="L21" i="299"/>
  <c r="L23" i="299"/>
  <c r="K35" i="4" s="1"/>
  <c r="J28" i="161"/>
  <c r="J30" i="161"/>
  <c r="J28" i="153"/>
  <c r="J28" i="297"/>
  <c r="J30" i="297"/>
  <c r="J28" i="123"/>
  <c r="N17" i="267"/>
  <c r="N18" i="267" s="1"/>
  <c r="O16" i="267"/>
  <c r="N23" i="267"/>
  <c r="N30" i="267" s="1"/>
  <c r="N21" i="267"/>
  <c r="K17" i="245"/>
  <c r="K18" i="245" s="1"/>
  <c r="L16" i="245"/>
  <c r="K23" i="245"/>
  <c r="K21" i="245"/>
  <c r="L17" i="276"/>
  <c r="L18" i="276" s="1"/>
  <c r="M16" i="276"/>
  <c r="L23" i="276"/>
  <c r="L30" i="276" s="1"/>
  <c r="L21" i="276"/>
  <c r="K17" i="213"/>
  <c r="K18" i="213" s="1"/>
  <c r="L16" i="213"/>
  <c r="K23" i="213"/>
  <c r="K30" i="213" s="1"/>
  <c r="K21" i="213"/>
  <c r="K17" i="271"/>
  <c r="K18" i="271" s="1"/>
  <c r="L16" i="271"/>
  <c r="K17" i="272"/>
  <c r="K18" i="272" s="1"/>
  <c r="L16" i="272"/>
  <c r="K23" i="272"/>
  <c r="K21" i="272"/>
  <c r="K17" i="290"/>
  <c r="K18" i="290" s="1"/>
  <c r="L16" i="290"/>
  <c r="K23" i="290"/>
  <c r="K21" i="290"/>
  <c r="K17" i="191"/>
  <c r="K18" i="191" s="1"/>
  <c r="L16" i="191"/>
  <c r="K23" i="191"/>
  <c r="K21" i="191"/>
  <c r="K28" i="191" s="1"/>
  <c r="K17" i="275"/>
  <c r="K18" i="275" s="1"/>
  <c r="L16" i="275"/>
  <c r="K23" i="275"/>
  <c r="K21" i="275"/>
  <c r="K28" i="275" s="1"/>
  <c r="K17" i="289"/>
  <c r="K18" i="289" s="1"/>
  <c r="L16" i="289"/>
  <c r="K23" i="289"/>
  <c r="K21" i="289"/>
  <c r="K17" i="217"/>
  <c r="K18" i="217" s="1"/>
  <c r="L16" i="217"/>
  <c r="K23" i="217"/>
  <c r="K30" i="217" s="1"/>
  <c r="K21" i="217"/>
  <c r="K28" i="217" s="1"/>
  <c r="K17" i="298"/>
  <c r="K18" i="298" s="1"/>
  <c r="L16" i="298"/>
  <c r="K23" i="298"/>
  <c r="K21" i="298"/>
  <c r="K17" i="220"/>
  <c r="K18" i="220" s="1"/>
  <c r="L16" i="220"/>
  <c r="K17" i="291"/>
  <c r="K18" i="291" s="1"/>
  <c r="L16" i="291"/>
  <c r="L17" i="195"/>
  <c r="L18" i="195" s="1"/>
  <c r="M16" i="195"/>
  <c r="L23" i="195"/>
  <c r="L30" i="195" s="1"/>
  <c r="L21" i="195"/>
  <c r="K17" i="261"/>
  <c r="K18" i="261" s="1"/>
  <c r="L16" i="261"/>
  <c r="K23" i="261"/>
  <c r="K21" i="261"/>
  <c r="K28" i="261" s="1"/>
  <c r="K17" i="257"/>
  <c r="K18" i="257" s="1"/>
  <c r="L16" i="257"/>
  <c r="K28" i="257"/>
  <c r="L17" i="242"/>
  <c r="L18" i="242" s="1"/>
  <c r="M16" i="242"/>
  <c r="L21" i="242"/>
  <c r="L28" i="242" s="1"/>
  <c r="L23" i="242"/>
  <c r="L30" i="242" s="1"/>
  <c r="K17" i="123"/>
  <c r="K18" i="123" s="1"/>
  <c r="L16" i="123"/>
  <c r="K23" i="123"/>
  <c r="K30" i="123" s="1"/>
  <c r="K21" i="123"/>
  <c r="K28" i="123" s="1"/>
  <c r="K17" i="188"/>
  <c r="K18" i="188" s="1"/>
  <c r="L16" i="188"/>
  <c r="K23" i="188"/>
  <c r="K30" i="188" s="1"/>
  <c r="K21" i="188"/>
  <c r="K28" i="188" s="1"/>
  <c r="L17" i="235"/>
  <c r="L18" i="235" s="1"/>
  <c r="M16" i="235"/>
  <c r="K17" i="246"/>
  <c r="K18" i="246" s="1"/>
  <c r="L16" i="246"/>
  <c r="M28" i="208"/>
  <c r="K17" i="281"/>
  <c r="K18" i="281" s="1"/>
  <c r="L16" i="281"/>
  <c r="K17" i="295"/>
  <c r="K18" i="295" s="1"/>
  <c r="L16" i="295"/>
  <c r="K17" i="241"/>
  <c r="K18" i="241" s="1"/>
  <c r="L16" i="241"/>
  <c r="K23" i="241"/>
  <c r="K30" i="241" s="1"/>
  <c r="K21" i="241"/>
  <c r="K28" i="241" s="1"/>
  <c r="K17" i="297"/>
  <c r="K18" i="297" s="1"/>
  <c r="L16" i="297"/>
  <c r="K23" i="297"/>
  <c r="K30" i="297" s="1"/>
  <c r="K21" i="297"/>
  <c r="K28" i="297" s="1"/>
  <c r="K17" i="161"/>
  <c r="K18" i="161" s="1"/>
  <c r="L16" i="161"/>
  <c r="K23" i="161"/>
  <c r="K30" i="161" s="1"/>
  <c r="K21" i="161"/>
  <c r="K28" i="161" s="1"/>
  <c r="K17" i="202"/>
  <c r="K18" i="202" s="1"/>
  <c r="L16" i="202"/>
  <c r="K23" i="202"/>
  <c r="K21" i="202"/>
  <c r="K28" i="202" s="1"/>
  <c r="M17" i="260"/>
  <c r="M18" i="260" s="1"/>
  <c r="N16" i="260"/>
  <c r="K17" i="120"/>
  <c r="K18" i="120" s="1"/>
  <c r="L16" i="120"/>
  <c r="K23" i="120"/>
  <c r="K21" i="120"/>
  <c r="K17" i="160"/>
  <c r="K18" i="160" s="1"/>
  <c r="L16" i="160"/>
  <c r="K23" i="160"/>
  <c r="K21" i="160"/>
  <c r="K17" i="279"/>
  <c r="K18" i="279" s="1"/>
  <c r="L16" i="279"/>
  <c r="K17" i="119"/>
  <c r="K18" i="119" s="1"/>
  <c r="L16" i="119"/>
  <c r="K23" i="119"/>
  <c r="K21" i="119"/>
  <c r="K17" i="264"/>
  <c r="K18" i="264" s="1"/>
  <c r="L16" i="264"/>
  <c r="K23" i="264"/>
  <c r="K21" i="264"/>
  <c r="K28" i="264" s="1"/>
  <c r="K17" i="294"/>
  <c r="K18" i="294" s="1"/>
  <c r="L16" i="294"/>
  <c r="K17" i="159"/>
  <c r="K18" i="159" s="1"/>
  <c r="L16" i="159"/>
  <c r="K23" i="159"/>
  <c r="K21" i="159"/>
  <c r="K28" i="159" s="1"/>
  <c r="K17" i="163"/>
  <c r="K18" i="163" s="1"/>
  <c r="L16" i="163"/>
  <c r="K23" i="163"/>
  <c r="K21" i="163"/>
  <c r="K28" i="163" s="1"/>
  <c r="L17" i="283"/>
  <c r="L18" i="283" s="1"/>
  <c r="M16" i="283"/>
  <c r="L23" i="283"/>
  <c r="L21" i="283"/>
  <c r="L28" i="283" s="1"/>
  <c r="K17" i="259"/>
  <c r="K18" i="259" s="1"/>
  <c r="L16" i="259"/>
  <c r="K23" i="259"/>
  <c r="K21" i="259"/>
  <c r="K17" i="118"/>
  <c r="K18" i="118" s="1"/>
  <c r="L16" i="118"/>
  <c r="K23" i="118"/>
  <c r="K21" i="118"/>
  <c r="K17" i="157"/>
  <c r="K18" i="157" s="1"/>
  <c r="L16" i="157"/>
  <c r="K23" i="157"/>
  <c r="K21" i="157"/>
  <c r="K17" i="296"/>
  <c r="K18" i="296" s="1"/>
  <c r="L16" i="296"/>
  <c r="K17" i="288"/>
  <c r="K18" i="288" s="1"/>
  <c r="L16" i="288"/>
  <c r="K17" i="284"/>
  <c r="K18" i="284" s="1"/>
  <c r="L16" i="284"/>
  <c r="L17" i="249"/>
  <c r="L18" i="249" s="1"/>
  <c r="M16" i="249"/>
  <c r="K17" i="287"/>
  <c r="K18" i="287" s="1"/>
  <c r="L16" i="287"/>
  <c r="K17" i="82"/>
  <c r="K18" i="82" s="1"/>
  <c r="L16" i="82"/>
  <c r="K17" i="285"/>
  <c r="K18" i="285" s="1"/>
  <c r="L16" i="285"/>
  <c r="K23" i="285"/>
  <c r="K21" i="285"/>
  <c r="K17" i="247"/>
  <c r="K18" i="247" s="1"/>
  <c r="L16" i="247"/>
  <c r="K17" i="153"/>
  <c r="K18" i="153" s="1"/>
  <c r="L16" i="153"/>
  <c r="K23" i="153"/>
  <c r="K30" i="153" s="1"/>
  <c r="K21" i="153"/>
  <c r="K17" i="79"/>
  <c r="K18" i="79" s="1"/>
  <c r="L16" i="79"/>
  <c r="K23" i="79"/>
  <c r="K30" i="79" s="1"/>
  <c r="K21" i="79"/>
  <c r="K17" i="269"/>
  <c r="K18" i="269" s="1"/>
  <c r="L16" i="269"/>
  <c r="K17" i="263"/>
  <c r="K18" i="263" s="1"/>
  <c r="L16" i="263"/>
  <c r="K23" i="263"/>
  <c r="K21" i="263"/>
  <c r="K17" i="58"/>
  <c r="K18" i="58" s="1"/>
  <c r="L16" i="58"/>
  <c r="K23" i="58"/>
  <c r="K21" i="58"/>
  <c r="K17" i="219"/>
  <c r="K18" i="219" s="1"/>
  <c r="L16" i="219"/>
  <c r="K17" i="286"/>
  <c r="K18" i="286" s="1"/>
  <c r="L16" i="286"/>
  <c r="K23" i="286"/>
  <c r="K30" i="286" s="1"/>
  <c r="K21" i="286"/>
  <c r="K17" i="201"/>
  <c r="K18" i="201" s="1"/>
  <c r="L16" i="201"/>
  <c r="K23" i="201"/>
  <c r="K21" i="201"/>
  <c r="K28" i="201" s="1"/>
  <c r="K17" i="176"/>
  <c r="K18" i="176" s="1"/>
  <c r="L16" i="176"/>
  <c r="K23" i="176"/>
  <c r="K21" i="176"/>
  <c r="L47" i="76"/>
  <c r="K47" i="72"/>
  <c r="D47" i="76"/>
  <c r="AK27" i="72"/>
  <c r="J27" i="72" s="1"/>
  <c r="B27" i="72"/>
  <c r="A27" i="72"/>
  <c r="B27" i="76"/>
  <c r="A27" i="76"/>
  <c r="M27" i="4"/>
  <c r="K27" i="72" s="1"/>
  <c r="L27" i="72" s="1"/>
  <c r="J27" i="4"/>
  <c r="H27" i="4"/>
  <c r="D27" i="4"/>
  <c r="D27" i="76" s="1"/>
  <c r="L18" i="299" l="1"/>
  <c r="G35" i="4" s="1"/>
  <c r="F35" i="4" s="1"/>
  <c r="E35" i="4"/>
  <c r="E35" i="76" s="1"/>
  <c r="L18" i="300"/>
  <c r="G51" i="4" s="1"/>
  <c r="F51" i="4" s="1"/>
  <c r="E51" i="4"/>
  <c r="E51" i="76" s="1"/>
  <c r="L28" i="302"/>
  <c r="I64" i="4"/>
  <c r="M16" i="208"/>
  <c r="L17" i="208"/>
  <c r="L18" i="208" s="1"/>
  <c r="L28" i="299"/>
  <c r="I35" i="4"/>
  <c r="L28" i="300"/>
  <c r="I51" i="4"/>
  <c r="L18" i="302"/>
  <c r="G64" i="4" s="1"/>
  <c r="F64" i="4" s="1"/>
  <c r="E64" i="4"/>
  <c r="E64" i="76" s="1"/>
  <c r="N30" i="208"/>
  <c r="M30" i="208"/>
  <c r="M28" i="260"/>
  <c r="N30" i="260"/>
  <c r="M30" i="260"/>
  <c r="N28" i="267"/>
  <c r="L30" i="249"/>
  <c r="L28" i="249"/>
  <c r="L30" i="235"/>
  <c r="L28" i="220"/>
  <c r="K30" i="220"/>
  <c r="K28" i="291"/>
  <c r="K30" i="291"/>
  <c r="K30" i="257"/>
  <c r="L30" i="257"/>
  <c r="K30" i="246"/>
  <c r="K28" i="281"/>
  <c r="K30" i="281"/>
  <c r="K28" i="295"/>
  <c r="K30" i="295"/>
  <c r="K30" i="294"/>
  <c r="K28" i="294"/>
  <c r="K28" i="296"/>
  <c r="L30" i="296"/>
  <c r="K30" i="288"/>
  <c r="K28" i="288"/>
  <c r="K30" i="284"/>
  <c r="K28" i="284"/>
  <c r="K30" i="287"/>
  <c r="K28" i="287"/>
  <c r="K28" i="82"/>
  <c r="K30" i="82"/>
  <c r="K30" i="247"/>
  <c r="K30" i="269"/>
  <c r="L30" i="269"/>
  <c r="K28" i="269"/>
  <c r="K30" i="219"/>
  <c r="K30" i="157"/>
  <c r="K28" i="157"/>
  <c r="K30" i="290"/>
  <c r="K28" i="290"/>
  <c r="K30" i="120"/>
  <c r="K28" i="120"/>
  <c r="R17" i="307"/>
  <c r="R18" i="307" s="1"/>
  <c r="S16" i="307"/>
  <c r="R23" i="307"/>
  <c r="R21" i="307"/>
  <c r="K30" i="201"/>
  <c r="K30" i="191"/>
  <c r="K28" i="271"/>
  <c r="K30" i="271"/>
  <c r="K30" i="279"/>
  <c r="K28" i="279"/>
  <c r="K28" i="58"/>
  <c r="K30" i="58"/>
  <c r="K30" i="272"/>
  <c r="K28" i="272"/>
  <c r="M30" i="306"/>
  <c r="N17" i="306"/>
  <c r="N18" i="306" s="1"/>
  <c r="O16" i="306"/>
  <c r="N23" i="306"/>
  <c r="N30" i="306" s="1"/>
  <c r="N21" i="306"/>
  <c r="N28" i="306" s="1"/>
  <c r="K30" i="263"/>
  <c r="K28" i="263"/>
  <c r="L30" i="293"/>
  <c r="L17" i="293"/>
  <c r="L18" i="293" s="1"/>
  <c r="M16" i="293"/>
  <c r="L28" i="195"/>
  <c r="M30" i="305"/>
  <c r="N17" i="305"/>
  <c r="N18" i="305" s="1"/>
  <c r="O16" i="305"/>
  <c r="N23" i="305"/>
  <c r="N30" i="305" s="1"/>
  <c r="N21" i="305"/>
  <c r="N28" i="305" s="1"/>
  <c r="K30" i="160"/>
  <c r="K28" i="160"/>
  <c r="K28" i="176"/>
  <c r="K30" i="176"/>
  <c r="K28" i="79"/>
  <c r="N17" i="304"/>
  <c r="N18" i="304" s="1"/>
  <c r="O16" i="304"/>
  <c r="N23" i="304"/>
  <c r="N30" i="304" s="1"/>
  <c r="N21" i="304"/>
  <c r="N28" i="304" s="1"/>
  <c r="N17" i="303"/>
  <c r="N18" i="303" s="1"/>
  <c r="O16" i="303"/>
  <c r="N23" i="303"/>
  <c r="N30" i="303" s="1"/>
  <c r="N21" i="303"/>
  <c r="N28" i="303" s="1"/>
  <c r="K28" i="213"/>
  <c r="K30" i="159"/>
  <c r="K30" i="202"/>
  <c r="K30" i="264"/>
  <c r="K28" i="259"/>
  <c r="K30" i="259"/>
  <c r="L30" i="302"/>
  <c r="M17" i="302"/>
  <c r="M18" i="302" s="1"/>
  <c r="N16" i="302"/>
  <c r="M23" i="302"/>
  <c r="M21" i="302"/>
  <c r="M28" i="302" s="1"/>
  <c r="K30" i="163"/>
  <c r="K30" i="118"/>
  <c r="K28" i="118"/>
  <c r="K30" i="119"/>
  <c r="K28" i="119"/>
  <c r="N17" i="301"/>
  <c r="N18" i="301" s="1"/>
  <c r="O16" i="301"/>
  <c r="N21" i="301"/>
  <c r="N28" i="301" s="1"/>
  <c r="N23" i="301"/>
  <c r="N30" i="301" s="1"/>
  <c r="K30" i="261"/>
  <c r="L30" i="300"/>
  <c r="M17" i="300"/>
  <c r="M18" i="300" s="1"/>
  <c r="N16" i="300"/>
  <c r="M23" i="300"/>
  <c r="M30" i="300" s="1"/>
  <c r="M21" i="300"/>
  <c r="M28" i="300" s="1"/>
  <c r="K30" i="285"/>
  <c r="K28" i="285"/>
  <c r="L30" i="283"/>
  <c r="K30" i="275"/>
  <c r="K30" i="245"/>
  <c r="K28" i="245"/>
  <c r="K28" i="286"/>
  <c r="K30" i="289"/>
  <c r="K28" i="289"/>
  <c r="K30" i="298"/>
  <c r="K28" i="298"/>
  <c r="L28" i="276"/>
  <c r="L30" i="299"/>
  <c r="M17" i="299"/>
  <c r="M18" i="299" s="1"/>
  <c r="N16" i="299"/>
  <c r="M23" i="299"/>
  <c r="M30" i="299" s="1"/>
  <c r="M21" i="299"/>
  <c r="M28" i="299" s="1"/>
  <c r="K28" i="153"/>
  <c r="O17" i="267"/>
  <c r="O18" i="267" s="1"/>
  <c r="P16" i="267"/>
  <c r="O23" i="267"/>
  <c r="O21" i="267"/>
  <c r="O28" i="267" s="1"/>
  <c r="L23" i="245"/>
  <c r="L30" i="245" s="1"/>
  <c r="L21" i="245"/>
  <c r="L17" i="245"/>
  <c r="L18" i="245" s="1"/>
  <c r="M16" i="245"/>
  <c r="M17" i="276"/>
  <c r="M18" i="276" s="1"/>
  <c r="N16" i="276"/>
  <c r="M23" i="276"/>
  <c r="M30" i="276" s="1"/>
  <c r="M21" i="276"/>
  <c r="M28" i="276" s="1"/>
  <c r="L23" i="213"/>
  <c r="L21" i="213"/>
  <c r="L28" i="213" s="1"/>
  <c r="L17" i="213"/>
  <c r="L18" i="213" s="1"/>
  <c r="M16" i="213"/>
  <c r="L17" i="271"/>
  <c r="L18" i="271" s="1"/>
  <c r="M16" i="271"/>
  <c r="L23" i="272"/>
  <c r="L21" i="272"/>
  <c r="L28" i="272" s="1"/>
  <c r="L17" i="272"/>
  <c r="L18" i="272" s="1"/>
  <c r="M16" i="272"/>
  <c r="L17" i="290"/>
  <c r="L18" i="290" s="1"/>
  <c r="M16" i="290"/>
  <c r="L23" i="290"/>
  <c r="L21" i="290"/>
  <c r="L23" i="191"/>
  <c r="L30" i="191" s="1"/>
  <c r="L21" i="191"/>
  <c r="L17" i="191"/>
  <c r="L18" i="191" s="1"/>
  <c r="M16" i="191"/>
  <c r="L23" i="275"/>
  <c r="L21" i="275"/>
  <c r="L17" i="275"/>
  <c r="L18" i="275" s="1"/>
  <c r="M16" i="275"/>
  <c r="L23" i="289"/>
  <c r="L30" i="289" s="1"/>
  <c r="L21" i="289"/>
  <c r="L17" i="289"/>
  <c r="L18" i="289" s="1"/>
  <c r="M16" i="289"/>
  <c r="L17" i="217"/>
  <c r="L18" i="217" s="1"/>
  <c r="M16" i="217"/>
  <c r="L23" i="217"/>
  <c r="L30" i="217" s="1"/>
  <c r="L21" i="217"/>
  <c r="L28" i="217" s="1"/>
  <c r="L17" i="298"/>
  <c r="L18" i="298" s="1"/>
  <c r="M16" i="298"/>
  <c r="L23" i="298"/>
  <c r="L30" i="298" s="1"/>
  <c r="L21" i="298"/>
  <c r="L17" i="220"/>
  <c r="L18" i="220" s="1"/>
  <c r="M16" i="220"/>
  <c r="L17" i="291"/>
  <c r="L18" i="291" s="1"/>
  <c r="M16" i="291"/>
  <c r="M17" i="195"/>
  <c r="M18" i="195" s="1"/>
  <c r="N16" i="195"/>
  <c r="M23" i="195"/>
  <c r="M30" i="195" s="1"/>
  <c r="M21" i="195"/>
  <c r="M28" i="195" s="1"/>
  <c r="L17" i="261"/>
  <c r="L18" i="261" s="1"/>
  <c r="M16" i="261"/>
  <c r="L21" i="261"/>
  <c r="L28" i="261" s="1"/>
  <c r="L23" i="261"/>
  <c r="L30" i="261" s="1"/>
  <c r="L17" i="257"/>
  <c r="L18" i="257" s="1"/>
  <c r="M16" i="257"/>
  <c r="M17" i="242"/>
  <c r="M18" i="242" s="1"/>
  <c r="N16" i="242"/>
  <c r="M23" i="242"/>
  <c r="M30" i="242" s="1"/>
  <c r="M21" i="242"/>
  <c r="M28" i="242" s="1"/>
  <c r="L17" i="123"/>
  <c r="L18" i="123" s="1"/>
  <c r="M16" i="123"/>
  <c r="L21" i="123"/>
  <c r="L28" i="123" s="1"/>
  <c r="L23" i="123"/>
  <c r="L30" i="123" s="1"/>
  <c r="L17" i="188"/>
  <c r="L18" i="188" s="1"/>
  <c r="M16" i="188"/>
  <c r="L21" i="188"/>
  <c r="L28" i="188" s="1"/>
  <c r="L23" i="188"/>
  <c r="L30" i="188" s="1"/>
  <c r="M17" i="235"/>
  <c r="M18" i="235" s="1"/>
  <c r="N16" i="235"/>
  <c r="L17" i="246"/>
  <c r="L18" i="246" s="1"/>
  <c r="M16" i="246"/>
  <c r="L30" i="281"/>
  <c r="L28" i="281"/>
  <c r="L17" i="281"/>
  <c r="L18" i="281" s="1"/>
  <c r="M16" i="281"/>
  <c r="L28" i="295"/>
  <c r="L17" i="295"/>
  <c r="L18" i="295" s="1"/>
  <c r="M16" i="295"/>
  <c r="L23" i="241"/>
  <c r="L30" i="241" s="1"/>
  <c r="L21" i="241"/>
  <c r="L28" i="241" s="1"/>
  <c r="L17" i="241"/>
  <c r="L18" i="241" s="1"/>
  <c r="M16" i="241"/>
  <c r="L23" i="297"/>
  <c r="L30" i="297" s="1"/>
  <c r="L21" i="297"/>
  <c r="L28" i="297" s="1"/>
  <c r="L17" i="297"/>
  <c r="L18" i="297" s="1"/>
  <c r="M16" i="297"/>
  <c r="L23" i="161"/>
  <c r="L30" i="161" s="1"/>
  <c r="L21" i="161"/>
  <c r="L28" i="161" s="1"/>
  <c r="L17" i="161"/>
  <c r="L18" i="161" s="1"/>
  <c r="M16" i="161"/>
  <c r="L17" i="202"/>
  <c r="L18" i="202" s="1"/>
  <c r="M16" i="202"/>
  <c r="L21" i="202"/>
  <c r="L23" i="202"/>
  <c r="L30" i="202" s="1"/>
  <c r="N17" i="260"/>
  <c r="N18" i="260" s="1"/>
  <c r="O16" i="260"/>
  <c r="L17" i="120"/>
  <c r="L18" i="120" s="1"/>
  <c r="M16" i="120"/>
  <c r="L21" i="120"/>
  <c r="L28" i="120" s="1"/>
  <c r="L23" i="120"/>
  <c r="L17" i="160"/>
  <c r="L18" i="160" s="1"/>
  <c r="M16" i="160"/>
  <c r="L21" i="160"/>
  <c r="L23" i="160"/>
  <c r="L30" i="160" s="1"/>
  <c r="L23" i="279"/>
  <c r="L21" i="279"/>
  <c r="L17" i="279"/>
  <c r="L18" i="279" s="1"/>
  <c r="M16" i="279"/>
  <c r="L23" i="119"/>
  <c r="L30" i="119" s="1"/>
  <c r="L21" i="119"/>
  <c r="L28" i="119" s="1"/>
  <c r="L17" i="119"/>
  <c r="L18" i="119" s="1"/>
  <c r="M16" i="119"/>
  <c r="L23" i="264"/>
  <c r="L21" i="264"/>
  <c r="L28" i="264" s="1"/>
  <c r="L17" i="264"/>
  <c r="L18" i="264" s="1"/>
  <c r="M16" i="264"/>
  <c r="L17" i="294"/>
  <c r="L18" i="294" s="1"/>
  <c r="M16" i="294"/>
  <c r="L23" i="159"/>
  <c r="L30" i="159" s="1"/>
  <c r="L21" i="159"/>
  <c r="L28" i="159" s="1"/>
  <c r="L17" i="159"/>
  <c r="L18" i="159" s="1"/>
  <c r="M16" i="159"/>
  <c r="L23" i="163"/>
  <c r="L21" i="163"/>
  <c r="L28" i="163" s="1"/>
  <c r="L17" i="163"/>
  <c r="L18" i="163" s="1"/>
  <c r="M16" i="163"/>
  <c r="M17" i="283"/>
  <c r="M18" i="283" s="1"/>
  <c r="N16" i="283"/>
  <c r="M23" i="283"/>
  <c r="M21" i="283"/>
  <c r="L23" i="259"/>
  <c r="L30" i="259" s="1"/>
  <c r="L21" i="259"/>
  <c r="L28" i="259" s="1"/>
  <c r="L17" i="259"/>
  <c r="L18" i="259" s="1"/>
  <c r="M16" i="259"/>
  <c r="L23" i="118"/>
  <c r="L30" i="118" s="1"/>
  <c r="L21" i="118"/>
  <c r="L28" i="118" s="1"/>
  <c r="L17" i="118"/>
  <c r="L18" i="118" s="1"/>
  <c r="M16" i="118"/>
  <c r="L23" i="157"/>
  <c r="L30" i="157" s="1"/>
  <c r="L21" i="157"/>
  <c r="L17" i="157"/>
  <c r="L18" i="157" s="1"/>
  <c r="M16" i="157"/>
  <c r="L17" i="296"/>
  <c r="L18" i="296" s="1"/>
  <c r="M16" i="296"/>
  <c r="L17" i="288"/>
  <c r="L18" i="288" s="1"/>
  <c r="M16" i="288"/>
  <c r="L17" i="284"/>
  <c r="L18" i="284" s="1"/>
  <c r="M16" i="284"/>
  <c r="M17" i="249"/>
  <c r="M18" i="249" s="1"/>
  <c r="N16" i="249"/>
  <c r="M28" i="249"/>
  <c r="L17" i="287"/>
  <c r="L18" i="287" s="1"/>
  <c r="M16" i="287"/>
  <c r="L28" i="82"/>
  <c r="L17" i="82"/>
  <c r="L18" i="82" s="1"/>
  <c r="M16" i="82"/>
  <c r="L17" i="285"/>
  <c r="L18" i="285" s="1"/>
  <c r="M16" i="285"/>
  <c r="L21" i="285"/>
  <c r="L23" i="285"/>
  <c r="L30" i="285" s="1"/>
  <c r="L17" i="247"/>
  <c r="L18" i="247" s="1"/>
  <c r="M16" i="247"/>
  <c r="L17" i="153"/>
  <c r="L18" i="153" s="1"/>
  <c r="M16" i="153"/>
  <c r="L21" i="153"/>
  <c r="L28" i="153" s="1"/>
  <c r="L23" i="153"/>
  <c r="L23" i="79"/>
  <c r="L21" i="79"/>
  <c r="L17" i="79"/>
  <c r="L18" i="79" s="1"/>
  <c r="M16" i="79"/>
  <c r="L17" i="269"/>
  <c r="L18" i="269" s="1"/>
  <c r="M16" i="269"/>
  <c r="L23" i="263"/>
  <c r="L30" i="263" s="1"/>
  <c r="L21" i="263"/>
  <c r="L17" i="263"/>
  <c r="L18" i="263" s="1"/>
  <c r="M16" i="263"/>
  <c r="L17" i="58"/>
  <c r="L18" i="58" s="1"/>
  <c r="M16" i="58"/>
  <c r="L21" i="58"/>
  <c r="L23" i="58"/>
  <c r="L30" i="58" s="1"/>
  <c r="L17" i="219"/>
  <c r="L18" i="219" s="1"/>
  <c r="M16" i="219"/>
  <c r="L17" i="286"/>
  <c r="L18" i="286" s="1"/>
  <c r="M16" i="286"/>
  <c r="L21" i="286"/>
  <c r="L28" i="286" s="1"/>
  <c r="L23" i="286"/>
  <c r="L17" i="201"/>
  <c r="L18" i="201" s="1"/>
  <c r="M16" i="201"/>
  <c r="L21" i="201"/>
  <c r="L23" i="201"/>
  <c r="L17" i="176"/>
  <c r="L18" i="176" s="1"/>
  <c r="M16" i="176"/>
  <c r="L21" i="176"/>
  <c r="L23" i="176"/>
  <c r="L47" i="72"/>
  <c r="M47" i="72" s="1"/>
  <c r="L27" i="76"/>
  <c r="M27" i="72"/>
  <c r="M17" i="208" l="1"/>
  <c r="M18" i="208" s="1"/>
  <c r="N16" i="208"/>
  <c r="N28" i="208"/>
  <c r="N28" i="260"/>
  <c r="M30" i="249"/>
  <c r="O30" i="267"/>
  <c r="L30" i="220"/>
  <c r="M30" i="291"/>
  <c r="L30" i="291"/>
  <c r="L28" i="291"/>
  <c r="L28" i="257"/>
  <c r="L28" i="246"/>
  <c r="M28" i="246"/>
  <c r="L30" i="246"/>
  <c r="L30" i="295"/>
  <c r="M28" i="295"/>
  <c r="L28" i="294"/>
  <c r="L30" i="294"/>
  <c r="L28" i="296"/>
  <c r="L28" i="288"/>
  <c r="L30" i="288"/>
  <c r="L30" i="284"/>
  <c r="L28" i="284"/>
  <c r="L28" i="287"/>
  <c r="L30" i="287"/>
  <c r="L30" i="82"/>
  <c r="L28" i="247"/>
  <c r="M30" i="247"/>
  <c r="L30" i="247"/>
  <c r="L28" i="269"/>
  <c r="L30" i="219"/>
  <c r="L28" i="219"/>
  <c r="M30" i="235"/>
  <c r="M28" i="235"/>
  <c r="L28" i="157"/>
  <c r="L28" i="290"/>
  <c r="L30" i="290"/>
  <c r="L30" i="120"/>
  <c r="S17" i="307"/>
  <c r="S18" i="307" s="1"/>
  <c r="T16" i="307"/>
  <c r="S23" i="307"/>
  <c r="S21" i="307"/>
  <c r="L28" i="201"/>
  <c r="L30" i="201"/>
  <c r="L28" i="191"/>
  <c r="L30" i="271"/>
  <c r="L28" i="271"/>
  <c r="L28" i="279"/>
  <c r="L30" i="279"/>
  <c r="L28" i="58"/>
  <c r="L30" i="272"/>
  <c r="O17" i="306"/>
  <c r="O18" i="306" s="1"/>
  <c r="P16" i="306"/>
  <c r="O23" i="306"/>
  <c r="O30" i="306" s="1"/>
  <c r="O21" i="306"/>
  <c r="O28" i="306" s="1"/>
  <c r="L28" i="263"/>
  <c r="N16" i="293"/>
  <c r="M17" i="293"/>
  <c r="M18" i="293" s="1"/>
  <c r="M28" i="293"/>
  <c r="M30" i="293"/>
  <c r="L28" i="293"/>
  <c r="O17" i="305"/>
  <c r="O18" i="305" s="1"/>
  <c r="P16" i="305"/>
  <c r="O23" i="305"/>
  <c r="O30" i="305" s="1"/>
  <c r="O21" i="305"/>
  <c r="O28" i="305" s="1"/>
  <c r="L28" i="160"/>
  <c r="L28" i="176"/>
  <c r="L30" i="176"/>
  <c r="L28" i="79"/>
  <c r="L30" i="79"/>
  <c r="O17" i="304"/>
  <c r="O18" i="304" s="1"/>
  <c r="P16" i="304"/>
  <c r="O23" i="304"/>
  <c r="O30" i="304" s="1"/>
  <c r="O21" i="304"/>
  <c r="O28" i="304" s="1"/>
  <c r="O17" i="303"/>
  <c r="O18" i="303" s="1"/>
  <c r="P16" i="303"/>
  <c r="O23" i="303"/>
  <c r="O30" i="303" s="1"/>
  <c r="O21" i="303"/>
  <c r="O28" i="303" s="1"/>
  <c r="L30" i="213"/>
  <c r="L28" i="202"/>
  <c r="L30" i="264"/>
  <c r="M30" i="302"/>
  <c r="N17" i="302"/>
  <c r="N18" i="302" s="1"/>
  <c r="O16" i="302"/>
  <c r="N23" i="302"/>
  <c r="N21" i="302"/>
  <c r="N28" i="302" s="1"/>
  <c r="L30" i="163"/>
  <c r="O17" i="301"/>
  <c r="O18" i="301" s="1"/>
  <c r="P16" i="301"/>
  <c r="O23" i="301"/>
  <c r="O30" i="301" s="1"/>
  <c r="O21" i="301"/>
  <c r="O28" i="301" s="1"/>
  <c r="N17" i="300"/>
  <c r="N18" i="300" s="1"/>
  <c r="O16" i="300"/>
  <c r="N23" i="300"/>
  <c r="N30" i="300" s="1"/>
  <c r="N21" i="300"/>
  <c r="N28" i="300" s="1"/>
  <c r="L28" i="285"/>
  <c r="M28" i="283"/>
  <c r="M30" i="283"/>
  <c r="L28" i="275"/>
  <c r="L30" i="275"/>
  <c r="L28" i="245"/>
  <c r="L30" i="286"/>
  <c r="L28" i="289"/>
  <c r="L28" i="298"/>
  <c r="N17" i="299"/>
  <c r="N18" i="299" s="1"/>
  <c r="O16" i="299"/>
  <c r="N23" i="299"/>
  <c r="N30" i="299" s="1"/>
  <c r="N21" i="299"/>
  <c r="N28" i="299" s="1"/>
  <c r="L30" i="153"/>
  <c r="P17" i="267"/>
  <c r="P18" i="267" s="1"/>
  <c r="Q16" i="267"/>
  <c r="P21" i="267"/>
  <c r="P23" i="267"/>
  <c r="P30" i="267" s="1"/>
  <c r="M17" i="245"/>
  <c r="M18" i="245" s="1"/>
  <c r="N16" i="245"/>
  <c r="M23" i="245"/>
  <c r="M30" i="245" s="1"/>
  <c r="M21" i="245"/>
  <c r="M28" i="245" s="1"/>
  <c r="N17" i="276"/>
  <c r="N18" i="276" s="1"/>
  <c r="O16" i="276"/>
  <c r="N23" i="276"/>
  <c r="N30" i="276" s="1"/>
  <c r="N21" i="276"/>
  <c r="N28" i="276" s="1"/>
  <c r="M17" i="213"/>
  <c r="M18" i="213" s="1"/>
  <c r="N16" i="213"/>
  <c r="M23" i="213"/>
  <c r="M30" i="213" s="1"/>
  <c r="M21" i="213"/>
  <c r="M17" i="271"/>
  <c r="M18" i="271" s="1"/>
  <c r="N16" i="271"/>
  <c r="M30" i="271"/>
  <c r="M28" i="271"/>
  <c r="M17" i="272"/>
  <c r="M18" i="272" s="1"/>
  <c r="N16" i="272"/>
  <c r="M23" i="272"/>
  <c r="M30" i="272" s="1"/>
  <c r="M21" i="272"/>
  <c r="M28" i="272" s="1"/>
  <c r="M17" i="290"/>
  <c r="M18" i="290" s="1"/>
  <c r="N16" i="290"/>
  <c r="M23" i="290"/>
  <c r="M21" i="290"/>
  <c r="M17" i="191"/>
  <c r="M18" i="191" s="1"/>
  <c r="N16" i="191"/>
  <c r="M23" i="191"/>
  <c r="M21" i="191"/>
  <c r="M17" i="275"/>
  <c r="M18" i="275" s="1"/>
  <c r="N16" i="275"/>
  <c r="M23" i="275"/>
  <c r="M30" i="275" s="1"/>
  <c r="M21" i="275"/>
  <c r="M17" i="289"/>
  <c r="M18" i="289" s="1"/>
  <c r="N16" i="289"/>
  <c r="M23" i="289"/>
  <c r="M30" i="289" s="1"/>
  <c r="M21" i="289"/>
  <c r="M17" i="217"/>
  <c r="M18" i="217" s="1"/>
  <c r="N16" i="217"/>
  <c r="M23" i="217"/>
  <c r="M30" i="217" s="1"/>
  <c r="M21" i="217"/>
  <c r="M28" i="217" s="1"/>
  <c r="M17" i="298"/>
  <c r="M18" i="298" s="1"/>
  <c r="N16" i="298"/>
  <c r="M23" i="298"/>
  <c r="M30" i="298" s="1"/>
  <c r="M21" i="298"/>
  <c r="M28" i="298" s="1"/>
  <c r="M17" i="220"/>
  <c r="M18" i="220" s="1"/>
  <c r="N16" i="220"/>
  <c r="M17" i="291"/>
  <c r="M18" i="291" s="1"/>
  <c r="N16" i="291"/>
  <c r="N17" i="195"/>
  <c r="N18" i="195" s="1"/>
  <c r="O16" i="195"/>
  <c r="N23" i="195"/>
  <c r="N21" i="195"/>
  <c r="N28" i="195" s="1"/>
  <c r="M17" i="261"/>
  <c r="M18" i="261" s="1"/>
  <c r="N16" i="261"/>
  <c r="M23" i="261"/>
  <c r="M30" i="261" s="1"/>
  <c r="M21" i="261"/>
  <c r="M28" i="261" s="1"/>
  <c r="M17" i="257"/>
  <c r="M18" i="257" s="1"/>
  <c r="N16" i="257"/>
  <c r="N17" i="242"/>
  <c r="N18" i="242" s="1"/>
  <c r="O16" i="242"/>
  <c r="N23" i="242"/>
  <c r="N30" i="242" s="1"/>
  <c r="N21" i="242"/>
  <c r="N28" i="242" s="1"/>
  <c r="M17" i="123"/>
  <c r="M18" i="123" s="1"/>
  <c r="N16" i="123"/>
  <c r="M23" i="123"/>
  <c r="M30" i="123" s="1"/>
  <c r="M21" i="123"/>
  <c r="M28" i="123" s="1"/>
  <c r="M17" i="188"/>
  <c r="M18" i="188" s="1"/>
  <c r="N16" i="188"/>
  <c r="M23" i="188"/>
  <c r="M30" i="188" s="1"/>
  <c r="M21" i="188"/>
  <c r="N23" i="235"/>
  <c r="N21" i="235"/>
  <c r="N17" i="235"/>
  <c r="N18" i="235" s="1"/>
  <c r="O16" i="235"/>
  <c r="M17" i="246"/>
  <c r="M18" i="246" s="1"/>
  <c r="N16" i="246"/>
  <c r="M17" i="281"/>
  <c r="M18" i="281" s="1"/>
  <c r="N16" i="281"/>
  <c r="M17" i="295"/>
  <c r="M18" i="295" s="1"/>
  <c r="N16" i="295"/>
  <c r="M17" i="241"/>
  <c r="M18" i="241" s="1"/>
  <c r="N16" i="241"/>
  <c r="M23" i="241"/>
  <c r="M21" i="241"/>
  <c r="M28" i="241" s="1"/>
  <c r="M17" i="297"/>
  <c r="M18" i="297" s="1"/>
  <c r="N16" i="297"/>
  <c r="M23" i="297"/>
  <c r="M30" i="297" s="1"/>
  <c r="M21" i="297"/>
  <c r="M28" i="297" s="1"/>
  <c r="M17" i="161"/>
  <c r="M18" i="161" s="1"/>
  <c r="N16" i="161"/>
  <c r="M23" i="161"/>
  <c r="M30" i="161" s="1"/>
  <c r="M21" i="161"/>
  <c r="M28" i="161" s="1"/>
  <c r="M17" i="202"/>
  <c r="M18" i="202" s="1"/>
  <c r="N16" i="202"/>
  <c r="M23" i="202"/>
  <c r="M30" i="202" s="1"/>
  <c r="M21" i="202"/>
  <c r="O17" i="260"/>
  <c r="O18" i="260" s="1"/>
  <c r="P16" i="260"/>
  <c r="M17" i="120"/>
  <c r="M18" i="120" s="1"/>
  <c r="N16" i="120"/>
  <c r="M23" i="120"/>
  <c r="M21" i="120"/>
  <c r="M17" i="160"/>
  <c r="M18" i="160" s="1"/>
  <c r="N16" i="160"/>
  <c r="M23" i="160"/>
  <c r="M21" i="160"/>
  <c r="M28" i="160" s="1"/>
  <c r="M17" i="279"/>
  <c r="M18" i="279" s="1"/>
  <c r="N16" i="279"/>
  <c r="M23" i="279"/>
  <c r="M21" i="279"/>
  <c r="M17" i="119"/>
  <c r="M18" i="119" s="1"/>
  <c r="N16" i="119"/>
  <c r="M23" i="119"/>
  <c r="M30" i="119" s="1"/>
  <c r="M21" i="119"/>
  <c r="M28" i="119" s="1"/>
  <c r="M17" i="264"/>
  <c r="M18" i="264" s="1"/>
  <c r="N16" i="264"/>
  <c r="M23" i="264"/>
  <c r="M30" i="264" s="1"/>
  <c r="M21" i="264"/>
  <c r="M28" i="264" s="1"/>
  <c r="M17" i="294"/>
  <c r="M18" i="294" s="1"/>
  <c r="N16" i="294"/>
  <c r="M17" i="159"/>
  <c r="M18" i="159" s="1"/>
  <c r="N16" i="159"/>
  <c r="M23" i="159"/>
  <c r="M30" i="159" s="1"/>
  <c r="M21" i="159"/>
  <c r="M28" i="159" s="1"/>
  <c r="M17" i="163"/>
  <c r="M18" i="163" s="1"/>
  <c r="N16" i="163"/>
  <c r="M23" i="163"/>
  <c r="M30" i="163" s="1"/>
  <c r="M21" i="163"/>
  <c r="M28" i="163" s="1"/>
  <c r="N17" i="283"/>
  <c r="N18" i="283" s="1"/>
  <c r="O16" i="283"/>
  <c r="N23" i="283"/>
  <c r="N21" i="283"/>
  <c r="N28" i="283" s="1"/>
  <c r="M17" i="259"/>
  <c r="M18" i="259" s="1"/>
  <c r="N16" i="259"/>
  <c r="M23" i="259"/>
  <c r="M30" i="259" s="1"/>
  <c r="M21" i="259"/>
  <c r="M28" i="259" s="1"/>
  <c r="M17" i="118"/>
  <c r="M18" i="118" s="1"/>
  <c r="N16" i="118"/>
  <c r="M23" i="118"/>
  <c r="M30" i="118" s="1"/>
  <c r="M21" i="118"/>
  <c r="M28" i="118" s="1"/>
  <c r="M17" i="157"/>
  <c r="M18" i="157" s="1"/>
  <c r="N16" i="157"/>
  <c r="M23" i="157"/>
  <c r="M21" i="157"/>
  <c r="M28" i="157" s="1"/>
  <c r="M17" i="296"/>
  <c r="M18" i="296" s="1"/>
  <c r="N16" i="296"/>
  <c r="M17" i="288"/>
  <c r="M18" i="288" s="1"/>
  <c r="N16" i="288"/>
  <c r="M28" i="288"/>
  <c r="M17" i="284"/>
  <c r="M18" i="284" s="1"/>
  <c r="N16" i="284"/>
  <c r="N17" i="249"/>
  <c r="N18" i="249" s="1"/>
  <c r="O16" i="249"/>
  <c r="M17" i="287"/>
  <c r="M18" i="287" s="1"/>
  <c r="N16" i="287"/>
  <c r="M17" i="82"/>
  <c r="M18" i="82" s="1"/>
  <c r="N16" i="82"/>
  <c r="M28" i="82"/>
  <c r="M17" i="285"/>
  <c r="M18" i="285" s="1"/>
  <c r="N16" i="285"/>
  <c r="M23" i="285"/>
  <c r="M21" i="285"/>
  <c r="M28" i="285" s="1"/>
  <c r="M17" i="247"/>
  <c r="M18" i="247" s="1"/>
  <c r="N16" i="247"/>
  <c r="M17" i="153"/>
  <c r="M18" i="153" s="1"/>
  <c r="N16" i="153"/>
  <c r="M23" i="153"/>
  <c r="M30" i="153" s="1"/>
  <c r="M21" i="153"/>
  <c r="M28" i="153" s="1"/>
  <c r="M17" i="79"/>
  <c r="M18" i="79" s="1"/>
  <c r="N16" i="79"/>
  <c r="M23" i="79"/>
  <c r="M21" i="79"/>
  <c r="M17" i="269"/>
  <c r="M18" i="269" s="1"/>
  <c r="N16" i="269"/>
  <c r="M17" i="263"/>
  <c r="M18" i="263" s="1"/>
  <c r="N16" i="263"/>
  <c r="M23" i="263"/>
  <c r="M21" i="263"/>
  <c r="M17" i="58"/>
  <c r="M18" i="58" s="1"/>
  <c r="N16" i="58"/>
  <c r="M23" i="58"/>
  <c r="M21" i="58"/>
  <c r="M17" i="219"/>
  <c r="M18" i="219" s="1"/>
  <c r="N16" i="219"/>
  <c r="M17" i="286"/>
  <c r="M18" i="286" s="1"/>
  <c r="N16" i="286"/>
  <c r="M23" i="286"/>
  <c r="M30" i="286" s="1"/>
  <c r="M21" i="286"/>
  <c r="M17" i="201"/>
  <c r="M18" i="201" s="1"/>
  <c r="N16" i="201"/>
  <c r="M23" i="201"/>
  <c r="M21" i="201"/>
  <c r="M28" i="201" s="1"/>
  <c r="M17" i="176"/>
  <c r="M18" i="176" s="1"/>
  <c r="N16" i="176"/>
  <c r="M23" i="176"/>
  <c r="M21" i="176"/>
  <c r="N17" i="208" l="1"/>
  <c r="N18" i="208" s="1"/>
  <c r="O16" i="208"/>
  <c r="O28" i="260"/>
  <c r="O30" i="260"/>
  <c r="N30" i="249"/>
  <c r="N28" i="249"/>
  <c r="M30" i="220"/>
  <c r="M28" i="220"/>
  <c r="M28" i="291"/>
  <c r="N28" i="291"/>
  <c r="M30" i="257"/>
  <c r="M28" i="257"/>
  <c r="M30" i="246"/>
  <c r="N28" i="246"/>
  <c r="N28" i="295"/>
  <c r="M30" i="295"/>
  <c r="N28" i="294"/>
  <c r="M30" i="294"/>
  <c r="M28" i="294"/>
  <c r="M30" i="296"/>
  <c r="M28" i="296"/>
  <c r="M30" i="288"/>
  <c r="M30" i="284"/>
  <c r="M28" i="284"/>
  <c r="M28" i="287"/>
  <c r="M30" i="287"/>
  <c r="M30" i="82"/>
  <c r="M28" i="247"/>
  <c r="M30" i="269"/>
  <c r="M28" i="269"/>
  <c r="M30" i="219"/>
  <c r="M28" i="219"/>
  <c r="P28" i="267"/>
  <c r="N28" i="235"/>
  <c r="N30" i="235"/>
  <c r="M30" i="281"/>
  <c r="M28" i="281"/>
  <c r="M30" i="157"/>
  <c r="M28" i="290"/>
  <c r="M30" i="290"/>
  <c r="M28" i="120"/>
  <c r="M30" i="120"/>
  <c r="T17" i="307"/>
  <c r="T18" i="307" s="1"/>
  <c r="U16" i="307"/>
  <c r="T21" i="307"/>
  <c r="T23" i="307"/>
  <c r="M30" i="201"/>
  <c r="M30" i="191"/>
  <c r="M28" i="191"/>
  <c r="M28" i="279"/>
  <c r="M30" i="279"/>
  <c r="M30" i="58"/>
  <c r="M28" i="58"/>
  <c r="P17" i="306"/>
  <c r="P18" i="306" s="1"/>
  <c r="Q16" i="306"/>
  <c r="P21" i="306"/>
  <c r="P28" i="306" s="1"/>
  <c r="P23" i="306"/>
  <c r="P30" i="306" s="1"/>
  <c r="M30" i="263"/>
  <c r="M28" i="263"/>
  <c r="N21" i="293"/>
  <c r="N28" i="293" s="1"/>
  <c r="N23" i="293"/>
  <c r="N30" i="293" s="1"/>
  <c r="O16" i="293"/>
  <c r="N17" i="293"/>
  <c r="N18" i="293" s="1"/>
  <c r="N30" i="195"/>
  <c r="P17" i="305"/>
  <c r="P18" i="305" s="1"/>
  <c r="Q16" i="305"/>
  <c r="P21" i="305"/>
  <c r="P28" i="305" s="1"/>
  <c r="P23" i="305"/>
  <c r="P30" i="305" s="1"/>
  <c r="M30" i="160"/>
  <c r="M30" i="176"/>
  <c r="M28" i="176"/>
  <c r="M30" i="79"/>
  <c r="M28" i="79"/>
  <c r="P17" i="304"/>
  <c r="P18" i="304" s="1"/>
  <c r="Q16" i="304"/>
  <c r="P21" i="304"/>
  <c r="P28" i="304" s="1"/>
  <c r="P23" i="304"/>
  <c r="P30" i="304" s="1"/>
  <c r="P17" i="303"/>
  <c r="P18" i="303" s="1"/>
  <c r="Q16" i="303"/>
  <c r="P21" i="303"/>
  <c r="P28" i="303" s="1"/>
  <c r="P23" i="303"/>
  <c r="P30" i="303" s="1"/>
  <c r="M28" i="213"/>
  <c r="M28" i="202"/>
  <c r="M28" i="188"/>
  <c r="N30" i="302"/>
  <c r="O17" i="302"/>
  <c r="O18" i="302" s="1"/>
  <c r="P16" i="302"/>
  <c r="O23" i="302"/>
  <c r="O30" i="302" s="1"/>
  <c r="O21" i="302"/>
  <c r="O28" i="302" s="1"/>
  <c r="P17" i="301"/>
  <c r="P18" i="301" s="1"/>
  <c r="Q16" i="301"/>
  <c r="P23" i="301"/>
  <c r="P30" i="301" s="1"/>
  <c r="P21" i="301"/>
  <c r="P28" i="301" s="1"/>
  <c r="M30" i="241"/>
  <c r="O17" i="300"/>
  <c r="O18" i="300" s="1"/>
  <c r="P16" i="300"/>
  <c r="O23" i="300"/>
  <c r="O30" i="300" s="1"/>
  <c r="O21" i="300"/>
  <c r="O28" i="300" s="1"/>
  <c r="M30" i="285"/>
  <c r="N30" i="283"/>
  <c r="M28" i="275"/>
  <c r="M28" i="286"/>
  <c r="M28" i="289"/>
  <c r="O17" i="299"/>
  <c r="O18" i="299" s="1"/>
  <c r="P16" i="299"/>
  <c r="O23" i="299"/>
  <c r="O30" i="299" s="1"/>
  <c r="O21" i="299"/>
  <c r="O28" i="299" s="1"/>
  <c r="Q17" i="267"/>
  <c r="Q18" i="267" s="1"/>
  <c r="R16" i="267"/>
  <c r="Q23" i="267"/>
  <c r="Q21" i="267"/>
  <c r="N21" i="245"/>
  <c r="N28" i="245" s="1"/>
  <c r="N23" i="245"/>
  <c r="N30" i="245" s="1"/>
  <c r="N17" i="245"/>
  <c r="N18" i="245" s="1"/>
  <c r="O16" i="245"/>
  <c r="O17" i="276"/>
  <c r="O18" i="276" s="1"/>
  <c r="P16" i="276"/>
  <c r="O23" i="276"/>
  <c r="O30" i="276" s="1"/>
  <c r="O21" i="276"/>
  <c r="O28" i="276" s="1"/>
  <c r="N21" i="213"/>
  <c r="N28" i="213" s="1"/>
  <c r="N23" i="213"/>
  <c r="N30" i="213" s="1"/>
  <c r="N17" i="213"/>
  <c r="N18" i="213" s="1"/>
  <c r="O16" i="213"/>
  <c r="N17" i="271"/>
  <c r="N18" i="271" s="1"/>
  <c r="O16" i="271"/>
  <c r="N30" i="271"/>
  <c r="N28" i="271"/>
  <c r="N21" i="272"/>
  <c r="N23" i="272"/>
  <c r="N30" i="272" s="1"/>
  <c r="N17" i="272"/>
  <c r="N18" i="272" s="1"/>
  <c r="O16" i="272"/>
  <c r="N17" i="290"/>
  <c r="N18" i="290" s="1"/>
  <c r="O16" i="290"/>
  <c r="N21" i="290"/>
  <c r="N23" i="290"/>
  <c r="N30" i="290" s="1"/>
  <c r="N21" i="191"/>
  <c r="N23" i="191"/>
  <c r="N30" i="191" s="1"/>
  <c r="N17" i="191"/>
  <c r="N18" i="191" s="1"/>
  <c r="O16" i="191"/>
  <c r="N21" i="275"/>
  <c r="N28" i="275" s="1"/>
  <c r="N23" i="275"/>
  <c r="N30" i="275" s="1"/>
  <c r="N17" i="275"/>
  <c r="N18" i="275" s="1"/>
  <c r="O16" i="275"/>
  <c r="N21" i="289"/>
  <c r="N23" i="289"/>
  <c r="N30" i="289" s="1"/>
  <c r="N17" i="289"/>
  <c r="N18" i="289" s="1"/>
  <c r="O16" i="289"/>
  <c r="N17" i="217"/>
  <c r="N18" i="217" s="1"/>
  <c r="O16" i="217"/>
  <c r="N21" i="217"/>
  <c r="N28" i="217" s="1"/>
  <c r="N23" i="217"/>
  <c r="N30" i="217" s="1"/>
  <c r="N17" i="298"/>
  <c r="N18" i="298" s="1"/>
  <c r="O16" i="298"/>
  <c r="N21" i="298"/>
  <c r="N28" i="298" s="1"/>
  <c r="N23" i="298"/>
  <c r="N30" i="298" s="1"/>
  <c r="N17" i="220"/>
  <c r="N18" i="220" s="1"/>
  <c r="O16" i="220"/>
  <c r="N30" i="220"/>
  <c r="N17" i="291"/>
  <c r="N18" i="291" s="1"/>
  <c r="O16" i="291"/>
  <c r="O17" i="195"/>
  <c r="O18" i="195" s="1"/>
  <c r="P16" i="195"/>
  <c r="O23" i="195"/>
  <c r="O30" i="195" s="1"/>
  <c r="O21" i="195"/>
  <c r="O28" i="195" s="1"/>
  <c r="N17" i="261"/>
  <c r="N18" i="261" s="1"/>
  <c r="O16" i="261"/>
  <c r="N23" i="261"/>
  <c r="N30" i="261" s="1"/>
  <c r="N21" i="261"/>
  <c r="N28" i="261" s="1"/>
  <c r="N17" i="257"/>
  <c r="N18" i="257" s="1"/>
  <c r="O16" i="257"/>
  <c r="O17" i="242"/>
  <c r="O18" i="242" s="1"/>
  <c r="P16" i="242"/>
  <c r="O23" i="242"/>
  <c r="O30" i="242" s="1"/>
  <c r="O21" i="242"/>
  <c r="O28" i="242" s="1"/>
  <c r="N17" i="123"/>
  <c r="N18" i="123" s="1"/>
  <c r="O16" i="123"/>
  <c r="N23" i="123"/>
  <c r="N30" i="123" s="1"/>
  <c r="N21" i="123"/>
  <c r="N28" i="123" s="1"/>
  <c r="N17" i="188"/>
  <c r="N18" i="188" s="1"/>
  <c r="O16" i="188"/>
  <c r="N23" i="188"/>
  <c r="N30" i="188" s="1"/>
  <c r="N21" i="188"/>
  <c r="N28" i="188" s="1"/>
  <c r="O23" i="235"/>
  <c r="O21" i="235"/>
  <c r="O28" i="235" s="1"/>
  <c r="O17" i="235"/>
  <c r="O18" i="235" s="1"/>
  <c r="P16" i="235"/>
  <c r="N17" i="246"/>
  <c r="N18" i="246" s="1"/>
  <c r="O16" i="246"/>
  <c r="N17" i="281"/>
  <c r="N18" i="281" s="1"/>
  <c r="O16" i="281"/>
  <c r="N30" i="295"/>
  <c r="N17" i="295"/>
  <c r="N18" i="295" s="1"/>
  <c r="O16" i="295"/>
  <c r="N21" i="241"/>
  <c r="N28" i="241" s="1"/>
  <c r="N23" i="241"/>
  <c r="N30" i="241" s="1"/>
  <c r="N17" i="241"/>
  <c r="N18" i="241" s="1"/>
  <c r="O16" i="241"/>
  <c r="N17" i="297"/>
  <c r="N18" i="297" s="1"/>
  <c r="O16" i="297"/>
  <c r="N23" i="297"/>
  <c r="N30" i="297" s="1"/>
  <c r="N21" i="297"/>
  <c r="N28" i="297" s="1"/>
  <c r="N21" i="161"/>
  <c r="N28" i="161" s="1"/>
  <c r="N23" i="161"/>
  <c r="N30" i="161" s="1"/>
  <c r="N17" i="161"/>
  <c r="N18" i="161" s="1"/>
  <c r="O16" i="161"/>
  <c r="N17" i="202"/>
  <c r="N18" i="202" s="1"/>
  <c r="O16" i="202"/>
  <c r="N23" i="202"/>
  <c r="N30" i="202" s="1"/>
  <c r="N21" i="202"/>
  <c r="N28" i="202" s="1"/>
  <c r="P17" i="260"/>
  <c r="P18" i="260" s="1"/>
  <c r="Q16" i="260"/>
  <c r="P30" i="260"/>
  <c r="N17" i="120"/>
  <c r="N18" i="120" s="1"/>
  <c r="O16" i="120"/>
  <c r="N23" i="120"/>
  <c r="N30" i="120" s="1"/>
  <c r="N21" i="120"/>
  <c r="N17" i="160"/>
  <c r="N18" i="160" s="1"/>
  <c r="O16" i="160"/>
  <c r="N23" i="160"/>
  <c r="N30" i="160" s="1"/>
  <c r="N21" i="160"/>
  <c r="N21" i="279"/>
  <c r="N23" i="279"/>
  <c r="N30" i="279" s="1"/>
  <c r="N17" i="279"/>
  <c r="N18" i="279" s="1"/>
  <c r="O16" i="279"/>
  <c r="N21" i="119"/>
  <c r="N28" i="119" s="1"/>
  <c r="N23" i="119"/>
  <c r="N30" i="119" s="1"/>
  <c r="N17" i="119"/>
  <c r="N18" i="119" s="1"/>
  <c r="O16" i="119"/>
  <c r="N21" i="264"/>
  <c r="N28" i="264" s="1"/>
  <c r="N23" i="264"/>
  <c r="N30" i="264" s="1"/>
  <c r="N17" i="264"/>
  <c r="N18" i="264" s="1"/>
  <c r="O16" i="264"/>
  <c r="N17" i="294"/>
  <c r="N18" i="294" s="1"/>
  <c r="O16" i="294"/>
  <c r="N21" i="159"/>
  <c r="N28" i="159" s="1"/>
  <c r="N23" i="159"/>
  <c r="N30" i="159" s="1"/>
  <c r="N17" i="159"/>
  <c r="N18" i="159" s="1"/>
  <c r="O16" i="159"/>
  <c r="N21" i="163"/>
  <c r="N28" i="163" s="1"/>
  <c r="N23" i="163"/>
  <c r="N30" i="163" s="1"/>
  <c r="N17" i="163"/>
  <c r="N18" i="163" s="1"/>
  <c r="O16" i="163"/>
  <c r="O17" i="283"/>
  <c r="O18" i="283" s="1"/>
  <c r="P16" i="283"/>
  <c r="O23" i="283"/>
  <c r="O30" i="283" s="1"/>
  <c r="O21" i="283"/>
  <c r="O28" i="283" s="1"/>
  <c r="N21" i="259"/>
  <c r="N28" i="259" s="1"/>
  <c r="N23" i="259"/>
  <c r="N30" i="259" s="1"/>
  <c r="N17" i="259"/>
  <c r="N18" i="259" s="1"/>
  <c r="O16" i="259"/>
  <c r="N21" i="118"/>
  <c r="N28" i="118" s="1"/>
  <c r="N23" i="118"/>
  <c r="N30" i="118" s="1"/>
  <c r="N17" i="118"/>
  <c r="N18" i="118" s="1"/>
  <c r="O16" i="118"/>
  <c r="N21" i="157"/>
  <c r="N23" i="157"/>
  <c r="N30" i="157" s="1"/>
  <c r="N17" i="157"/>
  <c r="N18" i="157" s="1"/>
  <c r="O16" i="157"/>
  <c r="N17" i="296"/>
  <c r="N18" i="296" s="1"/>
  <c r="O16" i="296"/>
  <c r="N17" i="288"/>
  <c r="N18" i="288" s="1"/>
  <c r="O16" i="288"/>
  <c r="N17" i="284"/>
  <c r="N18" i="284" s="1"/>
  <c r="O16" i="284"/>
  <c r="O17" i="249"/>
  <c r="O18" i="249" s="1"/>
  <c r="P16" i="249"/>
  <c r="N17" i="287"/>
  <c r="N18" i="287" s="1"/>
  <c r="O16" i="287"/>
  <c r="N17" i="82"/>
  <c r="N18" i="82" s="1"/>
  <c r="O16" i="82"/>
  <c r="N17" i="285"/>
  <c r="N18" i="285" s="1"/>
  <c r="O16" i="285"/>
  <c r="N23" i="285"/>
  <c r="N30" i="285" s="1"/>
  <c r="N21" i="285"/>
  <c r="N28" i="285" s="1"/>
  <c r="N17" i="247"/>
  <c r="N18" i="247" s="1"/>
  <c r="O16" i="247"/>
  <c r="N17" i="153"/>
  <c r="N18" i="153" s="1"/>
  <c r="O16" i="153"/>
  <c r="N23" i="153"/>
  <c r="N30" i="153" s="1"/>
  <c r="N21" i="153"/>
  <c r="N28" i="153" s="1"/>
  <c r="N21" i="79"/>
  <c r="N28" i="79" s="1"/>
  <c r="N23" i="79"/>
  <c r="N30" i="79" s="1"/>
  <c r="N17" i="79"/>
  <c r="N18" i="79" s="1"/>
  <c r="O16" i="79"/>
  <c r="N17" i="269"/>
  <c r="N18" i="269" s="1"/>
  <c r="O16" i="269"/>
  <c r="N21" i="263"/>
  <c r="N23" i="263"/>
  <c r="N30" i="263" s="1"/>
  <c r="N17" i="263"/>
  <c r="N18" i="263" s="1"/>
  <c r="O16" i="263"/>
  <c r="N17" i="58"/>
  <c r="N18" i="58" s="1"/>
  <c r="O16" i="58"/>
  <c r="N23" i="58"/>
  <c r="N30" i="58" s="1"/>
  <c r="N21" i="58"/>
  <c r="N17" i="219"/>
  <c r="N18" i="219" s="1"/>
  <c r="O16" i="219"/>
  <c r="N23" i="219"/>
  <c r="N21" i="219"/>
  <c r="N28" i="219" s="1"/>
  <c r="N17" i="286"/>
  <c r="N18" i="286" s="1"/>
  <c r="O16" i="286"/>
  <c r="N23" i="286"/>
  <c r="N30" i="286" s="1"/>
  <c r="N21" i="286"/>
  <c r="N28" i="286" s="1"/>
  <c r="N17" i="201"/>
  <c r="N18" i="201" s="1"/>
  <c r="O16" i="201"/>
  <c r="N23" i="201"/>
  <c r="N21" i="201"/>
  <c r="N17" i="176"/>
  <c r="N18" i="176" s="1"/>
  <c r="O16" i="176"/>
  <c r="N23" i="176"/>
  <c r="N30" i="176" s="1"/>
  <c r="N21" i="176"/>
  <c r="N28" i="176" s="1"/>
  <c r="P28" i="260" l="1"/>
  <c r="O17" i="208"/>
  <c r="O18" i="208" s="1"/>
  <c r="P16" i="208"/>
  <c r="O30" i="249"/>
  <c r="O28" i="249"/>
  <c r="N28" i="220"/>
  <c r="N30" i="291"/>
  <c r="N30" i="257"/>
  <c r="N28" i="257"/>
  <c r="N30" i="246"/>
  <c r="N30" i="294"/>
  <c r="N30" i="296"/>
  <c r="N28" i="296"/>
  <c r="N28" i="288"/>
  <c r="N30" i="288"/>
  <c r="N30" i="284"/>
  <c r="N28" i="284"/>
  <c r="N30" i="287"/>
  <c r="N28" i="287"/>
  <c r="N30" i="82"/>
  <c r="N28" i="82"/>
  <c r="N30" i="247"/>
  <c r="N28" i="247"/>
  <c r="N30" i="269"/>
  <c r="N28" i="269"/>
  <c r="N30" i="219"/>
  <c r="Q28" i="267"/>
  <c r="Q30" i="267"/>
  <c r="O30" i="235"/>
  <c r="N28" i="281"/>
  <c r="N30" i="281"/>
  <c r="N28" i="157"/>
  <c r="N28" i="290"/>
  <c r="N28" i="120"/>
  <c r="U17" i="307"/>
  <c r="U18" i="307" s="1"/>
  <c r="V16" i="307"/>
  <c r="U23" i="307"/>
  <c r="U21" i="307"/>
  <c r="N28" i="201"/>
  <c r="N30" i="201"/>
  <c r="N28" i="191"/>
  <c r="N28" i="279"/>
  <c r="N28" i="58"/>
  <c r="N28" i="272"/>
  <c r="Q17" i="306"/>
  <c r="Q18" i="306" s="1"/>
  <c r="R16" i="306"/>
  <c r="Q23" i="306"/>
  <c r="Q30" i="306" s="1"/>
  <c r="Q21" i="306"/>
  <c r="Q28" i="306" s="1"/>
  <c r="N28" i="263"/>
  <c r="O21" i="293"/>
  <c r="O28" i="293" s="1"/>
  <c r="O23" i="293"/>
  <c r="O30" i="293" s="1"/>
  <c r="P16" i="293"/>
  <c r="O17" i="293"/>
  <c r="O18" i="293" s="1"/>
  <c r="Q17" i="305"/>
  <c r="Q18" i="305" s="1"/>
  <c r="R16" i="305"/>
  <c r="Q23" i="305"/>
  <c r="Q30" i="305" s="1"/>
  <c r="Q21" i="305"/>
  <c r="Q28" i="305" s="1"/>
  <c r="N28" i="160"/>
  <c r="Q17" i="304"/>
  <c r="Q18" i="304" s="1"/>
  <c r="R16" i="304"/>
  <c r="Q23" i="304"/>
  <c r="Q30" i="304" s="1"/>
  <c r="Q21" i="304"/>
  <c r="Q28" i="304" s="1"/>
  <c r="Q17" i="303"/>
  <c r="Q18" i="303" s="1"/>
  <c r="R16" i="303"/>
  <c r="Q23" i="303"/>
  <c r="Q30" i="303" s="1"/>
  <c r="Q21" i="303"/>
  <c r="Q28" i="303" s="1"/>
  <c r="P21" i="302"/>
  <c r="P28" i="302" s="1"/>
  <c r="P23" i="302"/>
  <c r="P30" i="302" s="1"/>
  <c r="P17" i="302"/>
  <c r="P18" i="302" s="1"/>
  <c r="Q16" i="302"/>
  <c r="Q17" i="301"/>
  <c r="Q18" i="301" s="1"/>
  <c r="R16" i="301"/>
  <c r="Q23" i="301"/>
  <c r="Q30" i="301" s="1"/>
  <c r="Q21" i="301"/>
  <c r="Q28" i="301" s="1"/>
  <c r="P17" i="300"/>
  <c r="P18" i="300" s="1"/>
  <c r="Q16" i="300"/>
  <c r="P21" i="300"/>
  <c r="P28" i="300" s="1"/>
  <c r="P23" i="300"/>
  <c r="P30" i="300" s="1"/>
  <c r="N28" i="289"/>
  <c r="P17" i="299"/>
  <c r="P18" i="299" s="1"/>
  <c r="Q16" i="299"/>
  <c r="P21" i="299"/>
  <c r="P28" i="299" s="1"/>
  <c r="P23" i="299"/>
  <c r="P30" i="299" s="1"/>
  <c r="R17" i="267"/>
  <c r="R18" i="267" s="1"/>
  <c r="S16" i="267"/>
  <c r="R23" i="267"/>
  <c r="R30" i="267" s="1"/>
  <c r="R21" i="267"/>
  <c r="R28" i="267" s="1"/>
  <c r="O17" i="245"/>
  <c r="O18" i="245" s="1"/>
  <c r="P16" i="245"/>
  <c r="O23" i="245"/>
  <c r="O30" i="245" s="1"/>
  <c r="O21" i="245"/>
  <c r="O28" i="245" s="1"/>
  <c r="P17" i="276"/>
  <c r="P18" i="276" s="1"/>
  <c r="Q16" i="276"/>
  <c r="P23" i="276"/>
  <c r="P30" i="276" s="1"/>
  <c r="P21" i="276"/>
  <c r="P28" i="276" s="1"/>
  <c r="O17" i="213"/>
  <c r="O18" i="213" s="1"/>
  <c r="P16" i="213"/>
  <c r="O23" i="213"/>
  <c r="O30" i="213" s="1"/>
  <c r="O21" i="213"/>
  <c r="O28" i="213" s="1"/>
  <c r="O17" i="271"/>
  <c r="O18" i="271" s="1"/>
  <c r="P16" i="271"/>
  <c r="O30" i="271"/>
  <c r="O28" i="271"/>
  <c r="O17" i="272"/>
  <c r="O18" i="272" s="1"/>
  <c r="P16" i="272"/>
  <c r="O23" i="272"/>
  <c r="O30" i="272" s="1"/>
  <c r="O21" i="272"/>
  <c r="O28" i="272" s="1"/>
  <c r="O17" i="290"/>
  <c r="O18" i="290" s="1"/>
  <c r="P16" i="290"/>
  <c r="O23" i="290"/>
  <c r="O30" i="290" s="1"/>
  <c r="O21" i="290"/>
  <c r="O17" i="191"/>
  <c r="O18" i="191" s="1"/>
  <c r="P16" i="191"/>
  <c r="O23" i="191"/>
  <c r="O21" i="191"/>
  <c r="O28" i="191" s="1"/>
  <c r="O17" i="275"/>
  <c r="O18" i="275" s="1"/>
  <c r="P16" i="275"/>
  <c r="O23" i="275"/>
  <c r="O30" i="275" s="1"/>
  <c r="O21" i="275"/>
  <c r="O28" i="275" s="1"/>
  <c r="O17" i="289"/>
  <c r="O18" i="289" s="1"/>
  <c r="P16" i="289"/>
  <c r="O23" i="289"/>
  <c r="O30" i="289" s="1"/>
  <c r="O21" i="289"/>
  <c r="O28" i="289" s="1"/>
  <c r="O17" i="217"/>
  <c r="O18" i="217" s="1"/>
  <c r="P16" i="217"/>
  <c r="O23" i="217"/>
  <c r="O30" i="217" s="1"/>
  <c r="O21" i="217"/>
  <c r="O28" i="217" s="1"/>
  <c r="O17" i="298"/>
  <c r="O18" i="298" s="1"/>
  <c r="P16" i="298"/>
  <c r="O23" i="298"/>
  <c r="O30" i="298" s="1"/>
  <c r="O21" i="298"/>
  <c r="O28" i="298" s="1"/>
  <c r="O17" i="220"/>
  <c r="O18" i="220" s="1"/>
  <c r="P16" i="220"/>
  <c r="O17" i="291"/>
  <c r="O18" i="291" s="1"/>
  <c r="P16" i="291"/>
  <c r="P17" i="195"/>
  <c r="P18" i="195" s="1"/>
  <c r="Q16" i="195"/>
  <c r="P23" i="195"/>
  <c r="P30" i="195" s="1"/>
  <c r="P21" i="195"/>
  <c r="P28" i="195" s="1"/>
  <c r="O17" i="261"/>
  <c r="O18" i="261" s="1"/>
  <c r="P16" i="261"/>
  <c r="O23" i="261"/>
  <c r="O30" i="261" s="1"/>
  <c r="O21" i="261"/>
  <c r="O28" i="261" s="1"/>
  <c r="O17" i="257"/>
  <c r="O18" i="257" s="1"/>
  <c r="P16" i="257"/>
  <c r="P17" i="242"/>
  <c r="P18" i="242" s="1"/>
  <c r="Q16" i="242"/>
  <c r="P21" i="242"/>
  <c r="P28" i="242" s="1"/>
  <c r="P23" i="242"/>
  <c r="P30" i="242" s="1"/>
  <c r="O17" i="123"/>
  <c r="O18" i="123" s="1"/>
  <c r="P16" i="123"/>
  <c r="O23" i="123"/>
  <c r="O30" i="123" s="1"/>
  <c r="O21" i="123"/>
  <c r="O28" i="123" s="1"/>
  <c r="O17" i="188"/>
  <c r="O18" i="188" s="1"/>
  <c r="P16" i="188"/>
  <c r="O23" i="188"/>
  <c r="O30" i="188" s="1"/>
  <c r="O21" i="188"/>
  <c r="O28" i="188" s="1"/>
  <c r="P21" i="235"/>
  <c r="P23" i="235"/>
  <c r="P17" i="235"/>
  <c r="P18" i="235" s="1"/>
  <c r="Q16" i="235"/>
  <c r="O17" i="246"/>
  <c r="O18" i="246" s="1"/>
  <c r="P16" i="246"/>
  <c r="O17" i="281"/>
  <c r="O18" i="281" s="1"/>
  <c r="P16" i="281"/>
  <c r="O30" i="281"/>
  <c r="O17" i="295"/>
  <c r="O18" i="295" s="1"/>
  <c r="P16" i="295"/>
  <c r="O17" i="241"/>
  <c r="O18" i="241" s="1"/>
  <c r="P16" i="241"/>
  <c r="O23" i="241"/>
  <c r="O30" i="241" s="1"/>
  <c r="O21" i="241"/>
  <c r="O28" i="241" s="1"/>
  <c r="O17" i="297"/>
  <c r="O18" i="297" s="1"/>
  <c r="P16" i="297"/>
  <c r="O23" i="297"/>
  <c r="O30" i="297" s="1"/>
  <c r="O21" i="297"/>
  <c r="O28" i="297" s="1"/>
  <c r="O17" i="161"/>
  <c r="O18" i="161" s="1"/>
  <c r="P16" i="161"/>
  <c r="O23" i="161"/>
  <c r="O30" i="161" s="1"/>
  <c r="O21" i="161"/>
  <c r="O28" i="161" s="1"/>
  <c r="O17" i="202"/>
  <c r="O18" i="202" s="1"/>
  <c r="P16" i="202"/>
  <c r="O23" i="202"/>
  <c r="O30" i="202" s="1"/>
  <c r="O21" i="202"/>
  <c r="O28" i="202" s="1"/>
  <c r="Q17" i="260"/>
  <c r="Q18" i="260" s="1"/>
  <c r="R16" i="260"/>
  <c r="Q23" i="260"/>
  <c r="Q21" i="260"/>
  <c r="O17" i="120"/>
  <c r="O18" i="120" s="1"/>
  <c r="P16" i="120"/>
  <c r="O23" i="120"/>
  <c r="O30" i="120" s="1"/>
  <c r="O21" i="120"/>
  <c r="O17" i="160"/>
  <c r="O18" i="160" s="1"/>
  <c r="P16" i="160"/>
  <c r="O23" i="160"/>
  <c r="O30" i="160" s="1"/>
  <c r="O21" i="160"/>
  <c r="O28" i="160" s="1"/>
  <c r="O17" i="279"/>
  <c r="O18" i="279" s="1"/>
  <c r="P16" i="279"/>
  <c r="O23" i="279"/>
  <c r="O30" i="279" s="1"/>
  <c r="O21" i="279"/>
  <c r="O28" i="279" s="1"/>
  <c r="O17" i="119"/>
  <c r="O18" i="119" s="1"/>
  <c r="P16" i="119"/>
  <c r="O23" i="119"/>
  <c r="O30" i="119" s="1"/>
  <c r="O21" i="119"/>
  <c r="O28" i="119" s="1"/>
  <c r="O17" i="264"/>
  <c r="O18" i="264" s="1"/>
  <c r="P16" i="264"/>
  <c r="O23" i="264"/>
  <c r="O30" i="264" s="1"/>
  <c r="O21" i="264"/>
  <c r="O28" i="264" s="1"/>
  <c r="O17" i="294"/>
  <c r="O18" i="294" s="1"/>
  <c r="P16" i="294"/>
  <c r="O17" i="159"/>
  <c r="O18" i="159" s="1"/>
  <c r="P16" i="159"/>
  <c r="O23" i="159"/>
  <c r="O30" i="159" s="1"/>
  <c r="O21" i="159"/>
  <c r="O28" i="159" s="1"/>
  <c r="O17" i="163"/>
  <c r="O18" i="163" s="1"/>
  <c r="P16" i="163"/>
  <c r="O23" i="163"/>
  <c r="O30" i="163" s="1"/>
  <c r="O21" i="163"/>
  <c r="O28" i="163" s="1"/>
  <c r="P17" i="283"/>
  <c r="P18" i="283" s="1"/>
  <c r="Q16" i="283"/>
  <c r="P23" i="283"/>
  <c r="P30" i="283" s="1"/>
  <c r="P21" i="283"/>
  <c r="P28" i="283" s="1"/>
  <c r="O17" i="259"/>
  <c r="O18" i="259" s="1"/>
  <c r="P16" i="259"/>
  <c r="O23" i="259"/>
  <c r="O30" i="259" s="1"/>
  <c r="O21" i="259"/>
  <c r="O28" i="259" s="1"/>
  <c r="O17" i="118"/>
  <c r="O18" i="118" s="1"/>
  <c r="P16" i="118"/>
  <c r="O23" i="118"/>
  <c r="O30" i="118" s="1"/>
  <c r="O21" i="118"/>
  <c r="O28" i="118" s="1"/>
  <c r="O17" i="157"/>
  <c r="O18" i="157" s="1"/>
  <c r="P16" i="157"/>
  <c r="O23" i="157"/>
  <c r="O21" i="157"/>
  <c r="O28" i="157" s="1"/>
  <c r="O17" i="296"/>
  <c r="O18" i="296" s="1"/>
  <c r="P16" i="296"/>
  <c r="O17" i="288"/>
  <c r="O18" i="288" s="1"/>
  <c r="P16" i="288"/>
  <c r="O17" i="284"/>
  <c r="O18" i="284" s="1"/>
  <c r="P16" i="284"/>
  <c r="P17" i="249"/>
  <c r="P18" i="249" s="1"/>
  <c r="Q16" i="249"/>
  <c r="P30" i="249"/>
  <c r="P28" i="249"/>
  <c r="O17" i="287"/>
  <c r="O18" i="287" s="1"/>
  <c r="P16" i="287"/>
  <c r="O17" i="82"/>
  <c r="O18" i="82" s="1"/>
  <c r="P16" i="82"/>
  <c r="O17" i="285"/>
  <c r="O18" i="285" s="1"/>
  <c r="P16" i="285"/>
  <c r="O23" i="285"/>
  <c r="O30" i="285" s="1"/>
  <c r="O21" i="285"/>
  <c r="O28" i="285" s="1"/>
  <c r="O17" i="247"/>
  <c r="O18" i="247" s="1"/>
  <c r="P16" i="247"/>
  <c r="O17" i="153"/>
  <c r="O18" i="153" s="1"/>
  <c r="P16" i="153"/>
  <c r="O23" i="153"/>
  <c r="O30" i="153" s="1"/>
  <c r="O21" i="153"/>
  <c r="O28" i="153" s="1"/>
  <c r="O17" i="79"/>
  <c r="O18" i="79" s="1"/>
  <c r="P16" i="79"/>
  <c r="O23" i="79"/>
  <c r="O30" i="79" s="1"/>
  <c r="O21" i="79"/>
  <c r="O28" i="79" s="1"/>
  <c r="O17" i="269"/>
  <c r="O18" i="269" s="1"/>
  <c r="P16" i="269"/>
  <c r="O17" i="263"/>
  <c r="O18" i="263" s="1"/>
  <c r="P16" i="263"/>
  <c r="O23" i="263"/>
  <c r="O30" i="263" s="1"/>
  <c r="O21" i="263"/>
  <c r="O28" i="263" s="1"/>
  <c r="O17" i="58"/>
  <c r="O18" i="58" s="1"/>
  <c r="P16" i="58"/>
  <c r="O23" i="58"/>
  <c r="O30" i="58" s="1"/>
  <c r="O21" i="58"/>
  <c r="O28" i="58" s="1"/>
  <c r="O17" i="219"/>
  <c r="O18" i="219" s="1"/>
  <c r="P16" i="219"/>
  <c r="O23" i="219"/>
  <c r="O30" i="219" s="1"/>
  <c r="O21" i="219"/>
  <c r="O17" i="286"/>
  <c r="O18" i="286" s="1"/>
  <c r="P16" i="286"/>
  <c r="O23" i="286"/>
  <c r="O30" i="286" s="1"/>
  <c r="O21" i="286"/>
  <c r="O28" i="286" s="1"/>
  <c r="O17" i="201"/>
  <c r="O18" i="201" s="1"/>
  <c r="P16" i="201"/>
  <c r="O23" i="201"/>
  <c r="O21" i="201"/>
  <c r="O28" i="201" s="1"/>
  <c r="O17" i="176"/>
  <c r="O18" i="176" s="1"/>
  <c r="P16" i="176"/>
  <c r="O23" i="176"/>
  <c r="O30" i="176" s="1"/>
  <c r="O21" i="176"/>
  <c r="O28" i="176" s="1"/>
  <c r="AK49" i="72"/>
  <c r="J49" i="72" s="1"/>
  <c r="B49" i="72"/>
  <c r="A49" i="72"/>
  <c r="B49" i="76"/>
  <c r="A49" i="76"/>
  <c r="M49" i="4"/>
  <c r="K49" i="72" s="1"/>
  <c r="L49" i="72" s="1"/>
  <c r="J49" i="4"/>
  <c r="H49" i="4"/>
  <c r="D49" i="4"/>
  <c r="Q28" i="260" l="1"/>
  <c r="Q30" i="260"/>
  <c r="Q30" i="249"/>
  <c r="Q28" i="249"/>
  <c r="O30" i="208"/>
  <c r="O28" i="208"/>
  <c r="P17" i="208"/>
  <c r="P18" i="208" s="1"/>
  <c r="Q16" i="208"/>
  <c r="P30" i="208"/>
  <c r="P28" i="208"/>
  <c r="O28" i="220"/>
  <c r="O30" i="220"/>
  <c r="O30" i="291"/>
  <c r="O28" i="291"/>
  <c r="O28" i="257"/>
  <c r="O30" i="257"/>
  <c r="O30" i="246"/>
  <c r="O28" i="246"/>
  <c r="P30" i="246"/>
  <c r="P28" i="295"/>
  <c r="O28" i="295"/>
  <c r="O30" i="295"/>
  <c r="O28" i="294"/>
  <c r="O30" i="294"/>
  <c r="O30" i="296"/>
  <c r="O28" i="296"/>
  <c r="O28" i="288"/>
  <c r="O30" i="288"/>
  <c r="O30" i="284"/>
  <c r="O28" i="284"/>
  <c r="O30" i="287"/>
  <c r="O28" i="287"/>
  <c r="P28" i="82"/>
  <c r="O30" i="82"/>
  <c r="O28" i="82"/>
  <c r="O28" i="247"/>
  <c r="O30" i="247"/>
  <c r="O28" i="269"/>
  <c r="O30" i="269"/>
  <c r="O28" i="219"/>
  <c r="P28" i="235"/>
  <c r="P30" i="235"/>
  <c r="O28" i="281"/>
  <c r="O30" i="157"/>
  <c r="O28" i="290"/>
  <c r="O28" i="120"/>
  <c r="V17" i="307"/>
  <c r="V18" i="307" s="1"/>
  <c r="W16" i="307"/>
  <c r="V23" i="307"/>
  <c r="V21" i="307"/>
  <c r="O30" i="201"/>
  <c r="O30" i="191"/>
  <c r="R17" i="306"/>
  <c r="R18" i="306" s="1"/>
  <c r="S16" i="306"/>
  <c r="R23" i="306"/>
  <c r="R30" i="306" s="1"/>
  <c r="R21" i="306"/>
  <c r="R28" i="306" s="1"/>
  <c r="P23" i="293"/>
  <c r="P30" i="293" s="1"/>
  <c r="P21" i="293"/>
  <c r="P28" i="293" s="1"/>
  <c r="Q16" i="293"/>
  <c r="P17" i="293"/>
  <c r="P18" i="293" s="1"/>
  <c r="R17" i="305"/>
  <c r="R18" i="305" s="1"/>
  <c r="S16" i="305"/>
  <c r="R23" i="305"/>
  <c r="R30" i="305" s="1"/>
  <c r="R21" i="305"/>
  <c r="R28" i="305" s="1"/>
  <c r="R17" i="304"/>
  <c r="R18" i="304" s="1"/>
  <c r="S16" i="304"/>
  <c r="R23" i="304"/>
  <c r="R30" i="304" s="1"/>
  <c r="R21" i="304"/>
  <c r="R28" i="304" s="1"/>
  <c r="R17" i="303"/>
  <c r="R18" i="303" s="1"/>
  <c r="S16" i="303"/>
  <c r="R23" i="303"/>
  <c r="R30" i="303" s="1"/>
  <c r="R21" i="303"/>
  <c r="R28" i="303" s="1"/>
  <c r="Q17" i="302"/>
  <c r="Q18" i="302" s="1"/>
  <c r="R16" i="302"/>
  <c r="Q23" i="302"/>
  <c r="Q30" i="302" s="1"/>
  <c r="Q21" i="302"/>
  <c r="Q28" i="302" s="1"/>
  <c r="R17" i="301"/>
  <c r="R18" i="301" s="1"/>
  <c r="S16" i="301"/>
  <c r="R21" i="301"/>
  <c r="R28" i="301" s="1"/>
  <c r="R23" i="301"/>
  <c r="R30" i="301" s="1"/>
  <c r="Q17" i="300"/>
  <c r="Q18" i="300" s="1"/>
  <c r="R16" i="300"/>
  <c r="Q23" i="300"/>
  <c r="Q30" i="300" s="1"/>
  <c r="Q21" i="300"/>
  <c r="Q28" i="300" s="1"/>
  <c r="Q17" i="299"/>
  <c r="Q18" i="299" s="1"/>
  <c r="R16" i="299"/>
  <c r="Q23" i="299"/>
  <c r="Q30" i="299" s="1"/>
  <c r="Q21" i="299"/>
  <c r="Q28" i="299" s="1"/>
  <c r="S17" i="267"/>
  <c r="S18" i="267" s="1"/>
  <c r="T16" i="267"/>
  <c r="S23" i="267"/>
  <c r="S30" i="267" s="1"/>
  <c r="S21" i="267"/>
  <c r="P23" i="245"/>
  <c r="P30" i="245" s="1"/>
  <c r="P21" i="245"/>
  <c r="P28" i="245" s="1"/>
  <c r="P17" i="245"/>
  <c r="P18" i="245" s="1"/>
  <c r="Q16" i="245"/>
  <c r="Q17" i="276"/>
  <c r="Q18" i="276" s="1"/>
  <c r="R16" i="276"/>
  <c r="Q23" i="276"/>
  <c r="Q30" i="276" s="1"/>
  <c r="Q21" i="276"/>
  <c r="Q28" i="276" s="1"/>
  <c r="P23" i="213"/>
  <c r="P30" i="213" s="1"/>
  <c r="P21" i="213"/>
  <c r="P28" i="213" s="1"/>
  <c r="P17" i="213"/>
  <c r="P18" i="213" s="1"/>
  <c r="Q16" i="213"/>
  <c r="P17" i="271"/>
  <c r="P18" i="271" s="1"/>
  <c r="Q16" i="271"/>
  <c r="P28" i="271"/>
  <c r="P30" i="271"/>
  <c r="P23" i="272"/>
  <c r="P30" i="272" s="1"/>
  <c r="P21" i="272"/>
  <c r="P28" i="272" s="1"/>
  <c r="P17" i="272"/>
  <c r="P18" i="272" s="1"/>
  <c r="Q16" i="272"/>
  <c r="P17" i="290"/>
  <c r="P18" i="290" s="1"/>
  <c r="Q16" i="290"/>
  <c r="P23" i="290"/>
  <c r="P30" i="290" s="1"/>
  <c r="P21" i="290"/>
  <c r="P23" i="191"/>
  <c r="P30" i="191" s="1"/>
  <c r="P21" i="191"/>
  <c r="P28" i="191" s="1"/>
  <c r="P17" i="191"/>
  <c r="P18" i="191" s="1"/>
  <c r="Q16" i="191"/>
  <c r="P23" i="275"/>
  <c r="P30" i="275" s="1"/>
  <c r="P21" i="275"/>
  <c r="P28" i="275" s="1"/>
  <c r="P17" i="275"/>
  <c r="P18" i="275" s="1"/>
  <c r="Q16" i="275"/>
  <c r="P23" i="289"/>
  <c r="P30" i="289" s="1"/>
  <c r="P21" i="289"/>
  <c r="P28" i="289" s="1"/>
  <c r="P17" i="289"/>
  <c r="P18" i="289" s="1"/>
  <c r="Q16" i="289"/>
  <c r="P17" i="217"/>
  <c r="P18" i="217" s="1"/>
  <c r="Q16" i="217"/>
  <c r="P23" i="217"/>
  <c r="P30" i="217" s="1"/>
  <c r="P21" i="217"/>
  <c r="P28" i="217" s="1"/>
  <c r="P17" i="298"/>
  <c r="P18" i="298" s="1"/>
  <c r="Q16" i="298"/>
  <c r="P23" i="298"/>
  <c r="P30" i="298" s="1"/>
  <c r="P21" i="298"/>
  <c r="P28" i="298" s="1"/>
  <c r="P17" i="220"/>
  <c r="P18" i="220" s="1"/>
  <c r="Q16" i="220"/>
  <c r="P17" i="291"/>
  <c r="P18" i="291" s="1"/>
  <c r="Q16" i="291"/>
  <c r="Q17" i="195"/>
  <c r="Q18" i="195" s="1"/>
  <c r="R16" i="195"/>
  <c r="Q23" i="195"/>
  <c r="Q30" i="195" s="1"/>
  <c r="Q21" i="195"/>
  <c r="Q28" i="195" s="1"/>
  <c r="P17" i="261"/>
  <c r="P18" i="261" s="1"/>
  <c r="Q16" i="261"/>
  <c r="P21" i="261"/>
  <c r="P28" i="261" s="1"/>
  <c r="P23" i="261"/>
  <c r="P30" i="261" s="1"/>
  <c r="P17" i="257"/>
  <c r="P18" i="257" s="1"/>
  <c r="Q16" i="257"/>
  <c r="Q17" i="242"/>
  <c r="Q18" i="242" s="1"/>
  <c r="R16" i="242"/>
  <c r="Q23" i="242"/>
  <c r="Q30" i="242" s="1"/>
  <c r="Q21" i="242"/>
  <c r="Q28" i="242" s="1"/>
  <c r="P17" i="123"/>
  <c r="P18" i="123" s="1"/>
  <c r="Q16" i="123"/>
  <c r="P21" i="123"/>
  <c r="P28" i="123" s="1"/>
  <c r="P23" i="123"/>
  <c r="P30" i="123" s="1"/>
  <c r="P17" i="188"/>
  <c r="P18" i="188" s="1"/>
  <c r="Q16" i="188"/>
  <c r="P21" i="188"/>
  <c r="P28" i="188" s="1"/>
  <c r="P23" i="188"/>
  <c r="P30" i="188" s="1"/>
  <c r="Q23" i="235"/>
  <c r="Q21" i="235"/>
  <c r="Q28" i="235" s="1"/>
  <c r="Q17" i="235"/>
  <c r="Q18" i="235" s="1"/>
  <c r="R16" i="235"/>
  <c r="P17" i="246"/>
  <c r="P18" i="246" s="1"/>
  <c r="Q16" i="246"/>
  <c r="P28" i="281"/>
  <c r="P17" i="281"/>
  <c r="P18" i="281" s="1"/>
  <c r="Q16" i="281"/>
  <c r="P17" i="295"/>
  <c r="P18" i="295" s="1"/>
  <c r="Q16" i="295"/>
  <c r="P23" i="241"/>
  <c r="P30" i="241" s="1"/>
  <c r="P21" i="241"/>
  <c r="P28" i="241" s="1"/>
  <c r="P17" i="241"/>
  <c r="P18" i="241" s="1"/>
  <c r="Q16" i="241"/>
  <c r="P17" i="297"/>
  <c r="P18" i="297" s="1"/>
  <c r="Q16" i="297"/>
  <c r="P23" i="297"/>
  <c r="P30" i="297" s="1"/>
  <c r="P21" i="297"/>
  <c r="P28" i="297" s="1"/>
  <c r="P23" i="161"/>
  <c r="P30" i="161" s="1"/>
  <c r="P21" i="161"/>
  <c r="P28" i="161" s="1"/>
  <c r="P17" i="161"/>
  <c r="P18" i="161" s="1"/>
  <c r="Q16" i="161"/>
  <c r="P17" i="202"/>
  <c r="P18" i="202" s="1"/>
  <c r="Q16" i="202"/>
  <c r="P21" i="202"/>
  <c r="P28" i="202" s="1"/>
  <c r="P23" i="202"/>
  <c r="P30" i="202" s="1"/>
  <c r="R17" i="260"/>
  <c r="R18" i="260" s="1"/>
  <c r="S16" i="260"/>
  <c r="R23" i="260"/>
  <c r="R21" i="260"/>
  <c r="P17" i="120"/>
  <c r="P18" i="120" s="1"/>
  <c r="Q16" i="120"/>
  <c r="P21" i="120"/>
  <c r="P28" i="120" s="1"/>
  <c r="P23" i="120"/>
  <c r="P30" i="120" s="1"/>
  <c r="P17" i="160"/>
  <c r="P18" i="160" s="1"/>
  <c r="Q16" i="160"/>
  <c r="P21" i="160"/>
  <c r="P28" i="160" s="1"/>
  <c r="P23" i="160"/>
  <c r="P30" i="160" s="1"/>
  <c r="P23" i="279"/>
  <c r="P30" i="279" s="1"/>
  <c r="P21" i="279"/>
  <c r="P28" i="279" s="1"/>
  <c r="P17" i="279"/>
  <c r="P18" i="279" s="1"/>
  <c r="Q16" i="279"/>
  <c r="P23" i="119"/>
  <c r="P30" i="119" s="1"/>
  <c r="P21" i="119"/>
  <c r="P28" i="119" s="1"/>
  <c r="P17" i="119"/>
  <c r="P18" i="119" s="1"/>
  <c r="Q16" i="119"/>
  <c r="P23" i="264"/>
  <c r="P30" i="264" s="1"/>
  <c r="P21" i="264"/>
  <c r="P28" i="264" s="1"/>
  <c r="P17" i="264"/>
  <c r="P18" i="264" s="1"/>
  <c r="Q16" i="264"/>
  <c r="P17" i="294"/>
  <c r="P18" i="294" s="1"/>
  <c r="Q16" i="294"/>
  <c r="P23" i="159"/>
  <c r="P30" i="159" s="1"/>
  <c r="P21" i="159"/>
  <c r="P28" i="159" s="1"/>
  <c r="P17" i="159"/>
  <c r="P18" i="159" s="1"/>
  <c r="Q16" i="159"/>
  <c r="P23" i="163"/>
  <c r="P30" i="163" s="1"/>
  <c r="P21" i="163"/>
  <c r="P28" i="163" s="1"/>
  <c r="P17" i="163"/>
  <c r="P18" i="163" s="1"/>
  <c r="Q16" i="163"/>
  <c r="Q17" i="283"/>
  <c r="Q18" i="283" s="1"/>
  <c r="R16" i="283"/>
  <c r="Q23" i="283"/>
  <c r="Q30" i="283" s="1"/>
  <c r="Q21" i="283"/>
  <c r="Q28" i="283" s="1"/>
  <c r="P23" i="259"/>
  <c r="P30" i="259" s="1"/>
  <c r="P21" i="259"/>
  <c r="P28" i="259" s="1"/>
  <c r="P17" i="259"/>
  <c r="P18" i="259" s="1"/>
  <c r="Q16" i="259"/>
  <c r="P23" i="118"/>
  <c r="P30" i="118" s="1"/>
  <c r="P21" i="118"/>
  <c r="P28" i="118" s="1"/>
  <c r="P17" i="118"/>
  <c r="P18" i="118" s="1"/>
  <c r="Q16" i="118"/>
  <c r="P23" i="157"/>
  <c r="P21" i="157"/>
  <c r="P28" i="157" s="1"/>
  <c r="P17" i="157"/>
  <c r="P18" i="157" s="1"/>
  <c r="Q16" i="157"/>
  <c r="P17" i="296"/>
  <c r="P18" i="296" s="1"/>
  <c r="Q16" i="296"/>
  <c r="P17" i="288"/>
  <c r="P18" i="288" s="1"/>
  <c r="Q16" i="288"/>
  <c r="P17" i="284"/>
  <c r="P18" i="284" s="1"/>
  <c r="Q16" i="284"/>
  <c r="Q17" i="249"/>
  <c r="Q18" i="249" s="1"/>
  <c r="R16" i="249"/>
  <c r="P30" i="287"/>
  <c r="P17" i="287"/>
  <c r="P18" i="287" s="1"/>
  <c r="Q16" i="287"/>
  <c r="P17" i="82"/>
  <c r="P18" i="82" s="1"/>
  <c r="Q16" i="82"/>
  <c r="P17" i="285"/>
  <c r="P18" i="285" s="1"/>
  <c r="Q16" i="285"/>
  <c r="P21" i="285"/>
  <c r="P28" i="285" s="1"/>
  <c r="P23" i="285"/>
  <c r="P30" i="285" s="1"/>
  <c r="P17" i="247"/>
  <c r="P18" i="247" s="1"/>
  <c r="Q16" i="247"/>
  <c r="P17" i="153"/>
  <c r="P18" i="153" s="1"/>
  <c r="Q16" i="153"/>
  <c r="P21" i="153"/>
  <c r="P28" i="153" s="1"/>
  <c r="P23" i="153"/>
  <c r="P30" i="153" s="1"/>
  <c r="P23" i="79"/>
  <c r="P30" i="79" s="1"/>
  <c r="P21" i="79"/>
  <c r="P28" i="79" s="1"/>
  <c r="P17" i="79"/>
  <c r="P18" i="79" s="1"/>
  <c r="Q16" i="79"/>
  <c r="P17" i="269"/>
  <c r="P18" i="269" s="1"/>
  <c r="Q16" i="269"/>
  <c r="P23" i="263"/>
  <c r="P30" i="263" s="1"/>
  <c r="P21" i="263"/>
  <c r="P28" i="263" s="1"/>
  <c r="P17" i="263"/>
  <c r="P18" i="263" s="1"/>
  <c r="Q16" i="263"/>
  <c r="P17" i="58"/>
  <c r="P18" i="58" s="1"/>
  <c r="Q16" i="58"/>
  <c r="P21" i="58"/>
  <c r="P28" i="58" s="1"/>
  <c r="P23" i="58"/>
  <c r="P30" i="58" s="1"/>
  <c r="P17" i="219"/>
  <c r="P18" i="219" s="1"/>
  <c r="Q16" i="219"/>
  <c r="P21" i="219"/>
  <c r="P23" i="219"/>
  <c r="P17" i="286"/>
  <c r="P18" i="286" s="1"/>
  <c r="Q16" i="286"/>
  <c r="P21" i="286"/>
  <c r="P28" i="286" s="1"/>
  <c r="P23" i="286"/>
  <c r="P30" i="286" s="1"/>
  <c r="P17" i="201"/>
  <c r="P18" i="201" s="1"/>
  <c r="Q16" i="201"/>
  <c r="P21" i="201"/>
  <c r="P28" i="201" s="1"/>
  <c r="P23" i="201"/>
  <c r="P17" i="176"/>
  <c r="P18" i="176" s="1"/>
  <c r="Q16" i="176"/>
  <c r="P21" i="176"/>
  <c r="P28" i="176" s="1"/>
  <c r="P23" i="176"/>
  <c r="P30" i="176" s="1"/>
  <c r="L49" i="76"/>
  <c r="D49" i="76"/>
  <c r="M49" i="72"/>
  <c r="R28" i="260" l="1"/>
  <c r="R30" i="260"/>
  <c r="P28" i="220"/>
  <c r="P30" i="220"/>
  <c r="P30" i="291"/>
  <c r="Q28" i="291"/>
  <c r="Q30" i="291"/>
  <c r="P28" i="291"/>
  <c r="P28" i="257"/>
  <c r="P30" i="257"/>
  <c r="Q28" i="246"/>
  <c r="P28" i="246"/>
  <c r="P30" i="295"/>
  <c r="P28" i="294"/>
  <c r="P30" i="294"/>
  <c r="P28" i="296"/>
  <c r="Q28" i="296"/>
  <c r="P30" i="296"/>
  <c r="Q28" i="288"/>
  <c r="P28" i="288"/>
  <c r="P30" i="288"/>
  <c r="P30" i="284"/>
  <c r="P28" i="284"/>
  <c r="P28" i="287"/>
  <c r="Q30" i="82"/>
  <c r="P30" i="82"/>
  <c r="P28" i="247"/>
  <c r="P30" i="247"/>
  <c r="Q28" i="269"/>
  <c r="P30" i="269"/>
  <c r="P28" i="269"/>
  <c r="R16" i="208"/>
  <c r="Q17" i="208"/>
  <c r="Q18" i="208" s="1"/>
  <c r="Q30" i="208"/>
  <c r="P30" i="219"/>
  <c r="P28" i="219"/>
  <c r="S28" i="267"/>
  <c r="Q30" i="235"/>
  <c r="P30" i="281"/>
  <c r="P30" i="157"/>
  <c r="P28" i="290"/>
  <c r="W17" i="307"/>
  <c r="W18" i="307" s="1"/>
  <c r="X16" i="307"/>
  <c r="X17" i="307" s="1"/>
  <c r="X18" i="307" s="1"/>
  <c r="I4" i="307" s="1"/>
  <c r="W23" i="307"/>
  <c r="W21" i="307"/>
  <c r="P30" i="201"/>
  <c r="S17" i="306"/>
  <c r="S18" i="306" s="1"/>
  <c r="T16" i="306"/>
  <c r="S23" i="306"/>
  <c r="S30" i="306" s="1"/>
  <c r="S21" i="306"/>
  <c r="S28" i="306" s="1"/>
  <c r="Q23" i="293"/>
  <c r="Q30" i="293" s="1"/>
  <c r="Q21" i="293"/>
  <c r="Q28" i="293" s="1"/>
  <c r="R16" i="293"/>
  <c r="Q17" i="293"/>
  <c r="Q18" i="293" s="1"/>
  <c r="S17" i="305"/>
  <c r="S18" i="305" s="1"/>
  <c r="T16" i="305"/>
  <c r="S23" i="305"/>
  <c r="S30" i="305" s="1"/>
  <c r="S21" i="305"/>
  <c r="S28" i="305" s="1"/>
  <c r="S17" i="304"/>
  <c r="S18" i="304" s="1"/>
  <c r="T16" i="304"/>
  <c r="S23" i="304"/>
  <c r="S30" i="304" s="1"/>
  <c r="S21" i="304"/>
  <c r="S28" i="304" s="1"/>
  <c r="S17" i="303"/>
  <c r="S18" i="303" s="1"/>
  <c r="T16" i="303"/>
  <c r="S23" i="303"/>
  <c r="S30" i="303" s="1"/>
  <c r="S21" i="303"/>
  <c r="S28" i="303" s="1"/>
  <c r="R17" i="302"/>
  <c r="R18" i="302" s="1"/>
  <c r="S16" i="302"/>
  <c r="R23" i="302"/>
  <c r="R30" i="302" s="1"/>
  <c r="R21" i="302"/>
  <c r="R28" i="302" s="1"/>
  <c r="S17" i="301"/>
  <c r="S18" i="301" s="1"/>
  <c r="T16" i="301"/>
  <c r="S23" i="301"/>
  <c r="S30" i="301" s="1"/>
  <c r="S21" i="301"/>
  <c r="S28" i="301" s="1"/>
  <c r="R17" i="300"/>
  <c r="R18" i="300" s="1"/>
  <c r="S16" i="300"/>
  <c r="R23" i="300"/>
  <c r="R30" i="300" s="1"/>
  <c r="R21" i="300"/>
  <c r="R28" i="300" s="1"/>
  <c r="R17" i="299"/>
  <c r="R18" i="299" s="1"/>
  <c r="S16" i="299"/>
  <c r="R23" i="299"/>
  <c r="R30" i="299" s="1"/>
  <c r="R21" i="299"/>
  <c r="R28" i="299" s="1"/>
  <c r="T17" i="267"/>
  <c r="T18" i="267" s="1"/>
  <c r="U16" i="267"/>
  <c r="T21" i="267"/>
  <c r="T28" i="267" s="1"/>
  <c r="T23" i="267"/>
  <c r="T30" i="267" s="1"/>
  <c r="Q17" i="245"/>
  <c r="Q18" i="245" s="1"/>
  <c r="R16" i="245"/>
  <c r="Q23" i="245"/>
  <c r="Q30" i="245" s="1"/>
  <c r="Q21" i="245"/>
  <c r="Q28" i="245" s="1"/>
  <c r="R17" i="276"/>
  <c r="R18" i="276" s="1"/>
  <c r="S16" i="276"/>
  <c r="R23" i="276"/>
  <c r="R30" i="276" s="1"/>
  <c r="R21" i="276"/>
  <c r="R28" i="276" s="1"/>
  <c r="Q17" i="213"/>
  <c r="Q18" i="213" s="1"/>
  <c r="R16" i="213"/>
  <c r="Q23" i="213"/>
  <c r="Q30" i="213" s="1"/>
  <c r="Q21" i="213"/>
  <c r="Q28" i="213" s="1"/>
  <c r="Q17" i="271"/>
  <c r="Q18" i="271" s="1"/>
  <c r="R16" i="271"/>
  <c r="Q30" i="271"/>
  <c r="Q28" i="271"/>
  <c r="Q17" i="272"/>
  <c r="Q18" i="272" s="1"/>
  <c r="R16" i="272"/>
  <c r="Q23" i="272"/>
  <c r="Q30" i="272" s="1"/>
  <c r="Q21" i="272"/>
  <c r="Q28" i="272" s="1"/>
  <c r="Q17" i="290"/>
  <c r="Q18" i="290" s="1"/>
  <c r="R16" i="290"/>
  <c r="Q23" i="290"/>
  <c r="Q30" i="290" s="1"/>
  <c r="Q21" i="290"/>
  <c r="Q28" i="290" s="1"/>
  <c r="Q17" i="191"/>
  <c r="Q18" i="191" s="1"/>
  <c r="R16" i="191"/>
  <c r="Q23" i="191"/>
  <c r="Q30" i="191" s="1"/>
  <c r="Q21" i="191"/>
  <c r="Q28" i="191" s="1"/>
  <c r="Q17" i="275"/>
  <c r="Q18" i="275" s="1"/>
  <c r="R16" i="275"/>
  <c r="Q23" i="275"/>
  <c r="Q30" i="275" s="1"/>
  <c r="Q21" i="275"/>
  <c r="Q28" i="275" s="1"/>
  <c r="Q17" i="289"/>
  <c r="Q18" i="289" s="1"/>
  <c r="R16" i="289"/>
  <c r="Q23" i="289"/>
  <c r="Q30" i="289" s="1"/>
  <c r="Q21" i="289"/>
  <c r="Q28" i="289" s="1"/>
  <c r="Q17" i="217"/>
  <c r="Q18" i="217" s="1"/>
  <c r="R16" i="217"/>
  <c r="Q23" i="217"/>
  <c r="Q30" i="217" s="1"/>
  <c r="Q21" i="217"/>
  <c r="Q28" i="217" s="1"/>
  <c r="Q17" i="298"/>
  <c r="Q18" i="298" s="1"/>
  <c r="R16" i="298"/>
  <c r="Q23" i="298"/>
  <c r="Q30" i="298" s="1"/>
  <c r="Q21" i="298"/>
  <c r="Q28" i="298" s="1"/>
  <c r="Q17" i="220"/>
  <c r="Q18" i="220" s="1"/>
  <c r="R16" i="220"/>
  <c r="Q17" i="291"/>
  <c r="Q18" i="291" s="1"/>
  <c r="R16" i="291"/>
  <c r="R17" i="195"/>
  <c r="R18" i="195" s="1"/>
  <c r="S16" i="195"/>
  <c r="R23" i="195"/>
  <c r="R30" i="195" s="1"/>
  <c r="R21" i="195"/>
  <c r="R28" i="195" s="1"/>
  <c r="Q17" i="261"/>
  <c r="Q18" i="261" s="1"/>
  <c r="R16" i="261"/>
  <c r="Q23" i="261"/>
  <c r="Q30" i="261" s="1"/>
  <c r="Q21" i="261"/>
  <c r="Q28" i="261" s="1"/>
  <c r="Q17" i="257"/>
  <c r="Q18" i="257" s="1"/>
  <c r="R16" i="257"/>
  <c r="R17" i="242"/>
  <c r="R18" i="242" s="1"/>
  <c r="S16" i="242"/>
  <c r="R23" i="242"/>
  <c r="R30" i="242" s="1"/>
  <c r="R21" i="242"/>
  <c r="R28" i="242" s="1"/>
  <c r="Q17" i="123"/>
  <c r="Q18" i="123" s="1"/>
  <c r="R16" i="123"/>
  <c r="Q23" i="123"/>
  <c r="Q30" i="123" s="1"/>
  <c r="Q21" i="123"/>
  <c r="Q28" i="123" s="1"/>
  <c r="Q17" i="188"/>
  <c r="Q18" i="188" s="1"/>
  <c r="R16" i="188"/>
  <c r="Q23" i="188"/>
  <c r="Q30" i="188" s="1"/>
  <c r="Q21" i="188"/>
  <c r="Q28" i="188" s="1"/>
  <c r="R23" i="235"/>
  <c r="R30" i="235" s="1"/>
  <c r="R21" i="235"/>
  <c r="R17" i="235"/>
  <c r="R18" i="235" s="1"/>
  <c r="S16" i="235"/>
  <c r="Q17" i="246"/>
  <c r="Q18" i="246" s="1"/>
  <c r="R16" i="246"/>
  <c r="Q30" i="246"/>
  <c r="Q17" i="281"/>
  <c r="Q18" i="281" s="1"/>
  <c r="R16" i="281"/>
  <c r="Q30" i="281"/>
  <c r="Q17" i="295"/>
  <c r="Q18" i="295" s="1"/>
  <c r="R16" i="295"/>
  <c r="Q17" i="241"/>
  <c r="Q18" i="241" s="1"/>
  <c r="R16" i="241"/>
  <c r="Q23" i="241"/>
  <c r="Q30" i="241" s="1"/>
  <c r="Q21" i="241"/>
  <c r="Q28" i="241" s="1"/>
  <c r="Q17" i="297"/>
  <c r="Q18" i="297" s="1"/>
  <c r="R16" i="297"/>
  <c r="Q23" i="297"/>
  <c r="Q30" i="297" s="1"/>
  <c r="Q21" i="297"/>
  <c r="Q28" i="297" s="1"/>
  <c r="Q17" i="161"/>
  <c r="Q18" i="161" s="1"/>
  <c r="R16" i="161"/>
  <c r="Q23" i="161"/>
  <c r="Q30" i="161" s="1"/>
  <c r="Q21" i="161"/>
  <c r="Q28" i="161" s="1"/>
  <c r="Q17" i="202"/>
  <c r="Q18" i="202" s="1"/>
  <c r="R16" i="202"/>
  <c r="Q23" i="202"/>
  <c r="Q30" i="202" s="1"/>
  <c r="Q21" i="202"/>
  <c r="Q28" i="202" s="1"/>
  <c r="S17" i="260"/>
  <c r="S18" i="260" s="1"/>
  <c r="T16" i="260"/>
  <c r="S23" i="260"/>
  <c r="S21" i="260"/>
  <c r="Q17" i="120"/>
  <c r="Q18" i="120" s="1"/>
  <c r="R16" i="120"/>
  <c r="Q23" i="120"/>
  <c r="Q30" i="120" s="1"/>
  <c r="Q21" i="120"/>
  <c r="Q28" i="120" s="1"/>
  <c r="Q17" i="160"/>
  <c r="Q18" i="160" s="1"/>
  <c r="R16" i="160"/>
  <c r="Q23" i="160"/>
  <c r="Q30" i="160" s="1"/>
  <c r="Q21" i="160"/>
  <c r="Q28" i="160" s="1"/>
  <c r="Q17" i="279"/>
  <c r="Q18" i="279" s="1"/>
  <c r="R16" i="279"/>
  <c r="Q23" i="279"/>
  <c r="Q30" i="279" s="1"/>
  <c r="Q21" i="279"/>
  <c r="Q28" i="279" s="1"/>
  <c r="Q17" i="119"/>
  <c r="Q18" i="119" s="1"/>
  <c r="R16" i="119"/>
  <c r="Q23" i="119"/>
  <c r="Q30" i="119" s="1"/>
  <c r="Q21" i="119"/>
  <c r="Q28" i="119" s="1"/>
  <c r="Q17" i="264"/>
  <c r="Q18" i="264" s="1"/>
  <c r="R16" i="264"/>
  <c r="Q23" i="264"/>
  <c r="Q30" i="264" s="1"/>
  <c r="Q21" i="264"/>
  <c r="Q28" i="264" s="1"/>
  <c r="Q17" i="294"/>
  <c r="Q18" i="294" s="1"/>
  <c r="R16" i="294"/>
  <c r="Q17" i="159"/>
  <c r="Q18" i="159" s="1"/>
  <c r="R16" i="159"/>
  <c r="Q23" i="159"/>
  <c r="Q30" i="159" s="1"/>
  <c r="Q21" i="159"/>
  <c r="Q28" i="159" s="1"/>
  <c r="Q17" i="163"/>
  <c r="Q18" i="163" s="1"/>
  <c r="R16" i="163"/>
  <c r="Q23" i="163"/>
  <c r="Q30" i="163" s="1"/>
  <c r="Q21" i="163"/>
  <c r="Q28" i="163" s="1"/>
  <c r="R17" i="283"/>
  <c r="R18" i="283" s="1"/>
  <c r="S16" i="283"/>
  <c r="R23" i="283"/>
  <c r="R30" i="283" s="1"/>
  <c r="R21" i="283"/>
  <c r="R28" i="283" s="1"/>
  <c r="Q17" i="259"/>
  <c r="Q18" i="259" s="1"/>
  <c r="R16" i="259"/>
  <c r="Q23" i="259"/>
  <c r="Q30" i="259" s="1"/>
  <c r="Q21" i="259"/>
  <c r="Q28" i="259" s="1"/>
  <c r="Q17" i="118"/>
  <c r="Q18" i="118" s="1"/>
  <c r="R16" i="118"/>
  <c r="Q23" i="118"/>
  <c r="Q30" i="118" s="1"/>
  <c r="Q21" i="118"/>
  <c r="Q28" i="118" s="1"/>
  <c r="Q17" i="157"/>
  <c r="Q18" i="157" s="1"/>
  <c r="R16" i="157"/>
  <c r="Q23" i="157"/>
  <c r="Q30" i="157" s="1"/>
  <c r="Q21" i="157"/>
  <c r="Q28" i="157" s="1"/>
  <c r="Q17" i="296"/>
  <c r="Q18" i="296" s="1"/>
  <c r="R16" i="296"/>
  <c r="Q17" i="288"/>
  <c r="Q18" i="288" s="1"/>
  <c r="R16" i="288"/>
  <c r="Q17" i="284"/>
  <c r="Q18" i="284" s="1"/>
  <c r="R16" i="284"/>
  <c r="R17" i="249"/>
  <c r="R18" i="249" s="1"/>
  <c r="S16" i="249"/>
  <c r="Q17" i="287"/>
  <c r="Q18" i="287" s="1"/>
  <c r="R16" i="287"/>
  <c r="Q30" i="287"/>
  <c r="Q17" i="82"/>
  <c r="Q18" i="82" s="1"/>
  <c r="R16" i="82"/>
  <c r="Q17" i="285"/>
  <c r="Q18" i="285" s="1"/>
  <c r="R16" i="285"/>
  <c r="Q23" i="285"/>
  <c r="Q30" i="285" s="1"/>
  <c r="Q21" i="285"/>
  <c r="Q28" i="285" s="1"/>
  <c r="Q17" i="247"/>
  <c r="Q18" i="247" s="1"/>
  <c r="R16" i="247"/>
  <c r="Q28" i="247"/>
  <c r="Q17" i="153"/>
  <c r="Q18" i="153" s="1"/>
  <c r="R16" i="153"/>
  <c r="Q23" i="153"/>
  <c r="Q30" i="153" s="1"/>
  <c r="Q21" i="153"/>
  <c r="Q28" i="153" s="1"/>
  <c r="Q17" i="79"/>
  <c r="Q18" i="79" s="1"/>
  <c r="R16" i="79"/>
  <c r="Q23" i="79"/>
  <c r="Q30" i="79" s="1"/>
  <c r="Q21" i="79"/>
  <c r="Q28" i="79" s="1"/>
  <c r="Q17" i="269"/>
  <c r="Q18" i="269" s="1"/>
  <c r="R16" i="269"/>
  <c r="Q17" i="263"/>
  <c r="Q18" i="263" s="1"/>
  <c r="R16" i="263"/>
  <c r="Q23" i="263"/>
  <c r="Q30" i="263" s="1"/>
  <c r="Q21" i="263"/>
  <c r="Q28" i="263" s="1"/>
  <c r="Q17" i="58"/>
  <c r="Q18" i="58" s="1"/>
  <c r="R16" i="58"/>
  <c r="Q23" i="58"/>
  <c r="Q30" i="58" s="1"/>
  <c r="Q21" i="58"/>
  <c r="Q28" i="58" s="1"/>
  <c r="Q17" i="219"/>
  <c r="Q18" i="219" s="1"/>
  <c r="R16" i="219"/>
  <c r="Q23" i="219"/>
  <c r="Q30" i="219" s="1"/>
  <c r="Q21" i="219"/>
  <c r="Q17" i="286"/>
  <c r="Q18" i="286" s="1"/>
  <c r="R16" i="286"/>
  <c r="Q23" i="286"/>
  <c r="Q30" i="286" s="1"/>
  <c r="Q21" i="286"/>
  <c r="Q28" i="286" s="1"/>
  <c r="Q17" i="201"/>
  <c r="Q18" i="201" s="1"/>
  <c r="R16" i="201"/>
  <c r="Q23" i="201"/>
  <c r="Q30" i="201" s="1"/>
  <c r="Q21" i="201"/>
  <c r="Q28" i="201" s="1"/>
  <c r="Q17" i="176"/>
  <c r="Q18" i="176" s="1"/>
  <c r="R16" i="176"/>
  <c r="Q23" i="176"/>
  <c r="Q30" i="176" s="1"/>
  <c r="Q21" i="176"/>
  <c r="Q28" i="176" s="1"/>
  <c r="AK36" i="72"/>
  <c r="J36" i="72" s="1"/>
  <c r="B36" i="72"/>
  <c r="A36" i="72"/>
  <c r="B36" i="76"/>
  <c r="A36" i="76"/>
  <c r="M36" i="4"/>
  <c r="K36" i="72" s="1"/>
  <c r="L36" i="72" s="1"/>
  <c r="J36" i="4"/>
  <c r="H36" i="4"/>
  <c r="D36" i="4"/>
  <c r="D36" i="76" s="1"/>
  <c r="R28" i="249" l="1"/>
  <c r="S28" i="249"/>
  <c r="R30" i="249"/>
  <c r="Q30" i="220"/>
  <c r="Q28" i="220"/>
  <c r="R30" i="257"/>
  <c r="Q30" i="257"/>
  <c r="Q28" i="257"/>
  <c r="Q28" i="208"/>
  <c r="Q28" i="295"/>
  <c r="Q30" i="295"/>
  <c r="Q30" i="294"/>
  <c r="Q28" i="294"/>
  <c r="Q30" i="296"/>
  <c r="Q30" i="288"/>
  <c r="Q30" i="284"/>
  <c r="Q28" i="284"/>
  <c r="Q28" i="287"/>
  <c r="Q28" i="82"/>
  <c r="Q30" i="247"/>
  <c r="Q30" i="269"/>
  <c r="S28" i="260"/>
  <c r="S30" i="260"/>
  <c r="R23" i="208"/>
  <c r="R30" i="208" s="1"/>
  <c r="R21" i="208"/>
  <c r="R28" i="208" s="1"/>
  <c r="R17" i="208"/>
  <c r="R18" i="208" s="1"/>
  <c r="S16" i="208"/>
  <c r="Q28" i="219"/>
  <c r="R28" i="235"/>
  <c r="Q28" i="281"/>
  <c r="X21" i="307"/>
  <c r="X23" i="307"/>
  <c r="T17" i="306"/>
  <c r="T18" i="306" s="1"/>
  <c r="U16" i="306"/>
  <c r="T21" i="306"/>
  <c r="T28" i="306" s="1"/>
  <c r="T23" i="306"/>
  <c r="T30" i="306" s="1"/>
  <c r="R23" i="293"/>
  <c r="R30" i="293" s="1"/>
  <c r="R21" i="293"/>
  <c r="R28" i="293" s="1"/>
  <c r="R17" i="293"/>
  <c r="R18" i="293" s="1"/>
  <c r="S16" i="293"/>
  <c r="T17" i="305"/>
  <c r="T18" i="305" s="1"/>
  <c r="U16" i="305"/>
  <c r="T21" i="305"/>
  <c r="T28" i="305" s="1"/>
  <c r="T23" i="305"/>
  <c r="T30" i="305" s="1"/>
  <c r="T17" i="304"/>
  <c r="T18" i="304" s="1"/>
  <c r="U16" i="304"/>
  <c r="T21" i="304"/>
  <c r="T28" i="304" s="1"/>
  <c r="T23" i="304"/>
  <c r="T30" i="304" s="1"/>
  <c r="T17" i="303"/>
  <c r="T18" i="303" s="1"/>
  <c r="U16" i="303"/>
  <c r="T21" i="303"/>
  <c r="T28" i="303" s="1"/>
  <c r="T23" i="303"/>
  <c r="T30" i="303" s="1"/>
  <c r="S17" i="302"/>
  <c r="S18" i="302" s="1"/>
  <c r="T16" i="302"/>
  <c r="S23" i="302"/>
  <c r="S30" i="302" s="1"/>
  <c r="S21" i="302"/>
  <c r="S28" i="302" s="1"/>
  <c r="T17" i="301"/>
  <c r="T18" i="301" s="1"/>
  <c r="U16" i="301"/>
  <c r="T23" i="301"/>
  <c r="T30" i="301" s="1"/>
  <c r="T21" i="301"/>
  <c r="T28" i="301" s="1"/>
  <c r="S17" i="300"/>
  <c r="S18" i="300" s="1"/>
  <c r="T16" i="300"/>
  <c r="S23" i="300"/>
  <c r="S30" i="300" s="1"/>
  <c r="S21" i="300"/>
  <c r="S28" i="300" s="1"/>
  <c r="S17" i="299"/>
  <c r="S18" i="299" s="1"/>
  <c r="T16" i="299"/>
  <c r="S23" i="299"/>
  <c r="S30" i="299" s="1"/>
  <c r="S21" i="299"/>
  <c r="S28" i="299" s="1"/>
  <c r="U17" i="267"/>
  <c r="U18" i="267" s="1"/>
  <c r="V16" i="267"/>
  <c r="U23" i="267"/>
  <c r="U30" i="267" s="1"/>
  <c r="U21" i="267"/>
  <c r="U28" i="267" s="1"/>
  <c r="R21" i="245"/>
  <c r="R28" i="245" s="1"/>
  <c r="R23" i="245"/>
  <c r="R30" i="245" s="1"/>
  <c r="R17" i="245"/>
  <c r="R18" i="245" s="1"/>
  <c r="S16" i="245"/>
  <c r="S17" i="276"/>
  <c r="S18" i="276" s="1"/>
  <c r="T16" i="276"/>
  <c r="S23" i="276"/>
  <c r="S30" i="276" s="1"/>
  <c r="S21" i="276"/>
  <c r="S28" i="276" s="1"/>
  <c r="R21" i="213"/>
  <c r="R28" i="213" s="1"/>
  <c r="R23" i="213"/>
  <c r="R30" i="213" s="1"/>
  <c r="R17" i="213"/>
  <c r="R18" i="213" s="1"/>
  <c r="S16" i="213"/>
  <c r="R17" i="271"/>
  <c r="R18" i="271" s="1"/>
  <c r="S16" i="271"/>
  <c r="R30" i="271"/>
  <c r="R28" i="271"/>
  <c r="R21" i="272"/>
  <c r="R28" i="272" s="1"/>
  <c r="R23" i="272"/>
  <c r="R30" i="272" s="1"/>
  <c r="R17" i="272"/>
  <c r="R18" i="272" s="1"/>
  <c r="S16" i="272"/>
  <c r="R17" i="290"/>
  <c r="R18" i="290" s="1"/>
  <c r="S16" i="290"/>
  <c r="R21" i="290"/>
  <c r="R28" i="290" s="1"/>
  <c r="R23" i="290"/>
  <c r="R30" i="290" s="1"/>
  <c r="R21" i="191"/>
  <c r="R28" i="191" s="1"/>
  <c r="R23" i="191"/>
  <c r="R30" i="191" s="1"/>
  <c r="R17" i="191"/>
  <c r="R18" i="191" s="1"/>
  <c r="S16" i="191"/>
  <c r="R21" i="275"/>
  <c r="R28" i="275" s="1"/>
  <c r="R23" i="275"/>
  <c r="R30" i="275" s="1"/>
  <c r="R17" i="275"/>
  <c r="R18" i="275" s="1"/>
  <c r="S16" i="275"/>
  <c r="R21" i="289"/>
  <c r="R28" i="289" s="1"/>
  <c r="R23" i="289"/>
  <c r="R30" i="289" s="1"/>
  <c r="R17" i="289"/>
  <c r="R18" i="289" s="1"/>
  <c r="S16" i="289"/>
  <c r="R17" i="217"/>
  <c r="R18" i="217" s="1"/>
  <c r="S16" i="217"/>
  <c r="R21" i="217"/>
  <c r="R28" i="217" s="1"/>
  <c r="R23" i="217"/>
  <c r="R30" i="217" s="1"/>
  <c r="R17" i="298"/>
  <c r="R18" i="298" s="1"/>
  <c r="S16" i="298"/>
  <c r="R21" i="298"/>
  <c r="R28" i="298" s="1"/>
  <c r="R23" i="298"/>
  <c r="R30" i="298" s="1"/>
  <c r="R17" i="220"/>
  <c r="R18" i="220" s="1"/>
  <c r="S16" i="220"/>
  <c r="R17" i="291"/>
  <c r="R18" i="291" s="1"/>
  <c r="S16" i="291"/>
  <c r="S17" i="195"/>
  <c r="S18" i="195" s="1"/>
  <c r="T16" i="195"/>
  <c r="S23" i="195"/>
  <c r="S30" i="195" s="1"/>
  <c r="S21" i="195"/>
  <c r="S28" i="195" s="1"/>
  <c r="R17" i="261"/>
  <c r="R18" i="261" s="1"/>
  <c r="S16" i="261"/>
  <c r="R23" i="261"/>
  <c r="R30" i="261" s="1"/>
  <c r="R21" i="261"/>
  <c r="R28" i="261" s="1"/>
  <c r="R17" i="257"/>
  <c r="R18" i="257" s="1"/>
  <c r="S16" i="257"/>
  <c r="S17" i="242"/>
  <c r="S18" i="242" s="1"/>
  <c r="T16" i="242"/>
  <c r="S23" i="242"/>
  <c r="S30" i="242" s="1"/>
  <c r="S21" i="242"/>
  <c r="S28" i="242" s="1"/>
  <c r="R17" i="123"/>
  <c r="R18" i="123" s="1"/>
  <c r="S16" i="123"/>
  <c r="R23" i="123"/>
  <c r="R30" i="123" s="1"/>
  <c r="R21" i="123"/>
  <c r="R28" i="123" s="1"/>
  <c r="R17" i="188"/>
  <c r="R18" i="188" s="1"/>
  <c r="S16" i="188"/>
  <c r="R23" i="188"/>
  <c r="R30" i="188" s="1"/>
  <c r="R21" i="188"/>
  <c r="R28" i="188" s="1"/>
  <c r="S23" i="235"/>
  <c r="S30" i="235" s="1"/>
  <c r="S21" i="235"/>
  <c r="S17" i="235"/>
  <c r="S18" i="235" s="1"/>
  <c r="T16" i="235"/>
  <c r="R17" i="246"/>
  <c r="R18" i="246" s="1"/>
  <c r="S16" i="246"/>
  <c r="R28" i="281"/>
  <c r="R17" i="281"/>
  <c r="R18" i="281" s="1"/>
  <c r="S16" i="281"/>
  <c r="R17" i="295"/>
  <c r="R18" i="295" s="1"/>
  <c r="S16" i="295"/>
  <c r="R21" i="241"/>
  <c r="R28" i="241" s="1"/>
  <c r="R23" i="241"/>
  <c r="R30" i="241" s="1"/>
  <c r="R17" i="241"/>
  <c r="R18" i="241" s="1"/>
  <c r="S16" i="241"/>
  <c r="R17" i="297"/>
  <c r="R18" i="297" s="1"/>
  <c r="S16" i="297"/>
  <c r="R23" i="297"/>
  <c r="R30" i="297" s="1"/>
  <c r="R21" i="297"/>
  <c r="R28" i="297" s="1"/>
  <c r="R21" i="161"/>
  <c r="R28" i="161" s="1"/>
  <c r="R23" i="161"/>
  <c r="R30" i="161" s="1"/>
  <c r="R17" i="161"/>
  <c r="R18" i="161" s="1"/>
  <c r="S16" i="161"/>
  <c r="R17" i="202"/>
  <c r="R18" i="202" s="1"/>
  <c r="S16" i="202"/>
  <c r="R23" i="202"/>
  <c r="R30" i="202" s="1"/>
  <c r="R21" i="202"/>
  <c r="R28" i="202" s="1"/>
  <c r="T17" i="260"/>
  <c r="T18" i="260" s="1"/>
  <c r="U16" i="260"/>
  <c r="T23" i="260"/>
  <c r="T21" i="260"/>
  <c r="T28" i="260" s="1"/>
  <c r="R17" i="120"/>
  <c r="R18" i="120" s="1"/>
  <c r="S16" i="120"/>
  <c r="R23" i="120"/>
  <c r="R30" i="120" s="1"/>
  <c r="R21" i="120"/>
  <c r="R28" i="120" s="1"/>
  <c r="R17" i="160"/>
  <c r="R18" i="160" s="1"/>
  <c r="S16" i="160"/>
  <c r="R23" i="160"/>
  <c r="R30" i="160" s="1"/>
  <c r="R21" i="160"/>
  <c r="R28" i="160" s="1"/>
  <c r="R21" i="279"/>
  <c r="R28" i="279" s="1"/>
  <c r="R23" i="279"/>
  <c r="R30" i="279" s="1"/>
  <c r="R17" i="279"/>
  <c r="R18" i="279" s="1"/>
  <c r="S16" i="279"/>
  <c r="R21" i="119"/>
  <c r="R28" i="119" s="1"/>
  <c r="R23" i="119"/>
  <c r="R30" i="119" s="1"/>
  <c r="R17" i="119"/>
  <c r="R18" i="119" s="1"/>
  <c r="S16" i="119"/>
  <c r="R21" i="264"/>
  <c r="R28" i="264" s="1"/>
  <c r="R23" i="264"/>
  <c r="R30" i="264" s="1"/>
  <c r="R17" i="264"/>
  <c r="R18" i="264" s="1"/>
  <c r="S16" i="264"/>
  <c r="R17" i="294"/>
  <c r="R18" i="294" s="1"/>
  <c r="S16" i="294"/>
  <c r="R21" i="159"/>
  <c r="R28" i="159" s="1"/>
  <c r="R23" i="159"/>
  <c r="R30" i="159" s="1"/>
  <c r="R17" i="159"/>
  <c r="R18" i="159" s="1"/>
  <c r="S16" i="159"/>
  <c r="R21" i="163"/>
  <c r="R28" i="163" s="1"/>
  <c r="R23" i="163"/>
  <c r="R30" i="163" s="1"/>
  <c r="R17" i="163"/>
  <c r="R18" i="163" s="1"/>
  <c r="S16" i="163"/>
  <c r="S17" i="283"/>
  <c r="S18" i="283" s="1"/>
  <c r="T16" i="283"/>
  <c r="S23" i="283"/>
  <c r="S30" i="283" s="1"/>
  <c r="S21" i="283"/>
  <c r="S28" i="283" s="1"/>
  <c r="R21" i="259"/>
  <c r="R28" i="259" s="1"/>
  <c r="R23" i="259"/>
  <c r="R30" i="259" s="1"/>
  <c r="R17" i="259"/>
  <c r="R18" i="259" s="1"/>
  <c r="S16" i="259"/>
  <c r="R21" i="118"/>
  <c r="R28" i="118" s="1"/>
  <c r="R23" i="118"/>
  <c r="R30" i="118" s="1"/>
  <c r="R17" i="118"/>
  <c r="R18" i="118" s="1"/>
  <c r="S16" i="118"/>
  <c r="R21" i="157"/>
  <c r="R28" i="157" s="1"/>
  <c r="R23" i="157"/>
  <c r="R30" i="157" s="1"/>
  <c r="R17" i="157"/>
  <c r="R18" i="157" s="1"/>
  <c r="S16" i="157"/>
  <c r="R17" i="296"/>
  <c r="R18" i="296" s="1"/>
  <c r="S16" i="296"/>
  <c r="R17" i="288"/>
  <c r="R18" i="288" s="1"/>
  <c r="S16" i="288"/>
  <c r="R28" i="288"/>
  <c r="R17" i="284"/>
  <c r="R18" i="284" s="1"/>
  <c r="S16" i="284"/>
  <c r="S17" i="249"/>
  <c r="S18" i="249" s="1"/>
  <c r="T16" i="249"/>
  <c r="R17" i="287"/>
  <c r="R18" i="287" s="1"/>
  <c r="S16" i="287"/>
  <c r="R17" i="82"/>
  <c r="R18" i="82" s="1"/>
  <c r="S16" i="82"/>
  <c r="R17" i="285"/>
  <c r="R18" i="285" s="1"/>
  <c r="S16" i="285"/>
  <c r="R23" i="285"/>
  <c r="R30" i="285" s="1"/>
  <c r="R21" i="285"/>
  <c r="R28" i="285" s="1"/>
  <c r="R17" i="247"/>
  <c r="R18" i="247" s="1"/>
  <c r="S16" i="247"/>
  <c r="R17" i="153"/>
  <c r="R18" i="153" s="1"/>
  <c r="S16" i="153"/>
  <c r="R23" i="153"/>
  <c r="R30" i="153" s="1"/>
  <c r="R21" i="153"/>
  <c r="R28" i="153" s="1"/>
  <c r="R21" i="79"/>
  <c r="R28" i="79" s="1"/>
  <c r="R23" i="79"/>
  <c r="R30" i="79" s="1"/>
  <c r="R17" i="79"/>
  <c r="R18" i="79" s="1"/>
  <c r="S16" i="79"/>
  <c r="R17" i="269"/>
  <c r="R18" i="269" s="1"/>
  <c r="S16" i="269"/>
  <c r="R21" i="263"/>
  <c r="R28" i="263" s="1"/>
  <c r="R23" i="263"/>
  <c r="R30" i="263" s="1"/>
  <c r="R17" i="263"/>
  <c r="R18" i="263" s="1"/>
  <c r="S16" i="263"/>
  <c r="R17" i="58"/>
  <c r="R18" i="58" s="1"/>
  <c r="S16" i="58"/>
  <c r="R23" i="58"/>
  <c r="R30" i="58" s="1"/>
  <c r="R21" i="58"/>
  <c r="R28" i="58" s="1"/>
  <c r="R17" i="219"/>
  <c r="R18" i="219" s="1"/>
  <c r="S16" i="219"/>
  <c r="R23" i="219"/>
  <c r="R21" i="219"/>
  <c r="R17" i="286"/>
  <c r="R18" i="286" s="1"/>
  <c r="S16" i="286"/>
  <c r="R23" i="286"/>
  <c r="R30" i="286" s="1"/>
  <c r="R21" i="286"/>
  <c r="R28" i="286" s="1"/>
  <c r="R17" i="201"/>
  <c r="R18" i="201" s="1"/>
  <c r="S16" i="201"/>
  <c r="R23" i="201"/>
  <c r="R30" i="201" s="1"/>
  <c r="R21" i="201"/>
  <c r="R28" i="201" s="1"/>
  <c r="R17" i="176"/>
  <c r="R18" i="176" s="1"/>
  <c r="S16" i="176"/>
  <c r="R23" i="176"/>
  <c r="R30" i="176" s="1"/>
  <c r="R21" i="176"/>
  <c r="R28" i="176" s="1"/>
  <c r="L36" i="76"/>
  <c r="M36" i="72"/>
  <c r="T30" i="249" l="1"/>
  <c r="S30" i="249"/>
  <c r="R28" i="220"/>
  <c r="S28" i="220"/>
  <c r="R30" i="220"/>
  <c r="R30" i="291"/>
  <c r="R28" i="291"/>
  <c r="R28" i="257"/>
  <c r="R30" i="246"/>
  <c r="R28" i="246"/>
  <c r="R28" i="295"/>
  <c r="R30" i="295"/>
  <c r="R28" i="294"/>
  <c r="R30" i="294"/>
  <c r="S28" i="296"/>
  <c r="R28" i="296"/>
  <c r="R30" i="296"/>
  <c r="S30" i="288"/>
  <c r="R30" i="288"/>
  <c r="S28" i="284"/>
  <c r="R30" i="284"/>
  <c r="R28" i="284"/>
  <c r="S28" i="287"/>
  <c r="R28" i="287"/>
  <c r="R30" i="287"/>
  <c r="R30" i="82"/>
  <c r="R28" i="82"/>
  <c r="R28" i="247"/>
  <c r="S28" i="247"/>
  <c r="R30" i="247"/>
  <c r="R28" i="269"/>
  <c r="R30" i="269"/>
  <c r="T30" i="260"/>
  <c r="S17" i="208"/>
  <c r="S18" i="208" s="1"/>
  <c r="T16" i="208"/>
  <c r="S23" i="208"/>
  <c r="S30" i="208" s="1"/>
  <c r="S21" i="208"/>
  <c r="S28" i="208" s="1"/>
  <c r="R30" i="219"/>
  <c r="R28" i="219"/>
  <c r="S28" i="235"/>
  <c r="R30" i="281"/>
  <c r="U17" i="306"/>
  <c r="U18" i="306" s="1"/>
  <c r="V16" i="306"/>
  <c r="U23" i="306"/>
  <c r="U30" i="306" s="1"/>
  <c r="U21" i="306"/>
  <c r="U28" i="306" s="1"/>
  <c r="S17" i="293"/>
  <c r="S18" i="293" s="1"/>
  <c r="T16" i="293"/>
  <c r="S23" i="293"/>
  <c r="S30" i="293" s="1"/>
  <c r="S21" i="293"/>
  <c r="S28" i="293" s="1"/>
  <c r="U17" i="305"/>
  <c r="U18" i="305" s="1"/>
  <c r="V16" i="305"/>
  <c r="U23" i="305"/>
  <c r="U30" i="305" s="1"/>
  <c r="U21" i="305"/>
  <c r="U28" i="305" s="1"/>
  <c r="U17" i="304"/>
  <c r="U18" i="304" s="1"/>
  <c r="V16" i="304"/>
  <c r="U23" i="304"/>
  <c r="U30" i="304" s="1"/>
  <c r="U21" i="304"/>
  <c r="U28" i="304" s="1"/>
  <c r="U17" i="303"/>
  <c r="U18" i="303" s="1"/>
  <c r="V16" i="303"/>
  <c r="U23" i="303"/>
  <c r="U30" i="303" s="1"/>
  <c r="U21" i="303"/>
  <c r="U28" i="303" s="1"/>
  <c r="T17" i="302"/>
  <c r="T18" i="302" s="1"/>
  <c r="U16" i="302"/>
  <c r="T21" i="302"/>
  <c r="T28" i="302" s="1"/>
  <c r="T23" i="302"/>
  <c r="T30" i="302" s="1"/>
  <c r="U17" i="301"/>
  <c r="U18" i="301" s="1"/>
  <c r="V16" i="301"/>
  <c r="U23" i="301"/>
  <c r="U30" i="301" s="1"/>
  <c r="U21" i="301"/>
  <c r="U28" i="301" s="1"/>
  <c r="T17" i="300"/>
  <c r="T18" i="300" s="1"/>
  <c r="U16" i="300"/>
  <c r="T21" i="300"/>
  <c r="T28" i="300" s="1"/>
  <c r="T23" i="300"/>
  <c r="T30" i="300" s="1"/>
  <c r="T17" i="299"/>
  <c r="T18" i="299" s="1"/>
  <c r="U16" i="299"/>
  <c r="T21" i="299"/>
  <c r="T28" i="299" s="1"/>
  <c r="T23" i="299"/>
  <c r="T30" i="299" s="1"/>
  <c r="V17" i="267"/>
  <c r="V18" i="267" s="1"/>
  <c r="W16" i="267"/>
  <c r="V23" i="267"/>
  <c r="V30" i="267" s="1"/>
  <c r="V21" i="267"/>
  <c r="V28" i="267" s="1"/>
  <c r="S17" i="245"/>
  <c r="S18" i="245" s="1"/>
  <c r="T16" i="245"/>
  <c r="S23" i="245"/>
  <c r="S30" i="245" s="1"/>
  <c r="S21" i="245"/>
  <c r="S28" i="245" s="1"/>
  <c r="T17" i="276"/>
  <c r="T18" i="276" s="1"/>
  <c r="U16" i="276"/>
  <c r="T23" i="276"/>
  <c r="T30" i="276" s="1"/>
  <c r="T21" i="276"/>
  <c r="T28" i="276" s="1"/>
  <c r="S17" i="213"/>
  <c r="S18" i="213" s="1"/>
  <c r="T16" i="213"/>
  <c r="S23" i="213"/>
  <c r="S30" i="213" s="1"/>
  <c r="S21" i="213"/>
  <c r="S28" i="213" s="1"/>
  <c r="S17" i="271"/>
  <c r="S18" i="271" s="1"/>
  <c r="T16" i="271"/>
  <c r="S30" i="271"/>
  <c r="S28" i="271"/>
  <c r="S17" i="272"/>
  <c r="S18" i="272" s="1"/>
  <c r="T16" i="272"/>
  <c r="S23" i="272"/>
  <c r="S30" i="272" s="1"/>
  <c r="S21" i="272"/>
  <c r="S28" i="272" s="1"/>
  <c r="S17" i="290"/>
  <c r="S18" i="290" s="1"/>
  <c r="T16" i="290"/>
  <c r="S23" i="290"/>
  <c r="S30" i="290" s="1"/>
  <c r="S21" i="290"/>
  <c r="S28" i="290" s="1"/>
  <c r="S17" i="191"/>
  <c r="S18" i="191" s="1"/>
  <c r="T16" i="191"/>
  <c r="S23" i="191"/>
  <c r="S30" i="191" s="1"/>
  <c r="S21" i="191"/>
  <c r="S28" i="191" s="1"/>
  <c r="S17" i="275"/>
  <c r="S18" i="275" s="1"/>
  <c r="T16" i="275"/>
  <c r="S23" i="275"/>
  <c r="S30" i="275" s="1"/>
  <c r="S21" i="275"/>
  <c r="S28" i="275" s="1"/>
  <c r="S17" i="289"/>
  <c r="S18" i="289" s="1"/>
  <c r="T16" i="289"/>
  <c r="S23" i="289"/>
  <c r="S30" i="289" s="1"/>
  <c r="S21" i="289"/>
  <c r="S28" i="289" s="1"/>
  <c r="S17" i="217"/>
  <c r="S18" i="217" s="1"/>
  <c r="T16" i="217"/>
  <c r="S23" i="217"/>
  <c r="S30" i="217" s="1"/>
  <c r="S21" i="217"/>
  <c r="S28" i="217" s="1"/>
  <c r="S17" i="298"/>
  <c r="S18" i="298" s="1"/>
  <c r="T16" i="298"/>
  <c r="S23" i="298"/>
  <c r="S30" i="298" s="1"/>
  <c r="S21" i="298"/>
  <c r="S28" i="298" s="1"/>
  <c r="S17" i="220"/>
  <c r="S18" i="220" s="1"/>
  <c r="T16" i="220"/>
  <c r="S17" i="291"/>
  <c r="S18" i="291" s="1"/>
  <c r="T16" i="291"/>
  <c r="S28" i="291"/>
  <c r="T17" i="195"/>
  <c r="T18" i="195" s="1"/>
  <c r="U16" i="195"/>
  <c r="T23" i="195"/>
  <c r="T30" i="195" s="1"/>
  <c r="T21" i="195"/>
  <c r="T28" i="195" s="1"/>
  <c r="S17" i="261"/>
  <c r="S18" i="261" s="1"/>
  <c r="T16" i="261"/>
  <c r="S23" i="261"/>
  <c r="S30" i="261" s="1"/>
  <c r="S21" i="261"/>
  <c r="S28" i="261" s="1"/>
  <c r="S17" i="257"/>
  <c r="S18" i="257" s="1"/>
  <c r="T16" i="257"/>
  <c r="S30" i="257"/>
  <c r="T17" i="242"/>
  <c r="T18" i="242" s="1"/>
  <c r="U16" i="242"/>
  <c r="T21" i="242"/>
  <c r="T28" i="242" s="1"/>
  <c r="T23" i="242"/>
  <c r="T30" i="242" s="1"/>
  <c r="S17" i="123"/>
  <c r="S18" i="123" s="1"/>
  <c r="T16" i="123"/>
  <c r="S23" i="123"/>
  <c r="S30" i="123" s="1"/>
  <c r="S21" i="123"/>
  <c r="S28" i="123" s="1"/>
  <c r="S17" i="188"/>
  <c r="S18" i="188" s="1"/>
  <c r="T16" i="188"/>
  <c r="S23" i="188"/>
  <c r="S30" i="188" s="1"/>
  <c r="S21" i="188"/>
  <c r="S28" i="188" s="1"/>
  <c r="T21" i="235"/>
  <c r="T28" i="235" s="1"/>
  <c r="T23" i="235"/>
  <c r="T30" i="235" s="1"/>
  <c r="T17" i="235"/>
  <c r="T18" i="235" s="1"/>
  <c r="U16" i="235"/>
  <c r="S17" i="246"/>
  <c r="S18" i="246" s="1"/>
  <c r="T16" i="246"/>
  <c r="S30" i="246"/>
  <c r="S17" i="281"/>
  <c r="S18" i="281" s="1"/>
  <c r="T16" i="281"/>
  <c r="S30" i="281"/>
  <c r="S17" i="295"/>
  <c r="S18" i="295" s="1"/>
  <c r="T16" i="295"/>
  <c r="S17" i="241"/>
  <c r="S18" i="241" s="1"/>
  <c r="T16" i="241"/>
  <c r="S23" i="241"/>
  <c r="S30" i="241" s="1"/>
  <c r="S21" i="241"/>
  <c r="S28" i="241" s="1"/>
  <c r="S17" i="297"/>
  <c r="S18" i="297" s="1"/>
  <c r="T16" i="297"/>
  <c r="S23" i="297"/>
  <c r="S30" i="297" s="1"/>
  <c r="S21" i="297"/>
  <c r="S28" i="297" s="1"/>
  <c r="S17" i="161"/>
  <c r="S18" i="161" s="1"/>
  <c r="T16" i="161"/>
  <c r="S23" i="161"/>
  <c r="S30" i="161" s="1"/>
  <c r="S21" i="161"/>
  <c r="S28" i="161" s="1"/>
  <c r="S17" i="202"/>
  <c r="S18" i="202" s="1"/>
  <c r="T16" i="202"/>
  <c r="S23" i="202"/>
  <c r="S30" i="202" s="1"/>
  <c r="S21" i="202"/>
  <c r="S28" i="202" s="1"/>
  <c r="U17" i="260"/>
  <c r="U18" i="260" s="1"/>
  <c r="V16" i="260"/>
  <c r="U23" i="260"/>
  <c r="U21" i="260"/>
  <c r="S17" i="120"/>
  <c r="S18" i="120" s="1"/>
  <c r="T16" i="120"/>
  <c r="S23" i="120"/>
  <c r="S30" i="120" s="1"/>
  <c r="S21" i="120"/>
  <c r="S28" i="120" s="1"/>
  <c r="S17" i="160"/>
  <c r="S18" i="160" s="1"/>
  <c r="T16" i="160"/>
  <c r="S23" i="160"/>
  <c r="S30" i="160" s="1"/>
  <c r="S21" i="160"/>
  <c r="S28" i="160" s="1"/>
  <c r="S17" i="279"/>
  <c r="S18" i="279" s="1"/>
  <c r="T16" i="279"/>
  <c r="S23" i="279"/>
  <c r="S30" i="279" s="1"/>
  <c r="S21" i="279"/>
  <c r="S28" i="279" s="1"/>
  <c r="S17" i="119"/>
  <c r="S18" i="119" s="1"/>
  <c r="T16" i="119"/>
  <c r="S23" i="119"/>
  <c r="S30" i="119" s="1"/>
  <c r="S21" i="119"/>
  <c r="S28" i="119" s="1"/>
  <c r="S17" i="264"/>
  <c r="S18" i="264" s="1"/>
  <c r="T16" i="264"/>
  <c r="S23" i="264"/>
  <c r="S30" i="264" s="1"/>
  <c r="S21" i="264"/>
  <c r="S28" i="264" s="1"/>
  <c r="S17" i="294"/>
  <c r="S18" i="294" s="1"/>
  <c r="T16" i="294"/>
  <c r="S30" i="294"/>
  <c r="S17" i="159"/>
  <c r="S18" i="159" s="1"/>
  <c r="T16" i="159"/>
  <c r="S23" i="159"/>
  <c r="S30" i="159" s="1"/>
  <c r="S21" i="159"/>
  <c r="S28" i="159" s="1"/>
  <c r="S17" i="163"/>
  <c r="S18" i="163" s="1"/>
  <c r="T16" i="163"/>
  <c r="S23" i="163"/>
  <c r="S30" i="163" s="1"/>
  <c r="S21" i="163"/>
  <c r="S28" i="163" s="1"/>
  <c r="T17" i="283"/>
  <c r="T18" i="283" s="1"/>
  <c r="U16" i="283"/>
  <c r="T23" i="283"/>
  <c r="T30" i="283" s="1"/>
  <c r="T21" i="283"/>
  <c r="T28" i="283" s="1"/>
  <c r="S17" i="259"/>
  <c r="S18" i="259" s="1"/>
  <c r="T16" i="259"/>
  <c r="S23" i="259"/>
  <c r="S30" i="259" s="1"/>
  <c r="S21" i="259"/>
  <c r="S28" i="259" s="1"/>
  <c r="S17" i="118"/>
  <c r="S18" i="118" s="1"/>
  <c r="T16" i="118"/>
  <c r="S23" i="118"/>
  <c r="S30" i="118" s="1"/>
  <c r="S21" i="118"/>
  <c r="S28" i="118" s="1"/>
  <c r="S17" i="157"/>
  <c r="S18" i="157" s="1"/>
  <c r="T16" i="157"/>
  <c r="S23" i="157"/>
  <c r="S30" i="157" s="1"/>
  <c r="S21" i="157"/>
  <c r="S28" i="157" s="1"/>
  <c r="S17" i="296"/>
  <c r="S18" i="296" s="1"/>
  <c r="T16" i="296"/>
  <c r="S17" i="288"/>
  <c r="S18" i="288" s="1"/>
  <c r="T16" i="288"/>
  <c r="S17" i="284"/>
  <c r="S18" i="284" s="1"/>
  <c r="T16" i="284"/>
  <c r="T17" i="249"/>
  <c r="T18" i="249" s="1"/>
  <c r="U16" i="249"/>
  <c r="S17" i="287"/>
  <c r="S18" i="287" s="1"/>
  <c r="T16" i="287"/>
  <c r="S17" i="82"/>
  <c r="S18" i="82" s="1"/>
  <c r="T16" i="82"/>
  <c r="S17" i="285"/>
  <c r="S18" i="285" s="1"/>
  <c r="T16" i="285"/>
  <c r="S23" i="285"/>
  <c r="S30" i="285" s="1"/>
  <c r="S21" i="285"/>
  <c r="S28" i="285" s="1"/>
  <c r="S17" i="247"/>
  <c r="S18" i="247" s="1"/>
  <c r="T16" i="247"/>
  <c r="S17" i="153"/>
  <c r="S18" i="153" s="1"/>
  <c r="T16" i="153"/>
  <c r="S23" i="153"/>
  <c r="S30" i="153" s="1"/>
  <c r="S21" i="153"/>
  <c r="S28" i="153" s="1"/>
  <c r="S17" i="79"/>
  <c r="S18" i="79" s="1"/>
  <c r="T16" i="79"/>
  <c r="S23" i="79"/>
  <c r="S30" i="79" s="1"/>
  <c r="S21" i="79"/>
  <c r="S28" i="79" s="1"/>
  <c r="S17" i="269"/>
  <c r="S18" i="269" s="1"/>
  <c r="T16" i="269"/>
  <c r="S17" i="263"/>
  <c r="S18" i="263" s="1"/>
  <c r="T16" i="263"/>
  <c r="S23" i="263"/>
  <c r="S30" i="263" s="1"/>
  <c r="S21" i="263"/>
  <c r="S28" i="263" s="1"/>
  <c r="S17" i="58"/>
  <c r="S18" i="58" s="1"/>
  <c r="T16" i="58"/>
  <c r="S23" i="58"/>
  <c r="S30" i="58" s="1"/>
  <c r="S21" i="58"/>
  <c r="S28" i="58" s="1"/>
  <c r="S17" i="219"/>
  <c r="S18" i="219" s="1"/>
  <c r="T16" i="219"/>
  <c r="S23" i="219"/>
  <c r="S21" i="219"/>
  <c r="S17" i="286"/>
  <c r="S18" i="286" s="1"/>
  <c r="T16" i="286"/>
  <c r="S23" i="286"/>
  <c r="S30" i="286" s="1"/>
  <c r="S21" i="286"/>
  <c r="S28" i="286" s="1"/>
  <c r="S17" i="201"/>
  <c r="S18" i="201" s="1"/>
  <c r="T16" i="201"/>
  <c r="S23" i="201"/>
  <c r="S30" i="201" s="1"/>
  <c r="S21" i="201"/>
  <c r="S28" i="201" s="1"/>
  <c r="S17" i="176"/>
  <c r="S18" i="176" s="1"/>
  <c r="T16" i="176"/>
  <c r="S23" i="176"/>
  <c r="S30" i="176" s="1"/>
  <c r="S21" i="176"/>
  <c r="S28" i="176" s="1"/>
  <c r="T28" i="249" l="1"/>
  <c r="T28" i="269"/>
  <c r="S30" i="269"/>
  <c r="S28" i="269"/>
  <c r="S30" i="247"/>
  <c r="S30" i="82"/>
  <c r="S28" i="82"/>
  <c r="S30" i="287"/>
  <c r="S30" i="284"/>
  <c r="S28" i="288"/>
  <c r="S30" i="296"/>
  <c r="T30" i="294"/>
  <c r="S28" i="294"/>
  <c r="S30" i="295"/>
  <c r="S28" i="295"/>
  <c r="T28" i="295"/>
  <c r="S28" i="246"/>
  <c r="S28" i="257"/>
  <c r="S30" i="291"/>
  <c r="S30" i="220"/>
  <c r="U30" i="260"/>
  <c r="U28" i="260"/>
  <c r="U16" i="208"/>
  <c r="T17" i="208"/>
  <c r="T18" i="208" s="1"/>
  <c r="T21" i="208"/>
  <c r="T23" i="208"/>
  <c r="T30" i="208" s="1"/>
  <c r="S28" i="219"/>
  <c r="S30" i="219"/>
  <c r="S28" i="281"/>
  <c r="V17" i="306"/>
  <c r="V18" i="306" s="1"/>
  <c r="W16" i="306"/>
  <c r="V23" i="306"/>
  <c r="V30" i="306" s="1"/>
  <c r="V21" i="306"/>
  <c r="V28" i="306" s="1"/>
  <c r="T17" i="293"/>
  <c r="T18" i="293" s="1"/>
  <c r="U16" i="293"/>
  <c r="T23" i="293"/>
  <c r="T30" i="293" s="1"/>
  <c r="T21" i="293"/>
  <c r="T28" i="293" s="1"/>
  <c r="V17" i="305"/>
  <c r="V18" i="305" s="1"/>
  <c r="W16" i="305"/>
  <c r="V23" i="305"/>
  <c r="V30" i="305" s="1"/>
  <c r="V21" i="305"/>
  <c r="V28" i="305" s="1"/>
  <c r="V17" i="304"/>
  <c r="V18" i="304" s="1"/>
  <c r="W16" i="304"/>
  <c r="V23" i="304"/>
  <c r="V30" i="304" s="1"/>
  <c r="V21" i="304"/>
  <c r="V28" i="304" s="1"/>
  <c r="V17" i="303"/>
  <c r="V18" i="303" s="1"/>
  <c r="W16" i="303"/>
  <c r="V23" i="303"/>
  <c r="V30" i="303" s="1"/>
  <c r="V21" i="303"/>
  <c r="V28" i="303" s="1"/>
  <c r="U17" i="302"/>
  <c r="U18" i="302" s="1"/>
  <c r="V16" i="302"/>
  <c r="U23" i="302"/>
  <c r="U30" i="302" s="1"/>
  <c r="U21" i="302"/>
  <c r="U28" i="302" s="1"/>
  <c r="V17" i="301"/>
  <c r="V18" i="301" s="1"/>
  <c r="W16" i="301"/>
  <c r="V21" i="301"/>
  <c r="V28" i="301" s="1"/>
  <c r="V23" i="301"/>
  <c r="V30" i="301" s="1"/>
  <c r="U17" i="300"/>
  <c r="U18" i="300" s="1"/>
  <c r="V16" i="300"/>
  <c r="U23" i="300"/>
  <c r="U30" i="300" s="1"/>
  <c r="U21" i="300"/>
  <c r="U28" i="300" s="1"/>
  <c r="U17" i="299"/>
  <c r="U18" i="299" s="1"/>
  <c r="V16" i="299"/>
  <c r="U23" i="299"/>
  <c r="U30" i="299" s="1"/>
  <c r="U21" i="299"/>
  <c r="U28" i="299" s="1"/>
  <c r="W17" i="267"/>
  <c r="W18" i="267" s="1"/>
  <c r="X16" i="267"/>
  <c r="X17" i="267" s="1"/>
  <c r="X18" i="267" s="1"/>
  <c r="W23" i="267"/>
  <c r="W30" i="267" s="1"/>
  <c r="W21" i="267"/>
  <c r="W28" i="267" s="1"/>
  <c r="T23" i="245"/>
  <c r="T30" i="245" s="1"/>
  <c r="T21" i="245"/>
  <c r="T28" i="245" s="1"/>
  <c r="T17" i="245"/>
  <c r="T18" i="245" s="1"/>
  <c r="U16" i="245"/>
  <c r="U17" i="276"/>
  <c r="U18" i="276" s="1"/>
  <c r="V16" i="276"/>
  <c r="U23" i="276"/>
  <c r="U30" i="276" s="1"/>
  <c r="U21" i="276"/>
  <c r="U28" i="276" s="1"/>
  <c r="T23" i="213"/>
  <c r="T30" i="213" s="1"/>
  <c r="T21" i="213"/>
  <c r="T28" i="213" s="1"/>
  <c r="T17" i="213"/>
  <c r="T18" i="213" s="1"/>
  <c r="U16" i="213"/>
  <c r="T17" i="271"/>
  <c r="T18" i="271" s="1"/>
  <c r="U16" i="271"/>
  <c r="T28" i="271"/>
  <c r="T30" i="271"/>
  <c r="T23" i="272"/>
  <c r="T30" i="272" s="1"/>
  <c r="T21" i="272"/>
  <c r="T28" i="272" s="1"/>
  <c r="T17" i="272"/>
  <c r="T18" i="272" s="1"/>
  <c r="U16" i="272"/>
  <c r="T17" i="290"/>
  <c r="T18" i="290" s="1"/>
  <c r="U16" i="290"/>
  <c r="T23" i="290"/>
  <c r="T30" i="290" s="1"/>
  <c r="T21" i="290"/>
  <c r="T28" i="290" s="1"/>
  <c r="T23" i="191"/>
  <c r="T30" i="191" s="1"/>
  <c r="T21" i="191"/>
  <c r="T28" i="191" s="1"/>
  <c r="T17" i="191"/>
  <c r="T18" i="191" s="1"/>
  <c r="U16" i="191"/>
  <c r="T23" i="275"/>
  <c r="T30" i="275" s="1"/>
  <c r="T21" i="275"/>
  <c r="T28" i="275" s="1"/>
  <c r="T17" i="275"/>
  <c r="T18" i="275" s="1"/>
  <c r="U16" i="275"/>
  <c r="T23" i="289"/>
  <c r="T30" i="289" s="1"/>
  <c r="T21" i="289"/>
  <c r="T28" i="289" s="1"/>
  <c r="T17" i="289"/>
  <c r="T18" i="289" s="1"/>
  <c r="U16" i="289"/>
  <c r="T17" i="217"/>
  <c r="T18" i="217" s="1"/>
  <c r="U16" i="217"/>
  <c r="T23" i="217"/>
  <c r="T30" i="217" s="1"/>
  <c r="T21" i="217"/>
  <c r="T28" i="217" s="1"/>
  <c r="T17" i="298"/>
  <c r="T18" i="298" s="1"/>
  <c r="U16" i="298"/>
  <c r="T23" i="298"/>
  <c r="T30" i="298" s="1"/>
  <c r="T21" i="298"/>
  <c r="T28" i="298" s="1"/>
  <c r="T17" i="220"/>
  <c r="T18" i="220" s="1"/>
  <c r="U16" i="220"/>
  <c r="T17" i="291"/>
  <c r="T18" i="291" s="1"/>
  <c r="U16" i="291"/>
  <c r="U17" i="195"/>
  <c r="U18" i="195" s="1"/>
  <c r="V16" i="195"/>
  <c r="U23" i="195"/>
  <c r="U30" i="195" s="1"/>
  <c r="U21" i="195"/>
  <c r="U28" i="195" s="1"/>
  <c r="T17" i="261"/>
  <c r="T18" i="261" s="1"/>
  <c r="U16" i="261"/>
  <c r="T21" i="261"/>
  <c r="T28" i="261" s="1"/>
  <c r="T23" i="261"/>
  <c r="T30" i="261" s="1"/>
  <c r="T17" i="257"/>
  <c r="T18" i="257" s="1"/>
  <c r="U16" i="257"/>
  <c r="U17" i="242"/>
  <c r="U18" i="242" s="1"/>
  <c r="V16" i="242"/>
  <c r="U23" i="242"/>
  <c r="U30" i="242" s="1"/>
  <c r="U21" i="242"/>
  <c r="U28" i="242" s="1"/>
  <c r="T17" i="123"/>
  <c r="T18" i="123" s="1"/>
  <c r="U16" i="123"/>
  <c r="T21" i="123"/>
  <c r="T28" i="123" s="1"/>
  <c r="T23" i="123"/>
  <c r="T30" i="123" s="1"/>
  <c r="T17" i="188"/>
  <c r="T18" i="188" s="1"/>
  <c r="U16" i="188"/>
  <c r="T21" i="188"/>
  <c r="T28" i="188" s="1"/>
  <c r="T23" i="188"/>
  <c r="T30" i="188" s="1"/>
  <c r="U23" i="235"/>
  <c r="U30" i="235" s="1"/>
  <c r="U21" i="235"/>
  <c r="U28" i="235" s="1"/>
  <c r="U17" i="235"/>
  <c r="U18" i="235" s="1"/>
  <c r="V16" i="235"/>
  <c r="T17" i="246"/>
  <c r="T18" i="246" s="1"/>
  <c r="U16" i="246"/>
  <c r="T30" i="281"/>
  <c r="T28" i="281"/>
  <c r="T17" i="281"/>
  <c r="T18" i="281" s="1"/>
  <c r="U16" i="281"/>
  <c r="T30" i="295"/>
  <c r="T17" i="295"/>
  <c r="T18" i="295" s="1"/>
  <c r="U16" i="295"/>
  <c r="T23" i="241"/>
  <c r="T30" i="241" s="1"/>
  <c r="T21" i="241"/>
  <c r="T28" i="241" s="1"/>
  <c r="T17" i="241"/>
  <c r="T18" i="241" s="1"/>
  <c r="U16" i="241"/>
  <c r="T17" i="297"/>
  <c r="T18" i="297" s="1"/>
  <c r="U16" i="297"/>
  <c r="T23" i="297"/>
  <c r="T30" i="297" s="1"/>
  <c r="T21" i="297"/>
  <c r="T28" i="297" s="1"/>
  <c r="T23" i="161"/>
  <c r="T30" i="161" s="1"/>
  <c r="T21" i="161"/>
  <c r="T28" i="161" s="1"/>
  <c r="T17" i="161"/>
  <c r="T18" i="161" s="1"/>
  <c r="U16" i="161"/>
  <c r="T17" i="202"/>
  <c r="T18" i="202" s="1"/>
  <c r="U16" i="202"/>
  <c r="T21" i="202"/>
  <c r="T28" i="202" s="1"/>
  <c r="T23" i="202"/>
  <c r="T30" i="202" s="1"/>
  <c r="V17" i="260"/>
  <c r="V18" i="260" s="1"/>
  <c r="W16" i="260"/>
  <c r="V23" i="260"/>
  <c r="V30" i="260" s="1"/>
  <c r="V21" i="260"/>
  <c r="V28" i="260" s="1"/>
  <c r="T17" i="120"/>
  <c r="T18" i="120" s="1"/>
  <c r="U16" i="120"/>
  <c r="T21" i="120"/>
  <c r="T28" i="120" s="1"/>
  <c r="T23" i="120"/>
  <c r="T30" i="120" s="1"/>
  <c r="T17" i="160"/>
  <c r="T18" i="160" s="1"/>
  <c r="U16" i="160"/>
  <c r="T21" i="160"/>
  <c r="T28" i="160" s="1"/>
  <c r="T23" i="160"/>
  <c r="T30" i="160" s="1"/>
  <c r="T23" i="279"/>
  <c r="T30" i="279" s="1"/>
  <c r="T21" i="279"/>
  <c r="T28" i="279" s="1"/>
  <c r="T17" i="279"/>
  <c r="T18" i="279" s="1"/>
  <c r="U16" i="279"/>
  <c r="T23" i="119"/>
  <c r="T30" i="119" s="1"/>
  <c r="T21" i="119"/>
  <c r="T28" i="119" s="1"/>
  <c r="T17" i="119"/>
  <c r="T18" i="119" s="1"/>
  <c r="U16" i="119"/>
  <c r="T23" i="264"/>
  <c r="T30" i="264" s="1"/>
  <c r="T21" i="264"/>
  <c r="T28" i="264" s="1"/>
  <c r="T17" i="264"/>
  <c r="T18" i="264" s="1"/>
  <c r="U16" i="264"/>
  <c r="T17" i="294"/>
  <c r="T18" i="294" s="1"/>
  <c r="U16" i="294"/>
  <c r="T23" i="159"/>
  <c r="T30" i="159" s="1"/>
  <c r="T21" i="159"/>
  <c r="T28" i="159" s="1"/>
  <c r="T17" i="159"/>
  <c r="T18" i="159" s="1"/>
  <c r="U16" i="159"/>
  <c r="T23" i="163"/>
  <c r="T30" i="163" s="1"/>
  <c r="T21" i="163"/>
  <c r="T28" i="163" s="1"/>
  <c r="T17" i="163"/>
  <c r="T18" i="163" s="1"/>
  <c r="U16" i="163"/>
  <c r="U17" i="283"/>
  <c r="U18" i="283" s="1"/>
  <c r="V16" i="283"/>
  <c r="U23" i="283"/>
  <c r="U30" i="283" s="1"/>
  <c r="U21" i="283"/>
  <c r="U28" i="283" s="1"/>
  <c r="T23" i="259"/>
  <c r="T30" i="259" s="1"/>
  <c r="T21" i="259"/>
  <c r="T28" i="259" s="1"/>
  <c r="T17" i="259"/>
  <c r="T18" i="259" s="1"/>
  <c r="U16" i="259"/>
  <c r="T23" i="118"/>
  <c r="T30" i="118" s="1"/>
  <c r="T21" i="118"/>
  <c r="T28" i="118" s="1"/>
  <c r="T17" i="118"/>
  <c r="T18" i="118" s="1"/>
  <c r="U16" i="118"/>
  <c r="T23" i="157"/>
  <c r="T30" i="157" s="1"/>
  <c r="T21" i="157"/>
  <c r="T28" i="157" s="1"/>
  <c r="T17" i="157"/>
  <c r="T18" i="157" s="1"/>
  <c r="U16" i="157"/>
  <c r="T17" i="296"/>
  <c r="T18" i="296" s="1"/>
  <c r="U16" i="296"/>
  <c r="T30" i="296"/>
  <c r="T17" i="288"/>
  <c r="T18" i="288" s="1"/>
  <c r="U16" i="288"/>
  <c r="T17" i="284"/>
  <c r="T18" i="284" s="1"/>
  <c r="U16" i="284"/>
  <c r="T30" i="284"/>
  <c r="U17" i="249"/>
  <c r="U18" i="249" s="1"/>
  <c r="V16" i="249"/>
  <c r="U28" i="249"/>
  <c r="T17" i="287"/>
  <c r="T18" i="287" s="1"/>
  <c r="U16" i="287"/>
  <c r="T17" i="82"/>
  <c r="T18" i="82" s="1"/>
  <c r="U16" i="82"/>
  <c r="T17" i="285"/>
  <c r="T18" i="285" s="1"/>
  <c r="U16" i="285"/>
  <c r="T21" i="285"/>
  <c r="T28" i="285" s="1"/>
  <c r="T23" i="285"/>
  <c r="T30" i="285" s="1"/>
  <c r="T30" i="247"/>
  <c r="T17" i="247"/>
  <c r="T18" i="247" s="1"/>
  <c r="U16" i="247"/>
  <c r="T17" i="153"/>
  <c r="T18" i="153" s="1"/>
  <c r="U16" i="153"/>
  <c r="T21" i="153"/>
  <c r="T28" i="153" s="1"/>
  <c r="T23" i="153"/>
  <c r="T30" i="153" s="1"/>
  <c r="T23" i="79"/>
  <c r="T30" i="79" s="1"/>
  <c r="T21" i="79"/>
  <c r="T28" i="79" s="1"/>
  <c r="T17" i="79"/>
  <c r="T18" i="79" s="1"/>
  <c r="U16" i="79"/>
  <c r="T17" i="269"/>
  <c r="T18" i="269" s="1"/>
  <c r="U16" i="269"/>
  <c r="T23" i="263"/>
  <c r="T30" i="263" s="1"/>
  <c r="T21" i="263"/>
  <c r="T28" i="263" s="1"/>
  <c r="T17" i="263"/>
  <c r="T18" i="263" s="1"/>
  <c r="U16" i="263"/>
  <c r="T17" i="58"/>
  <c r="T18" i="58" s="1"/>
  <c r="U16" i="58"/>
  <c r="T21" i="58"/>
  <c r="T28" i="58" s="1"/>
  <c r="T23" i="58"/>
  <c r="T30" i="58" s="1"/>
  <c r="T17" i="219"/>
  <c r="T18" i="219" s="1"/>
  <c r="U16" i="219"/>
  <c r="T21" i="219"/>
  <c r="T23" i="219"/>
  <c r="T30" i="219" s="1"/>
  <c r="T17" i="286"/>
  <c r="T18" i="286" s="1"/>
  <c r="U16" i="286"/>
  <c r="T21" i="286"/>
  <c r="T28" i="286" s="1"/>
  <c r="T23" i="286"/>
  <c r="T30" i="286" s="1"/>
  <c r="T17" i="201"/>
  <c r="T18" i="201" s="1"/>
  <c r="U16" i="201"/>
  <c r="T21" i="201"/>
  <c r="T28" i="201" s="1"/>
  <c r="T23" i="201"/>
  <c r="T30" i="201" s="1"/>
  <c r="T17" i="176"/>
  <c r="T18" i="176" s="1"/>
  <c r="U16" i="176"/>
  <c r="T21" i="176"/>
  <c r="T28" i="176" s="1"/>
  <c r="T23" i="176"/>
  <c r="T30" i="176" s="1"/>
  <c r="U30" i="249" l="1"/>
  <c r="T30" i="269"/>
  <c r="T28" i="247"/>
  <c r="T28" i="82"/>
  <c r="T30" i="82"/>
  <c r="T28" i="287"/>
  <c r="T30" i="287"/>
  <c r="T28" i="284"/>
  <c r="U30" i="288"/>
  <c r="T28" i="288"/>
  <c r="T30" i="288"/>
  <c r="T28" i="296"/>
  <c r="T28" i="294"/>
  <c r="T28" i="246"/>
  <c r="T30" i="246"/>
  <c r="T30" i="257"/>
  <c r="U28" i="257"/>
  <c r="T28" i="257"/>
  <c r="T30" i="291"/>
  <c r="T28" i="291"/>
  <c r="T30" i="220"/>
  <c r="T28" i="220"/>
  <c r="U30" i="220"/>
  <c r="T28" i="208"/>
  <c r="U23" i="208"/>
  <c r="U30" i="208" s="1"/>
  <c r="U21" i="208"/>
  <c r="U28" i="208" s="1"/>
  <c r="U17" i="208"/>
  <c r="U18" i="208" s="1"/>
  <c r="V16" i="208"/>
  <c r="T28" i="219"/>
  <c r="W17" i="306"/>
  <c r="W18" i="306" s="1"/>
  <c r="X16" i="306"/>
  <c r="X17" i="306" s="1"/>
  <c r="X18" i="306" s="1"/>
  <c r="I4" i="306" s="1"/>
  <c r="W23" i="306"/>
  <c r="W30" i="306" s="1"/>
  <c r="W21" i="306"/>
  <c r="W28" i="306" s="1"/>
  <c r="U17" i="293"/>
  <c r="U18" i="293" s="1"/>
  <c r="V16" i="293"/>
  <c r="U21" i="293"/>
  <c r="U28" i="293" s="1"/>
  <c r="U23" i="293"/>
  <c r="U30" i="293" s="1"/>
  <c r="W17" i="305"/>
  <c r="W18" i="305" s="1"/>
  <c r="X16" i="305"/>
  <c r="X17" i="305" s="1"/>
  <c r="X18" i="305" s="1"/>
  <c r="I4" i="305" s="1"/>
  <c r="W23" i="305"/>
  <c r="W30" i="305" s="1"/>
  <c r="W21" i="305"/>
  <c r="W28" i="305" s="1"/>
  <c r="W17" i="304"/>
  <c r="W18" i="304" s="1"/>
  <c r="X16" i="304"/>
  <c r="X17" i="304" s="1"/>
  <c r="X18" i="304" s="1"/>
  <c r="I4" i="304" s="1"/>
  <c r="W23" i="304"/>
  <c r="W30" i="304" s="1"/>
  <c r="W21" i="304"/>
  <c r="W28" i="304" s="1"/>
  <c r="W17" i="303"/>
  <c r="W18" i="303" s="1"/>
  <c r="X16" i="303"/>
  <c r="X17" i="303" s="1"/>
  <c r="X18" i="303" s="1"/>
  <c r="I4" i="303" s="1"/>
  <c r="W23" i="303"/>
  <c r="W30" i="303" s="1"/>
  <c r="W21" i="303"/>
  <c r="W28" i="303" s="1"/>
  <c r="V17" i="302"/>
  <c r="V18" i="302" s="1"/>
  <c r="W16" i="302"/>
  <c r="V23" i="302"/>
  <c r="V30" i="302" s="1"/>
  <c r="V21" i="302"/>
  <c r="V28" i="302" s="1"/>
  <c r="W17" i="301"/>
  <c r="W18" i="301" s="1"/>
  <c r="X16" i="301"/>
  <c r="X17" i="301" s="1"/>
  <c r="X18" i="301" s="1"/>
  <c r="I4" i="301" s="1"/>
  <c r="W23" i="301"/>
  <c r="W30" i="301" s="1"/>
  <c r="W21" i="301"/>
  <c r="W28" i="301" s="1"/>
  <c r="V17" i="300"/>
  <c r="V18" i="300" s="1"/>
  <c r="W16" i="300"/>
  <c r="V23" i="300"/>
  <c r="V30" i="300" s="1"/>
  <c r="V21" i="300"/>
  <c r="V28" i="300" s="1"/>
  <c r="V17" i="299"/>
  <c r="V18" i="299" s="1"/>
  <c r="W16" i="299"/>
  <c r="V23" i="299"/>
  <c r="V30" i="299" s="1"/>
  <c r="V21" i="299"/>
  <c r="V28" i="299" s="1"/>
  <c r="X21" i="267"/>
  <c r="X28" i="267" s="1"/>
  <c r="X23" i="267"/>
  <c r="X30" i="267" s="1"/>
  <c r="U17" i="245"/>
  <c r="U18" i="245" s="1"/>
  <c r="V16" i="245"/>
  <c r="U23" i="245"/>
  <c r="U30" i="245" s="1"/>
  <c r="U21" i="245"/>
  <c r="U28" i="245" s="1"/>
  <c r="V17" i="276"/>
  <c r="V18" i="276" s="1"/>
  <c r="W16" i="276"/>
  <c r="V23" i="276"/>
  <c r="V30" i="276" s="1"/>
  <c r="V21" i="276"/>
  <c r="V28" i="276" s="1"/>
  <c r="U17" i="213"/>
  <c r="U18" i="213" s="1"/>
  <c r="V16" i="213"/>
  <c r="U23" i="213"/>
  <c r="U30" i="213" s="1"/>
  <c r="U21" i="213"/>
  <c r="U28" i="213" s="1"/>
  <c r="U17" i="271"/>
  <c r="U18" i="271" s="1"/>
  <c r="V16" i="271"/>
  <c r="U30" i="271"/>
  <c r="U28" i="271"/>
  <c r="U17" i="272"/>
  <c r="U18" i="272" s="1"/>
  <c r="V16" i="272"/>
  <c r="U23" i="272"/>
  <c r="U30" i="272" s="1"/>
  <c r="U21" i="272"/>
  <c r="U28" i="272" s="1"/>
  <c r="U17" i="290"/>
  <c r="U18" i="290" s="1"/>
  <c r="V16" i="290"/>
  <c r="U23" i="290"/>
  <c r="U30" i="290" s="1"/>
  <c r="U21" i="290"/>
  <c r="U28" i="290" s="1"/>
  <c r="U17" i="191"/>
  <c r="U18" i="191" s="1"/>
  <c r="V16" i="191"/>
  <c r="U23" i="191"/>
  <c r="U30" i="191" s="1"/>
  <c r="U21" i="191"/>
  <c r="U28" i="191" s="1"/>
  <c r="U17" i="275"/>
  <c r="U18" i="275" s="1"/>
  <c r="V16" i="275"/>
  <c r="U23" i="275"/>
  <c r="U30" i="275" s="1"/>
  <c r="U21" i="275"/>
  <c r="U28" i="275" s="1"/>
  <c r="U17" i="289"/>
  <c r="U18" i="289" s="1"/>
  <c r="V16" i="289"/>
  <c r="U23" i="289"/>
  <c r="U30" i="289" s="1"/>
  <c r="U21" i="289"/>
  <c r="U28" i="289" s="1"/>
  <c r="U17" i="217"/>
  <c r="U18" i="217" s="1"/>
  <c r="V16" i="217"/>
  <c r="U23" i="217"/>
  <c r="U30" i="217" s="1"/>
  <c r="U21" i="217"/>
  <c r="U28" i="217" s="1"/>
  <c r="U17" i="298"/>
  <c r="U18" i="298" s="1"/>
  <c r="V16" i="298"/>
  <c r="U23" i="298"/>
  <c r="U30" i="298" s="1"/>
  <c r="U21" i="298"/>
  <c r="U28" i="298" s="1"/>
  <c r="U17" i="220"/>
  <c r="U18" i="220" s="1"/>
  <c r="V16" i="220"/>
  <c r="U28" i="220"/>
  <c r="U17" i="291"/>
  <c r="U18" i="291" s="1"/>
  <c r="V16" i="291"/>
  <c r="U30" i="291"/>
  <c r="V17" i="195"/>
  <c r="V18" i="195" s="1"/>
  <c r="W16" i="195"/>
  <c r="V23" i="195"/>
  <c r="V30" i="195" s="1"/>
  <c r="V21" i="195"/>
  <c r="V28" i="195" s="1"/>
  <c r="U17" i="261"/>
  <c r="U18" i="261" s="1"/>
  <c r="V16" i="261"/>
  <c r="U23" i="261"/>
  <c r="U30" i="261" s="1"/>
  <c r="U21" i="261"/>
  <c r="U28" i="261" s="1"/>
  <c r="U17" i="257"/>
  <c r="U18" i="257" s="1"/>
  <c r="V16" i="257"/>
  <c r="U30" i="257"/>
  <c r="V17" i="242"/>
  <c r="V18" i="242" s="1"/>
  <c r="W16" i="242"/>
  <c r="V23" i="242"/>
  <c r="V30" i="242" s="1"/>
  <c r="V21" i="242"/>
  <c r="V28" i="242" s="1"/>
  <c r="U17" i="123"/>
  <c r="U18" i="123" s="1"/>
  <c r="V16" i="123"/>
  <c r="U23" i="123"/>
  <c r="U30" i="123" s="1"/>
  <c r="U21" i="123"/>
  <c r="U28" i="123" s="1"/>
  <c r="U17" i="188"/>
  <c r="U18" i="188" s="1"/>
  <c r="V16" i="188"/>
  <c r="U23" i="188"/>
  <c r="U30" i="188" s="1"/>
  <c r="U21" i="188"/>
  <c r="U28" i="188" s="1"/>
  <c r="V23" i="235"/>
  <c r="V30" i="235" s="1"/>
  <c r="V21" i="235"/>
  <c r="V28" i="235" s="1"/>
  <c r="V17" i="235"/>
  <c r="V18" i="235" s="1"/>
  <c r="W16" i="235"/>
  <c r="U17" i="246"/>
  <c r="U18" i="246" s="1"/>
  <c r="V16" i="246"/>
  <c r="U17" i="281"/>
  <c r="U18" i="281" s="1"/>
  <c r="V16" i="281"/>
  <c r="U30" i="281"/>
  <c r="U28" i="281"/>
  <c r="U17" i="295"/>
  <c r="U18" i="295" s="1"/>
  <c r="V16" i="295"/>
  <c r="U30" i="295"/>
  <c r="U17" i="241"/>
  <c r="U18" i="241" s="1"/>
  <c r="V16" i="241"/>
  <c r="U23" i="241"/>
  <c r="U30" i="241" s="1"/>
  <c r="U21" i="241"/>
  <c r="U28" i="241" s="1"/>
  <c r="U17" i="297"/>
  <c r="U18" i="297" s="1"/>
  <c r="V16" i="297"/>
  <c r="U23" i="297"/>
  <c r="U30" i="297" s="1"/>
  <c r="U21" i="297"/>
  <c r="U28" i="297" s="1"/>
  <c r="U17" i="161"/>
  <c r="U18" i="161" s="1"/>
  <c r="V16" i="161"/>
  <c r="U23" i="161"/>
  <c r="U30" i="161" s="1"/>
  <c r="U21" i="161"/>
  <c r="U28" i="161" s="1"/>
  <c r="U17" i="202"/>
  <c r="U18" i="202" s="1"/>
  <c r="V16" i="202"/>
  <c r="U23" i="202"/>
  <c r="U30" i="202" s="1"/>
  <c r="U21" i="202"/>
  <c r="U28" i="202" s="1"/>
  <c r="W17" i="260"/>
  <c r="W18" i="260" s="1"/>
  <c r="X16" i="260"/>
  <c r="X17" i="260" s="1"/>
  <c r="X18" i="260" s="1"/>
  <c r="W23" i="260"/>
  <c r="W30" i="260" s="1"/>
  <c r="W21" i="260"/>
  <c r="U17" i="120"/>
  <c r="U18" i="120" s="1"/>
  <c r="V16" i="120"/>
  <c r="U23" i="120"/>
  <c r="U30" i="120" s="1"/>
  <c r="U21" i="120"/>
  <c r="U28" i="120" s="1"/>
  <c r="U17" i="160"/>
  <c r="U18" i="160" s="1"/>
  <c r="V16" i="160"/>
  <c r="U23" i="160"/>
  <c r="U30" i="160" s="1"/>
  <c r="U21" i="160"/>
  <c r="U28" i="160" s="1"/>
  <c r="U17" i="279"/>
  <c r="U18" i="279" s="1"/>
  <c r="V16" i="279"/>
  <c r="U23" i="279"/>
  <c r="U30" i="279" s="1"/>
  <c r="U21" i="279"/>
  <c r="U28" i="279" s="1"/>
  <c r="U17" i="119"/>
  <c r="U18" i="119" s="1"/>
  <c r="V16" i="119"/>
  <c r="U23" i="119"/>
  <c r="U30" i="119" s="1"/>
  <c r="U21" i="119"/>
  <c r="U28" i="119" s="1"/>
  <c r="U17" i="264"/>
  <c r="U18" i="264" s="1"/>
  <c r="V16" i="264"/>
  <c r="U23" i="264"/>
  <c r="U30" i="264" s="1"/>
  <c r="U21" i="264"/>
  <c r="U28" i="264" s="1"/>
  <c r="U17" i="294"/>
  <c r="U18" i="294" s="1"/>
  <c r="V16" i="294"/>
  <c r="U17" i="159"/>
  <c r="U18" i="159" s="1"/>
  <c r="V16" i="159"/>
  <c r="U23" i="159"/>
  <c r="U30" i="159" s="1"/>
  <c r="U21" i="159"/>
  <c r="U28" i="159" s="1"/>
  <c r="U17" i="163"/>
  <c r="U18" i="163" s="1"/>
  <c r="V16" i="163"/>
  <c r="U23" i="163"/>
  <c r="U30" i="163" s="1"/>
  <c r="U21" i="163"/>
  <c r="U28" i="163" s="1"/>
  <c r="V17" i="283"/>
  <c r="V18" i="283" s="1"/>
  <c r="W16" i="283"/>
  <c r="V23" i="283"/>
  <c r="V30" i="283" s="1"/>
  <c r="V21" i="283"/>
  <c r="V28" i="283" s="1"/>
  <c r="U17" i="259"/>
  <c r="U18" i="259" s="1"/>
  <c r="V16" i="259"/>
  <c r="U23" i="259"/>
  <c r="U30" i="259" s="1"/>
  <c r="U21" i="259"/>
  <c r="U28" i="259" s="1"/>
  <c r="U17" i="118"/>
  <c r="U18" i="118" s="1"/>
  <c r="V16" i="118"/>
  <c r="U23" i="118"/>
  <c r="U30" i="118" s="1"/>
  <c r="U21" i="118"/>
  <c r="U28" i="118" s="1"/>
  <c r="U17" i="157"/>
  <c r="U18" i="157" s="1"/>
  <c r="V16" i="157"/>
  <c r="U23" i="157"/>
  <c r="U30" i="157" s="1"/>
  <c r="U21" i="157"/>
  <c r="U28" i="157" s="1"/>
  <c r="V30" i="296"/>
  <c r="U17" i="296"/>
  <c r="U18" i="296" s="1"/>
  <c r="V16" i="296"/>
  <c r="U17" i="288"/>
  <c r="U18" i="288" s="1"/>
  <c r="V16" i="288"/>
  <c r="U17" i="284"/>
  <c r="U18" i="284" s="1"/>
  <c r="V16" i="284"/>
  <c r="V17" i="249"/>
  <c r="V18" i="249" s="1"/>
  <c r="W16" i="249"/>
  <c r="U17" i="287"/>
  <c r="U18" i="287" s="1"/>
  <c r="V16" i="287"/>
  <c r="U30" i="287"/>
  <c r="U17" i="82"/>
  <c r="U18" i="82" s="1"/>
  <c r="V16" i="82"/>
  <c r="U28" i="82"/>
  <c r="U17" i="285"/>
  <c r="U18" i="285" s="1"/>
  <c r="V16" i="285"/>
  <c r="U23" i="285"/>
  <c r="U30" i="285" s="1"/>
  <c r="U21" i="285"/>
  <c r="U28" i="285" s="1"/>
  <c r="U17" i="247"/>
  <c r="U18" i="247" s="1"/>
  <c r="V16" i="247"/>
  <c r="U17" i="153"/>
  <c r="U18" i="153" s="1"/>
  <c r="V16" i="153"/>
  <c r="U23" i="153"/>
  <c r="U30" i="153" s="1"/>
  <c r="U21" i="153"/>
  <c r="U28" i="153" s="1"/>
  <c r="U17" i="79"/>
  <c r="U18" i="79" s="1"/>
  <c r="V16" i="79"/>
  <c r="U23" i="79"/>
  <c r="U30" i="79" s="1"/>
  <c r="U21" i="79"/>
  <c r="U28" i="79" s="1"/>
  <c r="U17" i="269"/>
  <c r="U18" i="269" s="1"/>
  <c r="V16" i="269"/>
  <c r="U30" i="269"/>
  <c r="U17" i="263"/>
  <c r="U18" i="263" s="1"/>
  <c r="V16" i="263"/>
  <c r="U23" i="263"/>
  <c r="U30" i="263" s="1"/>
  <c r="U21" i="263"/>
  <c r="U28" i="263" s="1"/>
  <c r="U17" i="58"/>
  <c r="U18" i="58" s="1"/>
  <c r="V16" i="58"/>
  <c r="U23" i="58"/>
  <c r="U30" i="58" s="1"/>
  <c r="U21" i="58"/>
  <c r="U28" i="58" s="1"/>
  <c r="U17" i="219"/>
  <c r="U18" i="219" s="1"/>
  <c r="V16" i="219"/>
  <c r="U23" i="219"/>
  <c r="U30" i="219" s="1"/>
  <c r="U21" i="219"/>
  <c r="U28" i="219" s="1"/>
  <c r="U17" i="286"/>
  <c r="U18" i="286" s="1"/>
  <c r="V16" i="286"/>
  <c r="U23" i="286"/>
  <c r="U30" i="286" s="1"/>
  <c r="U21" i="286"/>
  <c r="U28" i="286" s="1"/>
  <c r="U17" i="201"/>
  <c r="U18" i="201" s="1"/>
  <c r="V16" i="201"/>
  <c r="U23" i="201"/>
  <c r="U30" i="201" s="1"/>
  <c r="U21" i="201"/>
  <c r="U28" i="201" s="1"/>
  <c r="U17" i="176"/>
  <c r="U18" i="176" s="1"/>
  <c r="V16" i="176"/>
  <c r="U23" i="176"/>
  <c r="U30" i="176" s="1"/>
  <c r="U21" i="176"/>
  <c r="U28" i="176" s="1"/>
  <c r="AK16" i="72"/>
  <c r="J16" i="72" s="1"/>
  <c r="B16" i="72"/>
  <c r="A16" i="72"/>
  <c r="B16" i="76"/>
  <c r="A16" i="76"/>
  <c r="M16" i="4"/>
  <c r="L16" i="76" s="1"/>
  <c r="J16" i="4"/>
  <c r="H16" i="4"/>
  <c r="G16" i="4"/>
  <c r="E16" i="4"/>
  <c r="E16" i="76" s="1"/>
  <c r="D16" i="4"/>
  <c r="C16" i="4"/>
  <c r="C16" i="76" s="1"/>
  <c r="V30" i="249" l="1"/>
  <c r="V28" i="249"/>
  <c r="W28" i="249"/>
  <c r="U28" i="291"/>
  <c r="V28" i="291"/>
  <c r="V30" i="246"/>
  <c r="U30" i="246"/>
  <c r="U28" i="246"/>
  <c r="U28" i="295"/>
  <c r="V28" i="295"/>
  <c r="U28" i="294"/>
  <c r="U30" i="294"/>
  <c r="U30" i="296"/>
  <c r="V28" i="296"/>
  <c r="U28" i="296"/>
  <c r="U28" i="288"/>
  <c r="U30" i="284"/>
  <c r="U28" i="284"/>
  <c r="U28" i="287"/>
  <c r="V30" i="287"/>
  <c r="V30" i="82"/>
  <c r="U30" i="82"/>
  <c r="U28" i="247"/>
  <c r="U30" i="247"/>
  <c r="V30" i="269"/>
  <c r="U28" i="269"/>
  <c r="W28" i="260"/>
  <c r="F16" i="4"/>
  <c r="V17" i="208"/>
  <c r="V18" i="208" s="1"/>
  <c r="W16" i="208"/>
  <c r="V21" i="208"/>
  <c r="V28" i="208" s="1"/>
  <c r="V23" i="208"/>
  <c r="X21" i="306"/>
  <c r="X28" i="306" s="1"/>
  <c r="X23" i="306"/>
  <c r="X30" i="306" s="1"/>
  <c r="W16" i="293"/>
  <c r="V17" i="293"/>
  <c r="V18" i="293" s="1"/>
  <c r="V23" i="293"/>
  <c r="V30" i="293" s="1"/>
  <c r="V21" i="293"/>
  <c r="V28" i="293" s="1"/>
  <c r="X21" i="305"/>
  <c r="X28" i="305" s="1"/>
  <c r="X23" i="305"/>
  <c r="X30" i="305" s="1"/>
  <c r="X21" i="304"/>
  <c r="X28" i="304" s="1"/>
  <c r="X23" i="304"/>
  <c r="X30" i="304" s="1"/>
  <c r="X21" i="303"/>
  <c r="X28" i="303" s="1"/>
  <c r="X23" i="303"/>
  <c r="X30" i="303" s="1"/>
  <c r="W17" i="302"/>
  <c r="W18" i="302" s="1"/>
  <c r="X16" i="302"/>
  <c r="X17" i="302" s="1"/>
  <c r="X18" i="302" s="1"/>
  <c r="I4" i="302" s="1"/>
  <c r="W23" i="302"/>
  <c r="W30" i="302" s="1"/>
  <c r="W21" i="302"/>
  <c r="W28" i="302" s="1"/>
  <c r="X23" i="301"/>
  <c r="X30" i="301" s="1"/>
  <c r="X21" i="301"/>
  <c r="X28" i="301" s="1"/>
  <c r="W17" i="300"/>
  <c r="W18" i="300" s="1"/>
  <c r="X16" i="300"/>
  <c r="X17" i="300" s="1"/>
  <c r="X18" i="300" s="1"/>
  <c r="I4" i="300" s="1"/>
  <c r="W23" i="300"/>
  <c r="W30" i="300" s="1"/>
  <c r="W21" i="300"/>
  <c r="W28" i="300" s="1"/>
  <c r="W17" i="299"/>
  <c r="W18" i="299" s="1"/>
  <c r="X16" i="299"/>
  <c r="X17" i="299" s="1"/>
  <c r="X18" i="299" s="1"/>
  <c r="I4" i="299" s="1"/>
  <c r="W23" i="299"/>
  <c r="W30" i="299" s="1"/>
  <c r="W21" i="299"/>
  <c r="W28" i="299" s="1"/>
  <c r="V21" i="245"/>
  <c r="V28" i="245" s="1"/>
  <c r="V23" i="245"/>
  <c r="V30" i="245" s="1"/>
  <c r="V17" i="245"/>
  <c r="V18" i="245" s="1"/>
  <c r="W16" i="245"/>
  <c r="W17" i="276"/>
  <c r="W18" i="276" s="1"/>
  <c r="X16" i="276"/>
  <c r="X17" i="276" s="1"/>
  <c r="X18" i="276" s="1"/>
  <c r="W23" i="276"/>
  <c r="W30" i="276" s="1"/>
  <c r="W21" i="276"/>
  <c r="W28" i="276" s="1"/>
  <c r="V21" i="213"/>
  <c r="V28" i="213" s="1"/>
  <c r="V23" i="213"/>
  <c r="V30" i="213" s="1"/>
  <c r="V17" i="213"/>
  <c r="V18" i="213" s="1"/>
  <c r="W16" i="213"/>
  <c r="V17" i="271"/>
  <c r="V18" i="271" s="1"/>
  <c r="W16" i="271"/>
  <c r="V30" i="271"/>
  <c r="V28" i="271"/>
  <c r="V21" i="272"/>
  <c r="V28" i="272" s="1"/>
  <c r="V23" i="272"/>
  <c r="V30" i="272" s="1"/>
  <c r="V17" i="272"/>
  <c r="V18" i="272" s="1"/>
  <c r="W16" i="272"/>
  <c r="V17" i="290"/>
  <c r="V18" i="290" s="1"/>
  <c r="W16" i="290"/>
  <c r="V21" i="290"/>
  <c r="V28" i="290" s="1"/>
  <c r="V23" i="290"/>
  <c r="V30" i="290" s="1"/>
  <c r="V21" i="191"/>
  <c r="V28" i="191" s="1"/>
  <c r="V23" i="191"/>
  <c r="V30" i="191" s="1"/>
  <c r="V17" i="191"/>
  <c r="V18" i="191" s="1"/>
  <c r="W16" i="191"/>
  <c r="V21" i="275"/>
  <c r="V28" i="275" s="1"/>
  <c r="V23" i="275"/>
  <c r="V30" i="275" s="1"/>
  <c r="V17" i="275"/>
  <c r="V18" i="275" s="1"/>
  <c r="W16" i="275"/>
  <c r="V21" i="289"/>
  <c r="V28" i="289" s="1"/>
  <c r="V23" i="289"/>
  <c r="V30" i="289" s="1"/>
  <c r="V17" i="289"/>
  <c r="V18" i="289" s="1"/>
  <c r="W16" i="289"/>
  <c r="V17" i="217"/>
  <c r="V18" i="217" s="1"/>
  <c r="W16" i="217"/>
  <c r="V21" i="217"/>
  <c r="V28" i="217" s="1"/>
  <c r="V23" i="217"/>
  <c r="V30" i="217" s="1"/>
  <c r="V17" i="298"/>
  <c r="V18" i="298" s="1"/>
  <c r="W16" i="298"/>
  <c r="V21" i="298"/>
  <c r="V28" i="298" s="1"/>
  <c r="V23" i="298"/>
  <c r="V30" i="298" s="1"/>
  <c r="V17" i="220"/>
  <c r="V18" i="220" s="1"/>
  <c r="W16" i="220"/>
  <c r="V28" i="220"/>
  <c r="V30" i="291"/>
  <c r="V17" i="291"/>
  <c r="V18" i="291" s="1"/>
  <c r="W16" i="291"/>
  <c r="W17" i="195"/>
  <c r="W18" i="195" s="1"/>
  <c r="X16" i="195"/>
  <c r="X17" i="195" s="1"/>
  <c r="X18" i="195" s="1"/>
  <c r="W23" i="195"/>
  <c r="W30" i="195" s="1"/>
  <c r="W21" i="195"/>
  <c r="W28" i="195" s="1"/>
  <c r="V17" i="261"/>
  <c r="V18" i="261" s="1"/>
  <c r="W16" i="261"/>
  <c r="V23" i="261"/>
  <c r="V30" i="261" s="1"/>
  <c r="V21" i="261"/>
  <c r="V28" i="261" s="1"/>
  <c r="V17" i="257"/>
  <c r="V18" i="257" s="1"/>
  <c r="W16" i="257"/>
  <c r="W17" i="242"/>
  <c r="W18" i="242" s="1"/>
  <c r="X16" i="242"/>
  <c r="X17" i="242" s="1"/>
  <c r="X18" i="242" s="1"/>
  <c r="W23" i="242"/>
  <c r="W30" i="242" s="1"/>
  <c r="W21" i="242"/>
  <c r="W28" i="242" s="1"/>
  <c r="V17" i="123"/>
  <c r="V18" i="123" s="1"/>
  <c r="W16" i="123"/>
  <c r="V23" i="123"/>
  <c r="V30" i="123" s="1"/>
  <c r="V21" i="123"/>
  <c r="V28" i="123" s="1"/>
  <c r="V17" i="188"/>
  <c r="V18" i="188" s="1"/>
  <c r="W16" i="188"/>
  <c r="V23" i="188"/>
  <c r="V30" i="188" s="1"/>
  <c r="V21" i="188"/>
  <c r="V28" i="188" s="1"/>
  <c r="W23" i="235"/>
  <c r="W30" i="235" s="1"/>
  <c r="W21" i="235"/>
  <c r="W28" i="235" s="1"/>
  <c r="W17" i="235"/>
  <c r="W18" i="235" s="1"/>
  <c r="X16" i="235"/>
  <c r="X17" i="235" s="1"/>
  <c r="X18" i="235" s="1"/>
  <c r="V17" i="246"/>
  <c r="V18" i="246" s="1"/>
  <c r="W16" i="246"/>
  <c r="V28" i="281"/>
  <c r="V30" i="281"/>
  <c r="V17" i="281"/>
  <c r="V18" i="281" s="1"/>
  <c r="W16" i="281"/>
  <c r="V17" i="295"/>
  <c r="V18" i="295" s="1"/>
  <c r="W16" i="295"/>
  <c r="V21" i="241"/>
  <c r="V28" i="241" s="1"/>
  <c r="V23" i="241"/>
  <c r="V30" i="241" s="1"/>
  <c r="V17" i="241"/>
  <c r="V18" i="241" s="1"/>
  <c r="W16" i="241"/>
  <c r="V17" i="297"/>
  <c r="V18" i="297" s="1"/>
  <c r="W16" i="297"/>
  <c r="V23" i="297"/>
  <c r="V30" i="297" s="1"/>
  <c r="V21" i="297"/>
  <c r="V28" i="297" s="1"/>
  <c r="V21" i="161"/>
  <c r="V28" i="161" s="1"/>
  <c r="V23" i="161"/>
  <c r="V30" i="161" s="1"/>
  <c r="V17" i="161"/>
  <c r="V18" i="161" s="1"/>
  <c r="W16" i="161"/>
  <c r="V17" i="202"/>
  <c r="V18" i="202" s="1"/>
  <c r="W16" i="202"/>
  <c r="V23" i="202"/>
  <c r="V30" i="202" s="1"/>
  <c r="V21" i="202"/>
  <c r="V28" i="202" s="1"/>
  <c r="X23" i="260"/>
  <c r="X30" i="260" s="1"/>
  <c r="X21" i="260"/>
  <c r="X28" i="260" s="1"/>
  <c r="V17" i="120"/>
  <c r="V18" i="120" s="1"/>
  <c r="W16" i="120"/>
  <c r="V23" i="120"/>
  <c r="V30" i="120" s="1"/>
  <c r="V21" i="120"/>
  <c r="V28" i="120" s="1"/>
  <c r="V17" i="160"/>
  <c r="V18" i="160" s="1"/>
  <c r="W16" i="160"/>
  <c r="V23" i="160"/>
  <c r="V30" i="160" s="1"/>
  <c r="V21" i="160"/>
  <c r="V28" i="160" s="1"/>
  <c r="V21" i="279"/>
  <c r="V28" i="279" s="1"/>
  <c r="V23" i="279"/>
  <c r="V30" i="279" s="1"/>
  <c r="V17" i="279"/>
  <c r="V18" i="279" s="1"/>
  <c r="W16" i="279"/>
  <c r="V21" i="119"/>
  <c r="V28" i="119" s="1"/>
  <c r="V23" i="119"/>
  <c r="V30" i="119" s="1"/>
  <c r="V17" i="119"/>
  <c r="V18" i="119" s="1"/>
  <c r="W16" i="119"/>
  <c r="V21" i="264"/>
  <c r="V28" i="264" s="1"/>
  <c r="V23" i="264"/>
  <c r="V30" i="264" s="1"/>
  <c r="V17" i="264"/>
  <c r="V18" i="264" s="1"/>
  <c r="W16" i="264"/>
  <c r="V17" i="294"/>
  <c r="V18" i="294" s="1"/>
  <c r="W16" i="294"/>
  <c r="V21" i="159"/>
  <c r="V28" i="159" s="1"/>
  <c r="V23" i="159"/>
  <c r="V30" i="159" s="1"/>
  <c r="V17" i="159"/>
  <c r="V18" i="159" s="1"/>
  <c r="W16" i="159"/>
  <c r="V21" i="163"/>
  <c r="V28" i="163" s="1"/>
  <c r="V23" i="163"/>
  <c r="V30" i="163" s="1"/>
  <c r="V17" i="163"/>
  <c r="V18" i="163" s="1"/>
  <c r="W16" i="163"/>
  <c r="W17" i="283"/>
  <c r="W18" i="283" s="1"/>
  <c r="X16" i="283"/>
  <c r="X17" i="283" s="1"/>
  <c r="X18" i="283" s="1"/>
  <c r="W23" i="283"/>
  <c r="W30" i="283" s="1"/>
  <c r="W21" i="283"/>
  <c r="W28" i="283" s="1"/>
  <c r="V21" i="259"/>
  <c r="V28" i="259" s="1"/>
  <c r="V23" i="259"/>
  <c r="V30" i="259" s="1"/>
  <c r="V17" i="259"/>
  <c r="V18" i="259" s="1"/>
  <c r="W16" i="259"/>
  <c r="V21" i="118"/>
  <c r="V28" i="118" s="1"/>
  <c r="V23" i="118"/>
  <c r="V30" i="118" s="1"/>
  <c r="V17" i="118"/>
  <c r="V18" i="118" s="1"/>
  <c r="W16" i="118"/>
  <c r="V21" i="157"/>
  <c r="V28" i="157" s="1"/>
  <c r="V23" i="157"/>
  <c r="V30" i="157" s="1"/>
  <c r="V17" i="157"/>
  <c r="V18" i="157" s="1"/>
  <c r="W16" i="157"/>
  <c r="V17" i="296"/>
  <c r="V18" i="296" s="1"/>
  <c r="W16" i="296"/>
  <c r="V17" i="288"/>
  <c r="V18" i="288" s="1"/>
  <c r="W16" i="288"/>
  <c r="V17" i="284"/>
  <c r="V18" i="284" s="1"/>
  <c r="W16" i="284"/>
  <c r="V28" i="284"/>
  <c r="W17" i="249"/>
  <c r="W18" i="249" s="1"/>
  <c r="X16" i="249"/>
  <c r="X17" i="249" s="1"/>
  <c r="X18" i="249" s="1"/>
  <c r="W30" i="249"/>
  <c r="V17" i="287"/>
  <c r="V18" i="287" s="1"/>
  <c r="W16" i="287"/>
  <c r="V28" i="82"/>
  <c r="V17" i="82"/>
  <c r="V18" i="82" s="1"/>
  <c r="W16" i="82"/>
  <c r="V17" i="285"/>
  <c r="V18" i="285" s="1"/>
  <c r="W16" i="285"/>
  <c r="V23" i="285"/>
  <c r="V30" i="285" s="1"/>
  <c r="V21" i="285"/>
  <c r="V28" i="285" s="1"/>
  <c r="V28" i="247"/>
  <c r="V17" i="247"/>
  <c r="V18" i="247" s="1"/>
  <c r="W16" i="247"/>
  <c r="V17" i="153"/>
  <c r="V18" i="153" s="1"/>
  <c r="W16" i="153"/>
  <c r="V23" i="153"/>
  <c r="V30" i="153" s="1"/>
  <c r="V21" i="153"/>
  <c r="V28" i="153" s="1"/>
  <c r="V21" i="79"/>
  <c r="V28" i="79" s="1"/>
  <c r="V23" i="79"/>
  <c r="V30" i="79" s="1"/>
  <c r="V17" i="79"/>
  <c r="V18" i="79" s="1"/>
  <c r="W16" i="79"/>
  <c r="V17" i="269"/>
  <c r="V18" i="269" s="1"/>
  <c r="W16" i="269"/>
  <c r="V21" i="263"/>
  <c r="V28" i="263" s="1"/>
  <c r="V23" i="263"/>
  <c r="V30" i="263" s="1"/>
  <c r="V17" i="263"/>
  <c r="V18" i="263" s="1"/>
  <c r="W16" i="263"/>
  <c r="V17" i="58"/>
  <c r="V18" i="58" s="1"/>
  <c r="W16" i="58"/>
  <c r="V23" i="58"/>
  <c r="V30" i="58" s="1"/>
  <c r="V21" i="58"/>
  <c r="V28" i="58" s="1"/>
  <c r="V17" i="219"/>
  <c r="V18" i="219" s="1"/>
  <c r="W16" i="219"/>
  <c r="V23" i="219"/>
  <c r="V30" i="219" s="1"/>
  <c r="V21" i="219"/>
  <c r="V28" i="219" s="1"/>
  <c r="V17" i="286"/>
  <c r="V18" i="286" s="1"/>
  <c r="W16" i="286"/>
  <c r="V23" i="286"/>
  <c r="V30" i="286" s="1"/>
  <c r="V21" i="286"/>
  <c r="V28" i="286" s="1"/>
  <c r="V17" i="201"/>
  <c r="V18" i="201" s="1"/>
  <c r="W16" i="201"/>
  <c r="V23" i="201"/>
  <c r="V30" i="201" s="1"/>
  <c r="V21" i="201"/>
  <c r="V28" i="201" s="1"/>
  <c r="V17" i="176"/>
  <c r="V18" i="176" s="1"/>
  <c r="W16" i="176"/>
  <c r="V23" i="176"/>
  <c r="V30" i="176" s="1"/>
  <c r="V21" i="176"/>
  <c r="V28" i="176" s="1"/>
  <c r="K16" i="72"/>
  <c r="L16" i="72" s="1"/>
  <c r="D16" i="76"/>
  <c r="AK61" i="72"/>
  <c r="J61" i="72" s="1"/>
  <c r="B61" i="72"/>
  <c r="A61" i="72"/>
  <c r="B61" i="76"/>
  <c r="A61" i="76"/>
  <c r="M61" i="4"/>
  <c r="K61" i="72" s="1"/>
  <c r="L61" i="72" s="1"/>
  <c r="J61" i="4"/>
  <c r="H61" i="4"/>
  <c r="D61" i="4"/>
  <c r="AK70" i="72"/>
  <c r="J70" i="72" s="1"/>
  <c r="B70" i="72"/>
  <c r="A70" i="72"/>
  <c r="B70" i="76"/>
  <c r="A70" i="76"/>
  <c r="M70" i="4"/>
  <c r="K70" i="72" s="1"/>
  <c r="L70" i="72" s="1"/>
  <c r="J70" i="4"/>
  <c r="H70" i="4"/>
  <c r="D70" i="4"/>
  <c r="D70" i="76" s="1"/>
  <c r="AK66" i="72"/>
  <c r="J66" i="72" s="1"/>
  <c r="B66" i="72"/>
  <c r="A66" i="72"/>
  <c r="B66" i="76"/>
  <c r="A66" i="76"/>
  <c r="M66" i="4"/>
  <c r="K66" i="72" s="1"/>
  <c r="L66" i="72" s="1"/>
  <c r="J66" i="4"/>
  <c r="H66" i="4"/>
  <c r="D66" i="4"/>
  <c r="V30" i="220" l="1"/>
  <c r="W30" i="291"/>
  <c r="V30" i="257"/>
  <c r="V28" i="257"/>
  <c r="V28" i="246"/>
  <c r="V30" i="295"/>
  <c r="V30" i="294"/>
  <c r="V28" i="294"/>
  <c r="V28" i="288"/>
  <c r="V30" i="288"/>
  <c r="V30" i="284"/>
  <c r="V28" i="287"/>
  <c r="W28" i="82"/>
  <c r="W28" i="247"/>
  <c r="V30" i="247"/>
  <c r="V28" i="269"/>
  <c r="W28" i="269"/>
  <c r="V30" i="208"/>
  <c r="M16" i="72"/>
  <c r="X16" i="208"/>
  <c r="X17" i="208" s="1"/>
  <c r="X18" i="208" s="1"/>
  <c r="W17" i="208"/>
  <c r="W18" i="208" s="1"/>
  <c r="W23" i="208"/>
  <c r="W30" i="208" s="1"/>
  <c r="W21" i="208"/>
  <c r="W28" i="208" s="1"/>
  <c r="W23" i="293"/>
  <c r="W30" i="293" s="1"/>
  <c r="W21" i="293"/>
  <c r="W28" i="293" s="1"/>
  <c r="W17" i="293"/>
  <c r="W18" i="293" s="1"/>
  <c r="X16" i="293"/>
  <c r="X17" i="293" s="1"/>
  <c r="X18" i="293" s="1"/>
  <c r="K16" i="4"/>
  <c r="I16" i="4"/>
  <c r="X21" i="302"/>
  <c r="X28" i="302" s="1"/>
  <c r="X23" i="302"/>
  <c r="X30" i="302" s="1"/>
  <c r="X21" i="300"/>
  <c r="X28" i="300" s="1"/>
  <c r="X23" i="300"/>
  <c r="X30" i="300" s="1"/>
  <c r="X21" i="299"/>
  <c r="X28" i="299" s="1"/>
  <c r="X23" i="299"/>
  <c r="X30" i="299" s="1"/>
  <c r="W17" i="245"/>
  <c r="W18" i="245" s="1"/>
  <c r="X16" i="245"/>
  <c r="X17" i="245" s="1"/>
  <c r="X18" i="245" s="1"/>
  <c r="W23" i="245"/>
  <c r="W30" i="245" s="1"/>
  <c r="W21" i="245"/>
  <c r="W28" i="245" s="1"/>
  <c r="X23" i="276"/>
  <c r="X30" i="276" s="1"/>
  <c r="X21" i="276"/>
  <c r="X28" i="276" s="1"/>
  <c r="W17" i="213"/>
  <c r="W18" i="213" s="1"/>
  <c r="X16" i="213"/>
  <c r="X17" i="213" s="1"/>
  <c r="X18" i="213" s="1"/>
  <c r="W23" i="213"/>
  <c r="W30" i="213" s="1"/>
  <c r="W21" i="213"/>
  <c r="W28" i="213" s="1"/>
  <c r="W17" i="271"/>
  <c r="W18" i="271" s="1"/>
  <c r="X16" i="271"/>
  <c r="X17" i="271" s="1"/>
  <c r="X18" i="271" s="1"/>
  <c r="W30" i="271"/>
  <c r="W28" i="271"/>
  <c r="W17" i="272"/>
  <c r="W18" i="272" s="1"/>
  <c r="X16" i="272"/>
  <c r="X17" i="272" s="1"/>
  <c r="X18" i="272" s="1"/>
  <c r="W23" i="272"/>
  <c r="W30" i="272" s="1"/>
  <c r="W21" i="272"/>
  <c r="W28" i="272" s="1"/>
  <c r="W17" i="290"/>
  <c r="W18" i="290" s="1"/>
  <c r="X16" i="290"/>
  <c r="W23" i="290"/>
  <c r="W30" i="290" s="1"/>
  <c r="W21" i="290"/>
  <c r="W28" i="290" s="1"/>
  <c r="W17" i="191"/>
  <c r="W18" i="191" s="1"/>
  <c r="X16" i="191"/>
  <c r="X17" i="191" s="1"/>
  <c r="X18" i="191" s="1"/>
  <c r="W23" i="191"/>
  <c r="W30" i="191" s="1"/>
  <c r="W21" i="191"/>
  <c r="W28" i="191" s="1"/>
  <c r="W17" i="275"/>
  <c r="W18" i="275" s="1"/>
  <c r="X16" i="275"/>
  <c r="X17" i="275" s="1"/>
  <c r="X18" i="275" s="1"/>
  <c r="W23" i="275"/>
  <c r="W30" i="275" s="1"/>
  <c r="W21" i="275"/>
  <c r="W28" i="275" s="1"/>
  <c r="W17" i="289"/>
  <c r="W18" i="289" s="1"/>
  <c r="X16" i="289"/>
  <c r="W23" i="289"/>
  <c r="W30" i="289" s="1"/>
  <c r="W21" i="289"/>
  <c r="W28" i="289" s="1"/>
  <c r="W17" i="217"/>
  <c r="W18" i="217" s="1"/>
  <c r="X16" i="217"/>
  <c r="X17" i="217" s="1"/>
  <c r="X18" i="217" s="1"/>
  <c r="W23" i="217"/>
  <c r="W30" i="217" s="1"/>
  <c r="W21" i="217"/>
  <c r="W28" i="217" s="1"/>
  <c r="W17" i="298"/>
  <c r="W18" i="298" s="1"/>
  <c r="X16" i="298"/>
  <c r="W23" i="298"/>
  <c r="W30" i="298" s="1"/>
  <c r="W21" i="298"/>
  <c r="W28" i="298" s="1"/>
  <c r="W17" i="220"/>
  <c r="W18" i="220" s="1"/>
  <c r="X16" i="220"/>
  <c r="X17" i="220" s="1"/>
  <c r="X18" i="220" s="1"/>
  <c r="W30" i="220"/>
  <c r="W28" i="220"/>
  <c r="W17" i="291"/>
  <c r="W18" i="291" s="1"/>
  <c r="X16" i="291"/>
  <c r="X23" i="195"/>
  <c r="X30" i="195" s="1"/>
  <c r="X21" i="195"/>
  <c r="X28" i="195" s="1"/>
  <c r="W17" i="261"/>
  <c r="W18" i="261" s="1"/>
  <c r="X16" i="261"/>
  <c r="X17" i="261" s="1"/>
  <c r="X18" i="261" s="1"/>
  <c r="W23" i="261"/>
  <c r="W30" i="261" s="1"/>
  <c r="W21" i="261"/>
  <c r="W28" i="261" s="1"/>
  <c r="W17" i="257"/>
  <c r="W18" i="257" s="1"/>
  <c r="X16" i="257"/>
  <c r="X17" i="257" s="1"/>
  <c r="X18" i="257" s="1"/>
  <c r="W28" i="257"/>
  <c r="X21" i="242"/>
  <c r="X28" i="242" s="1"/>
  <c r="X23" i="242"/>
  <c r="X30" i="242" s="1"/>
  <c r="W17" i="123"/>
  <c r="W18" i="123" s="1"/>
  <c r="X16" i="123"/>
  <c r="X17" i="123" s="1"/>
  <c r="X18" i="123" s="1"/>
  <c r="W23" i="123"/>
  <c r="W30" i="123" s="1"/>
  <c r="W21" i="123"/>
  <c r="W28" i="123" s="1"/>
  <c r="W17" i="188"/>
  <c r="W18" i="188" s="1"/>
  <c r="X16" i="188"/>
  <c r="X17" i="188" s="1"/>
  <c r="X18" i="188" s="1"/>
  <c r="W23" i="188"/>
  <c r="W30" i="188" s="1"/>
  <c r="W21" i="188"/>
  <c r="W28" i="188" s="1"/>
  <c r="X21" i="235"/>
  <c r="X28" i="235" s="1"/>
  <c r="X23" i="235"/>
  <c r="X30" i="235" s="1"/>
  <c r="W17" i="246"/>
  <c r="W18" i="246" s="1"/>
  <c r="X16" i="246"/>
  <c r="X17" i="246" s="1"/>
  <c r="X18" i="246" s="1"/>
  <c r="W30" i="246"/>
  <c r="W28" i="246"/>
  <c r="W17" i="281"/>
  <c r="W18" i="281" s="1"/>
  <c r="X16" i="281"/>
  <c r="X17" i="281" s="1"/>
  <c r="X18" i="281" s="1"/>
  <c r="W23" i="281"/>
  <c r="W30" i="281" s="1"/>
  <c r="W21" i="281"/>
  <c r="W28" i="281" s="1"/>
  <c r="W17" i="295"/>
  <c r="W18" i="295" s="1"/>
  <c r="X16" i="295"/>
  <c r="W30" i="295"/>
  <c r="W28" i="295"/>
  <c r="W17" i="241"/>
  <c r="W18" i="241" s="1"/>
  <c r="X16" i="241"/>
  <c r="X17" i="241" s="1"/>
  <c r="X18" i="241" s="1"/>
  <c r="W23" i="241"/>
  <c r="W30" i="241" s="1"/>
  <c r="W21" i="241"/>
  <c r="W28" i="241" s="1"/>
  <c r="W17" i="297"/>
  <c r="W18" i="297" s="1"/>
  <c r="X16" i="297"/>
  <c r="W23" i="297"/>
  <c r="W30" i="297" s="1"/>
  <c r="W21" i="297"/>
  <c r="W28" i="297" s="1"/>
  <c r="W17" i="161"/>
  <c r="W18" i="161" s="1"/>
  <c r="X16" i="161"/>
  <c r="X17" i="161" s="1"/>
  <c r="X18" i="161" s="1"/>
  <c r="W23" i="161"/>
  <c r="W30" i="161" s="1"/>
  <c r="W21" i="161"/>
  <c r="W28" i="161" s="1"/>
  <c r="W17" i="202"/>
  <c r="W18" i="202" s="1"/>
  <c r="X16" i="202"/>
  <c r="X17" i="202" s="1"/>
  <c r="X18" i="202" s="1"/>
  <c r="W23" i="202"/>
  <c r="W30" i="202" s="1"/>
  <c r="W21" i="202"/>
  <c r="W28" i="202" s="1"/>
  <c r="W17" i="120"/>
  <c r="W18" i="120" s="1"/>
  <c r="X16" i="120"/>
  <c r="X17" i="120" s="1"/>
  <c r="X18" i="120" s="1"/>
  <c r="W23" i="120"/>
  <c r="W30" i="120" s="1"/>
  <c r="W21" i="120"/>
  <c r="W28" i="120" s="1"/>
  <c r="W17" i="160"/>
  <c r="W18" i="160" s="1"/>
  <c r="X16" i="160"/>
  <c r="X17" i="160" s="1"/>
  <c r="X18" i="160" s="1"/>
  <c r="W23" i="160"/>
  <c r="W30" i="160" s="1"/>
  <c r="W21" i="160"/>
  <c r="W28" i="160" s="1"/>
  <c r="W17" i="279"/>
  <c r="W18" i="279" s="1"/>
  <c r="X16" i="279"/>
  <c r="X17" i="279" s="1"/>
  <c r="X18" i="279" s="1"/>
  <c r="W23" i="279"/>
  <c r="W30" i="279" s="1"/>
  <c r="W21" i="279"/>
  <c r="W28" i="279" s="1"/>
  <c r="W17" i="119"/>
  <c r="W18" i="119" s="1"/>
  <c r="X16" i="119"/>
  <c r="X17" i="119" s="1"/>
  <c r="X18" i="119" s="1"/>
  <c r="W23" i="119"/>
  <c r="W30" i="119" s="1"/>
  <c r="W21" i="119"/>
  <c r="W28" i="119" s="1"/>
  <c r="W17" i="264"/>
  <c r="W18" i="264" s="1"/>
  <c r="X16" i="264"/>
  <c r="X17" i="264" s="1"/>
  <c r="X18" i="264" s="1"/>
  <c r="W23" i="264"/>
  <c r="W30" i="264" s="1"/>
  <c r="W21" i="264"/>
  <c r="W28" i="264" s="1"/>
  <c r="W17" i="294"/>
  <c r="W18" i="294" s="1"/>
  <c r="X16" i="294"/>
  <c r="W28" i="294"/>
  <c r="W17" i="159"/>
  <c r="W18" i="159" s="1"/>
  <c r="X16" i="159"/>
  <c r="X17" i="159" s="1"/>
  <c r="X18" i="159" s="1"/>
  <c r="W23" i="159"/>
  <c r="W30" i="159" s="1"/>
  <c r="W21" i="159"/>
  <c r="W28" i="159" s="1"/>
  <c r="W17" i="163"/>
  <c r="W18" i="163" s="1"/>
  <c r="X16" i="163"/>
  <c r="X17" i="163" s="1"/>
  <c r="X18" i="163" s="1"/>
  <c r="W23" i="163"/>
  <c r="W30" i="163" s="1"/>
  <c r="W21" i="163"/>
  <c r="W28" i="163" s="1"/>
  <c r="X23" i="283"/>
  <c r="X30" i="283" s="1"/>
  <c r="X21" i="283"/>
  <c r="X28" i="283" s="1"/>
  <c r="W17" i="259"/>
  <c r="W18" i="259" s="1"/>
  <c r="X16" i="259"/>
  <c r="X17" i="259" s="1"/>
  <c r="X18" i="259" s="1"/>
  <c r="W23" i="259"/>
  <c r="W30" i="259" s="1"/>
  <c r="W21" i="259"/>
  <c r="W28" i="259" s="1"/>
  <c r="W17" i="118"/>
  <c r="W18" i="118" s="1"/>
  <c r="X16" i="118"/>
  <c r="X17" i="118" s="1"/>
  <c r="X18" i="118" s="1"/>
  <c r="W23" i="118"/>
  <c r="W30" i="118" s="1"/>
  <c r="W21" i="118"/>
  <c r="W28" i="118" s="1"/>
  <c r="W17" i="157"/>
  <c r="W18" i="157" s="1"/>
  <c r="X16" i="157"/>
  <c r="X17" i="157" s="1"/>
  <c r="X18" i="157" s="1"/>
  <c r="W23" i="157"/>
  <c r="W30" i="157" s="1"/>
  <c r="W21" i="157"/>
  <c r="W28" i="157" s="1"/>
  <c r="W17" i="296"/>
  <c r="W18" i="296" s="1"/>
  <c r="X16" i="296"/>
  <c r="W17" i="288"/>
  <c r="W18" i="288" s="1"/>
  <c r="X16" i="288"/>
  <c r="X17" i="288" s="1"/>
  <c r="X18" i="288" s="1"/>
  <c r="G26" i="4" s="1"/>
  <c r="W17" i="284"/>
  <c r="W18" i="284" s="1"/>
  <c r="X16" i="284"/>
  <c r="X17" i="284" s="1"/>
  <c r="X18" i="284" s="1"/>
  <c r="W28" i="284"/>
  <c r="X30" i="249"/>
  <c r="X28" i="249"/>
  <c r="W17" i="287"/>
  <c r="W18" i="287" s="1"/>
  <c r="X16" i="287"/>
  <c r="X17" i="287" s="1"/>
  <c r="X18" i="287" s="1"/>
  <c r="W28" i="287"/>
  <c r="W17" i="82"/>
  <c r="W18" i="82" s="1"/>
  <c r="X16" i="82"/>
  <c r="X17" i="82" s="1"/>
  <c r="X18" i="82" s="1"/>
  <c r="W17" i="285"/>
  <c r="W18" i="285" s="1"/>
  <c r="X16" i="285"/>
  <c r="X17" i="285" s="1"/>
  <c r="X18" i="285" s="1"/>
  <c r="W23" i="285"/>
  <c r="W30" i="285" s="1"/>
  <c r="W21" i="285"/>
  <c r="W28" i="285" s="1"/>
  <c r="W17" i="247"/>
  <c r="W18" i="247" s="1"/>
  <c r="X16" i="247"/>
  <c r="X17" i="247" s="1"/>
  <c r="X18" i="247" s="1"/>
  <c r="W30" i="247"/>
  <c r="W17" i="153"/>
  <c r="W18" i="153" s="1"/>
  <c r="X16" i="153"/>
  <c r="X17" i="153" s="1"/>
  <c r="X18" i="153" s="1"/>
  <c r="W23" i="153"/>
  <c r="W30" i="153" s="1"/>
  <c r="W21" i="153"/>
  <c r="W28" i="153" s="1"/>
  <c r="W17" i="79"/>
  <c r="W18" i="79" s="1"/>
  <c r="X16" i="79"/>
  <c r="X17" i="79" s="1"/>
  <c r="X18" i="79" s="1"/>
  <c r="W23" i="79"/>
  <c r="W30" i="79" s="1"/>
  <c r="W21" i="79"/>
  <c r="W28" i="79" s="1"/>
  <c r="W17" i="269"/>
  <c r="W18" i="269" s="1"/>
  <c r="X16" i="269"/>
  <c r="X17" i="269" s="1"/>
  <c r="X18" i="269" s="1"/>
  <c r="W17" i="263"/>
  <c r="W18" i="263" s="1"/>
  <c r="X16" i="263"/>
  <c r="X17" i="263" s="1"/>
  <c r="X18" i="263" s="1"/>
  <c r="W23" i="263"/>
  <c r="W30" i="263" s="1"/>
  <c r="W21" i="263"/>
  <c r="W28" i="263" s="1"/>
  <c r="W17" i="58"/>
  <c r="W18" i="58" s="1"/>
  <c r="X16" i="58"/>
  <c r="X17" i="58" s="1"/>
  <c r="X18" i="58" s="1"/>
  <c r="W23" i="58"/>
  <c r="W30" i="58" s="1"/>
  <c r="W21" i="58"/>
  <c r="W28" i="58" s="1"/>
  <c r="W17" i="219"/>
  <c r="W18" i="219" s="1"/>
  <c r="X16" i="219"/>
  <c r="X17" i="219" s="1"/>
  <c r="X18" i="219" s="1"/>
  <c r="W23" i="219"/>
  <c r="W30" i="219" s="1"/>
  <c r="W21" i="219"/>
  <c r="W28" i="219" s="1"/>
  <c r="W17" i="286"/>
  <c r="W18" i="286" s="1"/>
  <c r="X16" i="286"/>
  <c r="X17" i="286" s="1"/>
  <c r="X18" i="286" s="1"/>
  <c r="W23" i="286"/>
  <c r="W30" i="286" s="1"/>
  <c r="W21" i="286"/>
  <c r="W28" i="286" s="1"/>
  <c r="W17" i="201"/>
  <c r="W18" i="201" s="1"/>
  <c r="X16" i="201"/>
  <c r="X17" i="201" s="1"/>
  <c r="X18" i="201" s="1"/>
  <c r="W23" i="201"/>
  <c r="W30" i="201" s="1"/>
  <c r="W21" i="201"/>
  <c r="W28" i="201" s="1"/>
  <c r="W17" i="176"/>
  <c r="W18" i="176" s="1"/>
  <c r="X16" i="176"/>
  <c r="X17" i="176" s="1"/>
  <c r="X18" i="176" s="1"/>
  <c r="W23" i="176"/>
  <c r="W30" i="176" s="1"/>
  <c r="W21" i="176"/>
  <c r="W28" i="176" s="1"/>
  <c r="L61" i="76"/>
  <c r="L66" i="76"/>
  <c r="L70" i="76"/>
  <c r="D61" i="76"/>
  <c r="M61" i="72"/>
  <c r="M70" i="72"/>
  <c r="D66" i="76"/>
  <c r="M66" i="72"/>
  <c r="AK26" i="72"/>
  <c r="J26" i="72" s="1"/>
  <c r="B26" i="72"/>
  <c r="A26" i="72"/>
  <c r="B26" i="76"/>
  <c r="A26" i="76"/>
  <c r="M26" i="4"/>
  <c r="K26" i="72" s="1"/>
  <c r="L26" i="72" s="1"/>
  <c r="J26" i="4"/>
  <c r="H26" i="4"/>
  <c r="E26" i="4"/>
  <c r="E26" i="76" s="1"/>
  <c r="D26" i="4"/>
  <c r="C26" i="4"/>
  <c r="C26" i="76" s="1"/>
  <c r="W28" i="291" l="1"/>
  <c r="W30" i="257"/>
  <c r="X30" i="295"/>
  <c r="W30" i="294"/>
  <c r="W30" i="296"/>
  <c r="W28" i="296"/>
  <c r="W30" i="288"/>
  <c r="W28" i="288"/>
  <c r="W30" i="284"/>
  <c r="W30" i="287"/>
  <c r="W30" i="82"/>
  <c r="W30" i="269"/>
  <c r="X21" i="208"/>
  <c r="X28" i="208" s="1"/>
  <c r="X23" i="208"/>
  <c r="X30" i="208" s="1"/>
  <c r="X21" i="293"/>
  <c r="X28" i="293" s="1"/>
  <c r="X23" i="293"/>
  <c r="X30" i="293" s="1"/>
  <c r="X23" i="245"/>
  <c r="X30" i="245" s="1"/>
  <c r="X21" i="245"/>
  <c r="X28" i="245" s="1"/>
  <c r="X23" i="213"/>
  <c r="X30" i="213" s="1"/>
  <c r="X21" i="213"/>
  <c r="X28" i="213" s="1"/>
  <c r="X21" i="271"/>
  <c r="X28" i="271" s="1"/>
  <c r="X23" i="271"/>
  <c r="X30" i="271" s="1"/>
  <c r="X23" i="272"/>
  <c r="X30" i="272" s="1"/>
  <c r="X21" i="272"/>
  <c r="X28" i="272" s="1"/>
  <c r="X23" i="290"/>
  <c r="X21" i="290"/>
  <c r="X17" i="290"/>
  <c r="C70" i="4"/>
  <c r="C70" i="76" s="1"/>
  <c r="X23" i="191"/>
  <c r="X30" i="191" s="1"/>
  <c r="X21" i="191"/>
  <c r="X28" i="191" s="1"/>
  <c r="X23" i="275"/>
  <c r="X30" i="275" s="1"/>
  <c r="X21" i="275"/>
  <c r="X28" i="275" s="1"/>
  <c r="X23" i="289"/>
  <c r="X21" i="289"/>
  <c r="X17" i="289"/>
  <c r="C66" i="4"/>
  <c r="C66" i="76" s="1"/>
  <c r="X23" i="217"/>
  <c r="X30" i="217" s="1"/>
  <c r="X21" i="217"/>
  <c r="X28" i="217" s="1"/>
  <c r="X17" i="298"/>
  <c r="C63" i="4"/>
  <c r="C63" i="76" s="1"/>
  <c r="X23" i="298"/>
  <c r="X21" i="298"/>
  <c r="X28" i="220"/>
  <c r="X30" i="220"/>
  <c r="I61" i="4"/>
  <c r="X17" i="291"/>
  <c r="C61" i="4"/>
  <c r="C61" i="76" s="1"/>
  <c r="X21" i="261"/>
  <c r="X28" i="261" s="1"/>
  <c r="X23" i="261"/>
  <c r="X30" i="261" s="1"/>
  <c r="X28" i="257"/>
  <c r="X30" i="257"/>
  <c r="X21" i="123"/>
  <c r="X28" i="123" s="1"/>
  <c r="X23" i="123"/>
  <c r="X30" i="123" s="1"/>
  <c r="X21" i="188"/>
  <c r="X28" i="188" s="1"/>
  <c r="X23" i="188"/>
  <c r="X30" i="188" s="1"/>
  <c r="X30" i="246"/>
  <c r="X28" i="246"/>
  <c r="X23" i="281"/>
  <c r="X30" i="281" s="1"/>
  <c r="X21" i="281"/>
  <c r="X28" i="281" s="1"/>
  <c r="K49" i="4"/>
  <c r="X17" i="295"/>
  <c r="C49" i="4"/>
  <c r="C49" i="76" s="1"/>
  <c r="X23" i="241"/>
  <c r="X30" i="241" s="1"/>
  <c r="X21" i="241"/>
  <c r="X28" i="241" s="1"/>
  <c r="X17" i="297"/>
  <c r="C47" i="4"/>
  <c r="C47" i="76" s="1"/>
  <c r="X23" i="297"/>
  <c r="X21" i="297"/>
  <c r="X23" i="161"/>
  <c r="X30" i="161" s="1"/>
  <c r="X21" i="161"/>
  <c r="X28" i="161" s="1"/>
  <c r="X21" i="202"/>
  <c r="X28" i="202" s="1"/>
  <c r="X23" i="202"/>
  <c r="X30" i="202" s="1"/>
  <c r="X21" i="120"/>
  <c r="X28" i="120" s="1"/>
  <c r="X23" i="120"/>
  <c r="X30" i="120" s="1"/>
  <c r="X21" i="160"/>
  <c r="X28" i="160" s="1"/>
  <c r="X23" i="160"/>
  <c r="X30" i="160" s="1"/>
  <c r="X23" i="279"/>
  <c r="X30" i="279" s="1"/>
  <c r="X21" i="279"/>
  <c r="X28" i="279" s="1"/>
  <c r="X23" i="119"/>
  <c r="X30" i="119" s="1"/>
  <c r="X21" i="119"/>
  <c r="X28" i="119" s="1"/>
  <c r="X23" i="264"/>
  <c r="X30" i="264" s="1"/>
  <c r="X21" i="264"/>
  <c r="X28" i="264" s="1"/>
  <c r="X17" i="294"/>
  <c r="C36" i="4"/>
  <c r="C36" i="76" s="1"/>
  <c r="I36" i="4"/>
  <c r="X23" i="159"/>
  <c r="X30" i="159" s="1"/>
  <c r="X21" i="159"/>
  <c r="X28" i="159" s="1"/>
  <c r="X23" i="163"/>
  <c r="X30" i="163" s="1"/>
  <c r="X21" i="163"/>
  <c r="X28" i="163" s="1"/>
  <c r="X23" i="259"/>
  <c r="X30" i="259" s="1"/>
  <c r="X21" i="259"/>
  <c r="X28" i="259" s="1"/>
  <c r="X23" i="118"/>
  <c r="X30" i="118" s="1"/>
  <c r="X21" i="118"/>
  <c r="X28" i="118" s="1"/>
  <c r="X23" i="157"/>
  <c r="X30" i="157" s="1"/>
  <c r="X21" i="157"/>
  <c r="X28" i="157" s="1"/>
  <c r="X17" i="296"/>
  <c r="C27" i="4"/>
  <c r="C27" i="76" s="1"/>
  <c r="K27" i="4"/>
  <c r="I27" i="4"/>
  <c r="F26" i="4"/>
  <c r="X28" i="284"/>
  <c r="X30" i="284"/>
  <c r="X30" i="287"/>
  <c r="X28" i="287"/>
  <c r="X30" i="82"/>
  <c r="X28" i="82"/>
  <c r="X21" i="285"/>
  <c r="X28" i="285" s="1"/>
  <c r="X23" i="285"/>
  <c r="X30" i="247"/>
  <c r="X28" i="247"/>
  <c r="X21" i="153"/>
  <c r="X28" i="153" s="1"/>
  <c r="X23" i="153"/>
  <c r="X30" i="153" s="1"/>
  <c r="X23" i="79"/>
  <c r="X30" i="79" s="1"/>
  <c r="X21" i="79"/>
  <c r="X28" i="79" s="1"/>
  <c r="X30" i="269"/>
  <c r="X28" i="269"/>
  <c r="X23" i="263"/>
  <c r="X30" i="263" s="1"/>
  <c r="X21" i="263"/>
  <c r="X28" i="263" s="1"/>
  <c r="X21" i="58"/>
  <c r="X28" i="58" s="1"/>
  <c r="X23" i="58"/>
  <c r="X30" i="58" s="1"/>
  <c r="X21" i="219"/>
  <c r="X28" i="219" s="1"/>
  <c r="X23" i="219"/>
  <c r="X30" i="219" s="1"/>
  <c r="X21" i="286"/>
  <c r="X28" i="286" s="1"/>
  <c r="X23" i="286"/>
  <c r="X30" i="286" s="1"/>
  <c r="X21" i="201"/>
  <c r="X28" i="201" s="1"/>
  <c r="X23" i="201"/>
  <c r="X30" i="201" s="1"/>
  <c r="X21" i="176"/>
  <c r="X28" i="176" s="1"/>
  <c r="X23" i="176"/>
  <c r="X30" i="176" s="1"/>
  <c r="L26" i="76"/>
  <c r="D26" i="76"/>
  <c r="M26" i="72"/>
  <c r="AK22" i="72"/>
  <c r="J22" i="72" s="1"/>
  <c r="B22" i="72"/>
  <c r="A22" i="72"/>
  <c r="B22" i="76"/>
  <c r="A22" i="76"/>
  <c r="M22" i="4"/>
  <c r="K22" i="72" s="1"/>
  <c r="L22" i="72" s="1"/>
  <c r="K22" i="4"/>
  <c r="J22" i="4"/>
  <c r="I22" i="4"/>
  <c r="H22" i="4"/>
  <c r="G22" i="4"/>
  <c r="E22" i="4"/>
  <c r="E22" i="76" s="1"/>
  <c r="D22" i="4"/>
  <c r="F22" i="4" s="1"/>
  <c r="C22" i="4"/>
  <c r="C22" i="76" s="1"/>
  <c r="AK10" i="72"/>
  <c r="J10" i="72" s="1"/>
  <c r="B10" i="72"/>
  <c r="A10" i="72"/>
  <c r="B10" i="76"/>
  <c r="A10" i="76"/>
  <c r="M10" i="4"/>
  <c r="K10" i="72" s="1"/>
  <c r="L10" i="72" s="1"/>
  <c r="K10" i="4"/>
  <c r="J10" i="4"/>
  <c r="I10" i="4"/>
  <c r="H10" i="4"/>
  <c r="G10" i="4"/>
  <c r="E10" i="4"/>
  <c r="E10" i="76" s="1"/>
  <c r="D10" i="4"/>
  <c r="C10" i="4"/>
  <c r="C10" i="76" s="1"/>
  <c r="AK19" i="72"/>
  <c r="J19" i="72" s="1"/>
  <c r="B19" i="72"/>
  <c r="A19" i="72"/>
  <c r="B19" i="76"/>
  <c r="A19" i="76"/>
  <c r="M19" i="4"/>
  <c r="L19" i="76" s="1"/>
  <c r="J19" i="4"/>
  <c r="I19" i="4"/>
  <c r="H19" i="4"/>
  <c r="G19" i="4"/>
  <c r="E19" i="4"/>
  <c r="E19" i="76" s="1"/>
  <c r="D19" i="4"/>
  <c r="C19" i="4"/>
  <c r="C19" i="76" s="1"/>
  <c r="K61" i="4" l="1"/>
  <c r="X30" i="291"/>
  <c r="X28" i="291"/>
  <c r="I49" i="4"/>
  <c r="X28" i="295"/>
  <c r="K36" i="4"/>
  <c r="X30" i="294"/>
  <c r="X28" i="294"/>
  <c r="X30" i="296"/>
  <c r="X28" i="296"/>
  <c r="I26" i="4"/>
  <c r="X28" i="288"/>
  <c r="K26" i="4"/>
  <c r="X30" i="288"/>
  <c r="I70" i="4"/>
  <c r="X28" i="290"/>
  <c r="K70" i="4"/>
  <c r="X30" i="290"/>
  <c r="K19" i="4"/>
  <c r="X30" i="285"/>
  <c r="I66" i="4"/>
  <c r="X28" i="289"/>
  <c r="K66" i="4"/>
  <c r="X30" i="289"/>
  <c r="I63" i="4"/>
  <c r="X28" i="298"/>
  <c r="K63" i="4"/>
  <c r="X30" i="298"/>
  <c r="I47" i="4"/>
  <c r="X28" i="297"/>
  <c r="K47" i="4"/>
  <c r="X30" i="297"/>
  <c r="X18" i="290"/>
  <c r="G70" i="4" s="1"/>
  <c r="F70" i="4" s="1"/>
  <c r="E70" i="4"/>
  <c r="E70" i="76" s="1"/>
  <c r="X18" i="289"/>
  <c r="G66" i="4" s="1"/>
  <c r="F66" i="4" s="1"/>
  <c r="E66" i="4"/>
  <c r="E66" i="76" s="1"/>
  <c r="X18" i="298"/>
  <c r="G63" i="4" s="1"/>
  <c r="F63" i="4" s="1"/>
  <c r="E63" i="4"/>
  <c r="E63" i="76" s="1"/>
  <c r="X18" i="291"/>
  <c r="G61" i="4" s="1"/>
  <c r="F61" i="4" s="1"/>
  <c r="E61" i="4"/>
  <c r="E61" i="76" s="1"/>
  <c r="X18" i="295"/>
  <c r="G49" i="4" s="1"/>
  <c r="F49" i="4" s="1"/>
  <c r="E49" i="4"/>
  <c r="E49" i="76" s="1"/>
  <c r="X18" i="297"/>
  <c r="G47" i="4" s="1"/>
  <c r="F47" i="4" s="1"/>
  <c r="E47" i="4"/>
  <c r="E47" i="76" s="1"/>
  <c r="X18" i="294"/>
  <c r="G36" i="4" s="1"/>
  <c r="F36" i="4" s="1"/>
  <c r="E36" i="4"/>
  <c r="E36" i="76" s="1"/>
  <c r="X18" i="296"/>
  <c r="G27" i="4" s="1"/>
  <c r="F27" i="4" s="1"/>
  <c r="E27" i="4"/>
  <c r="E27" i="76" s="1"/>
  <c r="F10" i="4"/>
  <c r="L22" i="76"/>
  <c r="L10" i="76"/>
  <c r="D22" i="76"/>
  <c r="M22" i="72"/>
  <c r="F19" i="4"/>
  <c r="D10" i="76"/>
  <c r="M10" i="72"/>
  <c r="K19" i="72"/>
  <c r="L19" i="72" s="1"/>
  <c r="D19" i="76"/>
  <c r="M25" i="4"/>
  <c r="K25" i="72" s="1"/>
  <c r="L25" i="72" s="1"/>
  <c r="K25" i="4"/>
  <c r="J25" i="4"/>
  <c r="I25" i="4"/>
  <c r="H25" i="4"/>
  <c r="G25" i="4"/>
  <c r="E25" i="4"/>
  <c r="E25" i="76" s="1"/>
  <c r="D25" i="4"/>
  <c r="D25" i="76" s="1"/>
  <c r="C25" i="4"/>
  <c r="C25" i="76" s="1"/>
  <c r="B25" i="76"/>
  <c r="C23" i="4"/>
  <c r="AK25" i="72"/>
  <c r="J25" i="72" s="1"/>
  <c r="A25" i="72"/>
  <c r="A25" i="76"/>
  <c r="L25" i="76" l="1"/>
  <c r="M19" i="72"/>
  <c r="B25" i="72"/>
  <c r="F25" i="4"/>
  <c r="M25" i="72"/>
  <c r="D84" i="72" l="1"/>
  <c r="D78" i="72"/>
  <c r="I4" i="298" l="1"/>
  <c r="I4" i="297" l="1"/>
  <c r="I4" i="296" l="1"/>
  <c r="AK31" i="72" l="1"/>
  <c r="J31" i="72" s="1"/>
  <c r="B31" i="72"/>
  <c r="A31" i="72"/>
  <c r="B31" i="76"/>
  <c r="A31" i="76"/>
  <c r="M31" i="4"/>
  <c r="K31" i="72" s="1"/>
  <c r="L31" i="72" s="1"/>
  <c r="J31" i="4"/>
  <c r="H31" i="4"/>
  <c r="G31" i="4"/>
  <c r="E31" i="4"/>
  <c r="E31" i="76" s="1"/>
  <c r="D31" i="4"/>
  <c r="C31" i="4"/>
  <c r="C31" i="76" s="1"/>
  <c r="I31" i="4"/>
  <c r="I4" i="295" l="1"/>
  <c r="F31" i="4"/>
  <c r="L31" i="76"/>
  <c r="D31" i="76"/>
  <c r="M31" i="72"/>
  <c r="K31" i="4"/>
  <c r="AK50" i="72"/>
  <c r="J50" i="72" s="1"/>
  <c r="B50" i="72"/>
  <c r="A50" i="72"/>
  <c r="B50" i="76"/>
  <c r="A50" i="76"/>
  <c r="M50" i="4"/>
  <c r="K50" i="72" s="1"/>
  <c r="L50" i="72" s="1"/>
  <c r="J50" i="4"/>
  <c r="H50" i="4"/>
  <c r="G50" i="4"/>
  <c r="E50" i="4"/>
  <c r="E50" i="76" s="1"/>
  <c r="D50" i="4"/>
  <c r="D50" i="76" s="1"/>
  <c r="C50" i="4"/>
  <c r="C50" i="76" s="1"/>
  <c r="I50" i="4"/>
  <c r="L50" i="76" l="1"/>
  <c r="F50" i="4"/>
  <c r="M50" i="72"/>
  <c r="K50" i="4"/>
  <c r="I4" i="294" l="1"/>
  <c r="I4" i="293" l="1"/>
  <c r="I4" i="291" l="1"/>
  <c r="I4" i="290"/>
  <c r="I4" i="289"/>
  <c r="I4" i="288" l="1"/>
  <c r="I4" i="286"/>
  <c r="AK40" i="72"/>
  <c r="J40" i="72" s="1"/>
  <c r="B40" i="72"/>
  <c r="A40" i="72"/>
  <c r="B40" i="76"/>
  <c r="A40" i="76"/>
  <c r="M40" i="4"/>
  <c r="K40" i="72" s="1"/>
  <c r="L40" i="72" s="1"/>
  <c r="J40" i="4"/>
  <c r="H40" i="4"/>
  <c r="G40" i="4"/>
  <c r="E40" i="4"/>
  <c r="E40" i="76" s="1"/>
  <c r="D40" i="4"/>
  <c r="C40" i="4"/>
  <c r="C40" i="76" s="1"/>
  <c r="I40" i="4"/>
  <c r="F40" i="4" l="1"/>
  <c r="I4" i="287"/>
  <c r="I4" i="285"/>
  <c r="L40" i="76"/>
  <c r="D40" i="76"/>
  <c r="M40" i="72"/>
  <c r="K40" i="4"/>
  <c r="I4" i="284" l="1"/>
  <c r="AK74" i="72" l="1"/>
  <c r="J74" i="72" s="1"/>
  <c r="B74" i="72"/>
  <c r="A74" i="72"/>
  <c r="B74" i="76"/>
  <c r="A74" i="76"/>
  <c r="M74" i="4"/>
  <c r="K74" i="72" s="1"/>
  <c r="L74" i="72" s="1"/>
  <c r="J74" i="4"/>
  <c r="H74" i="4"/>
  <c r="G74" i="4"/>
  <c r="E74" i="4"/>
  <c r="E74" i="76" s="1"/>
  <c r="D74" i="4"/>
  <c r="D74" i="76" s="1"/>
  <c r="C74" i="4"/>
  <c r="C74" i="76" s="1"/>
  <c r="I74" i="4"/>
  <c r="F74" i="4" l="1"/>
  <c r="L74" i="76"/>
  <c r="M74" i="72"/>
  <c r="K74" i="4"/>
  <c r="AK67" i="72" l="1"/>
  <c r="J67" i="72" s="1"/>
  <c r="B67" i="72"/>
  <c r="A67" i="72"/>
  <c r="B67" i="76"/>
  <c r="A67" i="76"/>
  <c r="M67" i="4"/>
  <c r="K67" i="72" s="1"/>
  <c r="J67" i="4"/>
  <c r="H67" i="4"/>
  <c r="AK71" i="72"/>
  <c r="J71" i="72" s="1"/>
  <c r="B71" i="72"/>
  <c r="A71" i="72"/>
  <c r="B71" i="76"/>
  <c r="A71" i="76"/>
  <c r="M71" i="4"/>
  <c r="L71" i="76" s="1"/>
  <c r="K71" i="4"/>
  <c r="J71" i="4"/>
  <c r="I71" i="4"/>
  <c r="H71" i="4"/>
  <c r="G71" i="4"/>
  <c r="E71" i="4"/>
  <c r="E71" i="76" s="1"/>
  <c r="D71" i="4"/>
  <c r="D71" i="76" s="1"/>
  <c r="C71" i="4"/>
  <c r="C71" i="76" s="1"/>
  <c r="AK72" i="72"/>
  <c r="J72" i="72" s="1"/>
  <c r="B72" i="72"/>
  <c r="A72" i="72"/>
  <c r="B72" i="76"/>
  <c r="A72" i="76"/>
  <c r="M72" i="4"/>
  <c r="K72" i="72" s="1"/>
  <c r="K72" i="4"/>
  <c r="J72" i="4"/>
  <c r="I72" i="4"/>
  <c r="H72" i="4"/>
  <c r="G72" i="4"/>
  <c r="E72" i="4"/>
  <c r="E72" i="76" s="1"/>
  <c r="D72" i="4"/>
  <c r="F72" i="4" s="1"/>
  <c r="C72" i="4"/>
  <c r="C72" i="76" s="1"/>
  <c r="D67" i="4" l="1"/>
  <c r="D67" i="76" s="1"/>
  <c r="L67" i="76"/>
  <c r="L67" i="72"/>
  <c r="M67" i="72" s="1"/>
  <c r="L72" i="76"/>
  <c r="F71" i="4"/>
  <c r="K71" i="72"/>
  <c r="L72" i="72"/>
  <c r="M72" i="72" s="1"/>
  <c r="D72" i="76"/>
  <c r="L71" i="72" l="1"/>
  <c r="M71" i="72" s="1"/>
  <c r="B77" i="72"/>
  <c r="A77" i="72"/>
  <c r="B75" i="72"/>
  <c r="A75" i="72"/>
  <c r="B73" i="72"/>
  <c r="A73" i="72"/>
  <c r="B68" i="72"/>
  <c r="A68" i="72"/>
  <c r="B65" i="72"/>
  <c r="A65" i="72"/>
  <c r="B62" i="72"/>
  <c r="A62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48" i="72"/>
  <c r="A48" i="72"/>
  <c r="B45" i="72"/>
  <c r="A45" i="72"/>
  <c r="B44" i="72"/>
  <c r="A44" i="72"/>
  <c r="B43" i="72"/>
  <c r="A43" i="72"/>
  <c r="B42" i="72"/>
  <c r="A42" i="72"/>
  <c r="B41" i="72"/>
  <c r="A41" i="72"/>
  <c r="B39" i="72"/>
  <c r="A39" i="72"/>
  <c r="B38" i="72"/>
  <c r="A38" i="72"/>
  <c r="B34" i="72"/>
  <c r="A34" i="72"/>
  <c r="B32" i="72"/>
  <c r="A32" i="72"/>
  <c r="B30" i="72"/>
  <c r="A30" i="72"/>
  <c r="B29" i="72"/>
  <c r="A29" i="72"/>
  <c r="B28" i="72"/>
  <c r="A28" i="72"/>
  <c r="B23" i="72"/>
  <c r="A23" i="72"/>
  <c r="B21" i="72"/>
  <c r="A21" i="72"/>
  <c r="B18" i="72"/>
  <c r="A18" i="72"/>
  <c r="B17" i="72"/>
  <c r="A17" i="72"/>
  <c r="B15" i="72"/>
  <c r="A15" i="72"/>
  <c r="B14" i="72"/>
  <c r="A14" i="72"/>
  <c r="B13" i="72"/>
  <c r="A13" i="72"/>
  <c r="B12" i="72"/>
  <c r="A12" i="72"/>
  <c r="B11" i="72"/>
  <c r="A11" i="72"/>
  <c r="B9" i="72"/>
  <c r="A9" i="72"/>
  <c r="A8" i="72"/>
  <c r="C68" i="4" l="1"/>
  <c r="I4" i="283" l="1"/>
  <c r="I4" i="281" l="1"/>
  <c r="C67" i="4" l="1"/>
  <c r="C67" i="76" s="1"/>
  <c r="G67" i="4" l="1"/>
  <c r="F67" i="4" s="1"/>
  <c r="E67" i="4"/>
  <c r="E67" i="76" s="1"/>
  <c r="K67" i="4"/>
  <c r="I67" i="4"/>
  <c r="AK15" i="72" l="1"/>
  <c r="J15" i="72" s="1"/>
  <c r="B14" i="76"/>
  <c r="A14" i="76"/>
  <c r="M14" i="4"/>
  <c r="D14" i="4"/>
  <c r="D14" i="76" s="1"/>
  <c r="J14" i="4"/>
  <c r="H14" i="4"/>
  <c r="L14" i="76" l="1"/>
  <c r="K14" i="72"/>
  <c r="I4" i="279" l="1"/>
  <c r="I4" i="276" l="1"/>
  <c r="I4" i="275" l="1"/>
  <c r="I4" i="272"/>
  <c r="I4" i="271"/>
  <c r="B77" i="76" l="1"/>
  <c r="A77" i="76"/>
  <c r="K77" i="72"/>
  <c r="AK48" i="72"/>
  <c r="J48" i="72" s="1"/>
  <c r="D77" i="76" l="1"/>
  <c r="L77" i="76"/>
  <c r="L2" i="31"/>
  <c r="B13" i="76" l="1"/>
  <c r="A13" i="76"/>
  <c r="M13" i="4"/>
  <c r="AK42" i="72"/>
  <c r="J42" i="72" s="1"/>
  <c r="B38" i="76"/>
  <c r="A38" i="76"/>
  <c r="M38" i="4"/>
  <c r="J38" i="4"/>
  <c r="H38" i="4"/>
  <c r="J13" i="4"/>
  <c r="H13" i="4"/>
  <c r="L38" i="76" l="1"/>
  <c r="K38" i="72"/>
  <c r="K13" i="72"/>
  <c r="C14" i="4"/>
  <c r="C14" i="76" s="1"/>
  <c r="D13" i="4"/>
  <c r="D13" i="76" s="1"/>
  <c r="D38" i="4"/>
  <c r="D38" i="76" s="1"/>
  <c r="L13" i="76"/>
  <c r="AK73" i="72"/>
  <c r="J73" i="72" s="1"/>
  <c r="B59" i="76"/>
  <c r="A59" i="76"/>
  <c r="M59" i="4"/>
  <c r="K59" i="4"/>
  <c r="J59" i="4"/>
  <c r="I59" i="4"/>
  <c r="H59" i="4"/>
  <c r="G59" i="4"/>
  <c r="E59" i="4"/>
  <c r="E59" i="76" s="1"/>
  <c r="D59" i="4"/>
  <c r="C59" i="4"/>
  <c r="C59" i="76" s="1"/>
  <c r="AK45" i="72"/>
  <c r="J45" i="72" s="1"/>
  <c r="B43" i="76"/>
  <c r="A43" i="76"/>
  <c r="M43" i="4"/>
  <c r="K43" i="4"/>
  <c r="J43" i="4"/>
  <c r="I43" i="4"/>
  <c r="H43" i="4"/>
  <c r="G43" i="4"/>
  <c r="E43" i="4"/>
  <c r="E43" i="76" s="1"/>
  <c r="D43" i="4"/>
  <c r="C43" i="4"/>
  <c r="C43" i="76" s="1"/>
  <c r="AK38" i="72"/>
  <c r="J38" i="72" s="1"/>
  <c r="B30" i="76"/>
  <c r="A30" i="76"/>
  <c r="M30" i="4"/>
  <c r="J30" i="4"/>
  <c r="H30" i="4"/>
  <c r="N23" i="33"/>
  <c r="K23" i="33"/>
  <c r="H23" i="33"/>
  <c r="E23" i="33"/>
  <c r="M75" i="4"/>
  <c r="J75" i="4"/>
  <c r="H75" i="4"/>
  <c r="J73" i="4"/>
  <c r="J68" i="4"/>
  <c r="M58" i="4"/>
  <c r="M57" i="4"/>
  <c r="K57" i="72" s="1"/>
  <c r="J55" i="4"/>
  <c r="H55" i="4"/>
  <c r="H48" i="4"/>
  <c r="M42" i="4"/>
  <c r="C41" i="4"/>
  <c r="C41" i="76" s="1"/>
  <c r="I34" i="4"/>
  <c r="H32" i="4"/>
  <c r="M18" i="4"/>
  <c r="K18" i="72" s="1"/>
  <c r="J17" i="4"/>
  <c r="J12" i="4"/>
  <c r="H12" i="4"/>
  <c r="M9" i="4"/>
  <c r="K9" i="72" s="1"/>
  <c r="AK77" i="72"/>
  <c r="J77" i="72" s="1"/>
  <c r="AK65" i="72"/>
  <c r="J65" i="72" s="1"/>
  <c r="B58" i="76"/>
  <c r="A58" i="76"/>
  <c r="H58" i="4"/>
  <c r="J58" i="4"/>
  <c r="D58" i="4"/>
  <c r="AK14" i="72"/>
  <c r="J14" i="72" s="1"/>
  <c r="N18" i="33"/>
  <c r="K18" i="33"/>
  <c r="H18" i="33"/>
  <c r="E18" i="33"/>
  <c r="AK56" i="72"/>
  <c r="J56" i="72" s="1"/>
  <c r="B23" i="76"/>
  <c r="A23" i="76"/>
  <c r="M23" i="4"/>
  <c r="K23" i="72" s="1"/>
  <c r="J23" i="4"/>
  <c r="H23" i="4"/>
  <c r="D23" i="4"/>
  <c r="AK21" i="72"/>
  <c r="J21" i="72" s="1"/>
  <c r="B18" i="76"/>
  <c r="A18" i="76"/>
  <c r="H18" i="4"/>
  <c r="J18" i="4"/>
  <c r="D18" i="4"/>
  <c r="B53" i="76"/>
  <c r="A53" i="76"/>
  <c r="M53" i="4"/>
  <c r="D53" i="4"/>
  <c r="B75" i="76"/>
  <c r="A75" i="76"/>
  <c r="AK29" i="72"/>
  <c r="J29" i="72" s="1"/>
  <c r="AK23" i="72"/>
  <c r="J23" i="72" s="1"/>
  <c r="B57" i="76"/>
  <c r="A57" i="76"/>
  <c r="J57" i="4"/>
  <c r="B48" i="76"/>
  <c r="A48" i="76"/>
  <c r="M48" i="4"/>
  <c r="D48" i="4"/>
  <c r="C84" i="72"/>
  <c r="C78" i="72"/>
  <c r="AK57" i="72"/>
  <c r="J57" i="72" s="1"/>
  <c r="B54" i="76"/>
  <c r="A54" i="76"/>
  <c r="M54" i="4"/>
  <c r="K54" i="72" s="1"/>
  <c r="J54" i="4"/>
  <c r="H54" i="4"/>
  <c r="D54" i="4"/>
  <c r="AK28" i="72"/>
  <c r="J28" i="72" s="1"/>
  <c r="AK58" i="72"/>
  <c r="J58" i="72" s="1"/>
  <c r="AK75" i="72"/>
  <c r="J75" i="72" s="1"/>
  <c r="K8" i="76"/>
  <c r="B62" i="76"/>
  <c r="A62" i="76"/>
  <c r="L8" i="4"/>
  <c r="M62" i="4"/>
  <c r="H62" i="4"/>
  <c r="M8" i="4"/>
  <c r="K8" i="72" s="1"/>
  <c r="L8" i="72" s="1"/>
  <c r="H8" i="4"/>
  <c r="D8" i="4"/>
  <c r="AK12" i="72"/>
  <c r="J12" i="72" s="1"/>
  <c r="B11" i="76"/>
  <c r="A11" i="76"/>
  <c r="M11" i="4"/>
  <c r="J11" i="4"/>
  <c r="H11" i="4"/>
  <c r="D11" i="4"/>
  <c r="B65" i="76"/>
  <c r="A65" i="76"/>
  <c r="M65" i="4"/>
  <c r="K65" i="72" s="1"/>
  <c r="J65" i="4"/>
  <c r="H65" i="4"/>
  <c r="B73" i="76"/>
  <c r="A73" i="76"/>
  <c r="M73" i="4"/>
  <c r="K73" i="72" s="1"/>
  <c r="H73" i="4"/>
  <c r="AK53" i="72"/>
  <c r="J53" i="72" s="1"/>
  <c r="M33" i="33"/>
  <c r="L33" i="33"/>
  <c r="J33" i="33"/>
  <c r="I33" i="33"/>
  <c r="G33" i="33"/>
  <c r="F33" i="33"/>
  <c r="D33" i="33"/>
  <c r="C33" i="33"/>
  <c r="N32" i="33"/>
  <c r="K32" i="33"/>
  <c r="H32" i="33"/>
  <c r="E32" i="33"/>
  <c r="N31" i="33"/>
  <c r="K31" i="33"/>
  <c r="H31" i="33"/>
  <c r="E31" i="33"/>
  <c r="N30" i="33"/>
  <c r="K30" i="33"/>
  <c r="H30" i="33"/>
  <c r="E30" i="33"/>
  <c r="N29" i="33"/>
  <c r="K29" i="33"/>
  <c r="H29" i="33"/>
  <c r="E29" i="33"/>
  <c r="N28" i="33"/>
  <c r="K28" i="33"/>
  <c r="H28" i="33"/>
  <c r="E28" i="33"/>
  <c r="N27" i="33"/>
  <c r="K27" i="33"/>
  <c r="H27" i="33"/>
  <c r="E27" i="33"/>
  <c r="N26" i="33"/>
  <c r="K26" i="33"/>
  <c r="H26" i="33"/>
  <c r="E26" i="33"/>
  <c r="N25" i="33"/>
  <c r="K25" i="33"/>
  <c r="H25" i="33"/>
  <c r="E25" i="33"/>
  <c r="N24" i="33"/>
  <c r="K24" i="33"/>
  <c r="H24" i="33"/>
  <c r="E24" i="33"/>
  <c r="N22" i="33"/>
  <c r="K22" i="33"/>
  <c r="H22" i="33"/>
  <c r="E22" i="33"/>
  <c r="M19" i="33"/>
  <c r="L19" i="33"/>
  <c r="J19" i="33"/>
  <c r="I19" i="33"/>
  <c r="G19" i="33"/>
  <c r="F19" i="33"/>
  <c r="D19" i="33"/>
  <c r="C19" i="33"/>
  <c r="N17" i="33"/>
  <c r="K17" i="33"/>
  <c r="H17" i="33"/>
  <c r="E17" i="33"/>
  <c r="N16" i="33"/>
  <c r="K16" i="33"/>
  <c r="H16" i="33"/>
  <c r="E16" i="33"/>
  <c r="N15" i="33"/>
  <c r="K15" i="33"/>
  <c r="H15" i="33"/>
  <c r="E15" i="33"/>
  <c r="N14" i="33"/>
  <c r="K14" i="33"/>
  <c r="H14" i="33"/>
  <c r="E14" i="33"/>
  <c r="N13" i="33"/>
  <c r="K13" i="33"/>
  <c r="H13" i="33"/>
  <c r="E13" i="33"/>
  <c r="N12" i="33"/>
  <c r="K12" i="33"/>
  <c r="H12" i="33"/>
  <c r="E12" i="33"/>
  <c r="N11" i="33"/>
  <c r="K11" i="33"/>
  <c r="H11" i="33"/>
  <c r="E11" i="33"/>
  <c r="N10" i="33"/>
  <c r="K10" i="33"/>
  <c r="H10" i="33"/>
  <c r="E10" i="33"/>
  <c r="N9" i="33"/>
  <c r="K9" i="33"/>
  <c r="H9" i="33"/>
  <c r="E9" i="33"/>
  <c r="N8" i="33"/>
  <c r="K8" i="33"/>
  <c r="H8" i="33"/>
  <c r="E8" i="33"/>
  <c r="D65" i="4"/>
  <c r="AK11" i="72"/>
  <c r="J11" i="72" s="1"/>
  <c r="D68" i="4"/>
  <c r="M60" i="4"/>
  <c r="D60" i="4"/>
  <c r="D52" i="4"/>
  <c r="D44" i="4"/>
  <c r="H42" i="4"/>
  <c r="D39" i="4"/>
  <c r="M29" i="4"/>
  <c r="K29" i="72" s="1"/>
  <c r="D29" i="4"/>
  <c r="H17" i="4"/>
  <c r="M15" i="4"/>
  <c r="D12" i="4"/>
  <c r="H9" i="4"/>
  <c r="D9" i="4"/>
  <c r="AK55" i="72"/>
  <c r="J55" i="72" s="1"/>
  <c r="B52" i="76"/>
  <c r="A52" i="76"/>
  <c r="M52" i="4"/>
  <c r="AK54" i="72"/>
  <c r="J54" i="72" s="1"/>
  <c r="B44" i="76"/>
  <c r="A44" i="76"/>
  <c r="M44" i="4"/>
  <c r="K44" i="72" s="1"/>
  <c r="AK8" i="72"/>
  <c r="J8" i="72" s="1"/>
  <c r="AK9" i="72"/>
  <c r="J9" i="72" s="1"/>
  <c r="AK13" i="72"/>
  <c r="J13" i="72" s="1"/>
  <c r="AK17" i="72"/>
  <c r="J17" i="72" s="1"/>
  <c r="AK18" i="72"/>
  <c r="J18" i="72" s="1"/>
  <c r="AK30" i="72"/>
  <c r="J30" i="72" s="1"/>
  <c r="AK32" i="72"/>
  <c r="J32" i="72" s="1"/>
  <c r="AK34" i="72"/>
  <c r="J34" i="72" s="1"/>
  <c r="AK39" i="72"/>
  <c r="J39" i="72" s="1"/>
  <c r="AK41" i="72"/>
  <c r="J41" i="72" s="1"/>
  <c r="AK43" i="72"/>
  <c r="J43" i="72" s="1"/>
  <c r="AK44" i="72"/>
  <c r="J44" i="72" s="1"/>
  <c r="AK52" i="72"/>
  <c r="J52" i="72" s="1"/>
  <c r="AK59" i="72"/>
  <c r="J59" i="72" s="1"/>
  <c r="AK60" i="72"/>
  <c r="J60" i="72" s="1"/>
  <c r="AK62" i="72"/>
  <c r="J62" i="72" s="1"/>
  <c r="AK68" i="72"/>
  <c r="J68" i="72" s="1"/>
  <c r="M12" i="4"/>
  <c r="M17" i="4"/>
  <c r="M21" i="4"/>
  <c r="M28" i="4"/>
  <c r="K28" i="72" s="1"/>
  <c r="M32" i="4"/>
  <c r="M34" i="4"/>
  <c r="M39" i="4"/>
  <c r="M41" i="4"/>
  <c r="M45" i="4"/>
  <c r="K45" i="72" s="1"/>
  <c r="M55" i="4"/>
  <c r="K55" i="72" s="1"/>
  <c r="M56" i="4"/>
  <c r="K56" i="72" s="1"/>
  <c r="M68" i="4"/>
  <c r="K68" i="72" s="1"/>
  <c r="I2" i="76"/>
  <c r="F83" i="76"/>
  <c r="B9" i="76"/>
  <c r="A9" i="76"/>
  <c r="J9" i="4"/>
  <c r="A2" i="4"/>
  <c r="B3" i="308" s="1"/>
  <c r="B5" i="4"/>
  <c r="C8" i="308" s="1"/>
  <c r="D8" i="308" s="1"/>
  <c r="E8" i="308" s="1"/>
  <c r="F8" i="308" s="1"/>
  <c r="G8" i="308" s="1"/>
  <c r="H8" i="308" s="1"/>
  <c r="I8" i="308" s="1"/>
  <c r="J8" i="308" s="1"/>
  <c r="K8" i="308" s="1"/>
  <c r="L8" i="308" s="1"/>
  <c r="M8" i="308" s="1"/>
  <c r="N8" i="308" s="1"/>
  <c r="O8" i="308" s="1"/>
  <c r="P8" i="308" s="1"/>
  <c r="Q8" i="308" s="1"/>
  <c r="R8" i="308" s="1"/>
  <c r="S8" i="308" s="1"/>
  <c r="T8" i="308" s="1"/>
  <c r="U8" i="308" s="1"/>
  <c r="V8" i="308" s="1"/>
  <c r="W8" i="308" s="1"/>
  <c r="X8" i="308" s="1"/>
  <c r="B60" i="76"/>
  <c r="A60" i="76"/>
  <c r="B68" i="76"/>
  <c r="A68" i="76"/>
  <c r="B55" i="76"/>
  <c r="A55" i="76"/>
  <c r="I78" i="72"/>
  <c r="H78" i="72"/>
  <c r="G78" i="72"/>
  <c r="F78" i="72"/>
  <c r="E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J41" i="4"/>
  <c r="J28" i="4"/>
  <c r="J39" i="4"/>
  <c r="H15" i="4"/>
  <c r="H39" i="4"/>
  <c r="B8" i="72"/>
  <c r="B8" i="76"/>
  <c r="A8" i="76"/>
  <c r="C22" i="74"/>
  <c r="B32" i="76"/>
  <c r="A32" i="76"/>
  <c r="B45" i="76"/>
  <c r="A45" i="76"/>
  <c r="B41" i="76"/>
  <c r="A41" i="76"/>
  <c r="B34" i="76"/>
  <c r="A34" i="76"/>
  <c r="B28" i="76"/>
  <c r="A28" i="76"/>
  <c r="B5" i="76"/>
  <c r="C56" i="64"/>
  <c r="B17" i="76"/>
  <c r="A17" i="76"/>
  <c r="A2" i="72"/>
  <c r="A2" i="64"/>
  <c r="E1" i="35"/>
  <c r="A2" i="33"/>
  <c r="C2" i="31"/>
  <c r="A2" i="76"/>
  <c r="A12" i="76"/>
  <c r="B12" i="76"/>
  <c r="A15" i="76"/>
  <c r="B15" i="76"/>
  <c r="A21" i="76"/>
  <c r="B21" i="76"/>
  <c r="A29" i="76"/>
  <c r="B29" i="76"/>
  <c r="A39" i="76"/>
  <c r="B39" i="76"/>
  <c r="A42" i="76"/>
  <c r="B42" i="76"/>
  <c r="A56" i="76"/>
  <c r="B56" i="76"/>
  <c r="D83" i="76"/>
  <c r="E83" i="76"/>
  <c r="C83" i="76"/>
  <c r="X15" i="74"/>
  <c r="W15" i="74"/>
  <c r="V15" i="74"/>
  <c r="U15" i="74"/>
  <c r="T15" i="74"/>
  <c r="S15" i="74"/>
  <c r="R15" i="74"/>
  <c r="Q15" i="74"/>
  <c r="P15" i="74"/>
  <c r="O15" i="74"/>
  <c r="N15" i="74"/>
  <c r="M15" i="74"/>
  <c r="L15" i="74"/>
  <c r="K15" i="74"/>
  <c r="J15" i="74"/>
  <c r="I15" i="74"/>
  <c r="H15" i="74"/>
  <c r="G15" i="74"/>
  <c r="F15" i="74"/>
  <c r="E15" i="74"/>
  <c r="D15" i="74"/>
  <c r="C15" i="74"/>
  <c r="C16" i="74"/>
  <c r="D16" i="74"/>
  <c r="C19" i="74"/>
  <c r="D19" i="74" s="1"/>
  <c r="C20" i="74"/>
  <c r="M27" i="74" s="1"/>
  <c r="D20" i="74"/>
  <c r="E20" i="74"/>
  <c r="F20" i="74"/>
  <c r="G20" i="74"/>
  <c r="H20" i="74"/>
  <c r="I20" i="74"/>
  <c r="J20" i="74"/>
  <c r="K20" i="74"/>
  <c r="L20" i="74"/>
  <c r="M20" i="74"/>
  <c r="N20" i="74"/>
  <c r="O20" i="74"/>
  <c r="P20" i="74"/>
  <c r="Q20" i="74"/>
  <c r="R20" i="74"/>
  <c r="S20" i="74"/>
  <c r="T20" i="74"/>
  <c r="U20" i="74"/>
  <c r="V20" i="74"/>
  <c r="W20" i="74"/>
  <c r="X20" i="74"/>
  <c r="C21" i="74"/>
  <c r="D21" i="74"/>
  <c r="D22" i="74"/>
  <c r="Q29" i="74" s="1"/>
  <c r="E22" i="74"/>
  <c r="F22" i="74"/>
  <c r="G22" i="74"/>
  <c r="H22" i="74"/>
  <c r="I22" i="74"/>
  <c r="J22" i="74"/>
  <c r="K22" i="74"/>
  <c r="L22" i="74"/>
  <c r="M22" i="74"/>
  <c r="N22" i="74"/>
  <c r="O22" i="74"/>
  <c r="P22" i="74"/>
  <c r="Q22" i="74"/>
  <c r="R22" i="74"/>
  <c r="S22" i="74"/>
  <c r="T22" i="74"/>
  <c r="U22" i="74"/>
  <c r="V22" i="74"/>
  <c r="W22" i="74"/>
  <c r="X22" i="74"/>
  <c r="D23" i="74"/>
  <c r="Y24" i="74"/>
  <c r="E27" i="74"/>
  <c r="I27" i="74"/>
  <c r="U27" i="74"/>
  <c r="C28" i="74"/>
  <c r="C29" i="74"/>
  <c r="I29" i="74"/>
  <c r="M29" i="74"/>
  <c r="G37" i="35"/>
  <c r="F84" i="72"/>
  <c r="G84" i="72"/>
  <c r="J84" i="72"/>
  <c r="E84" i="72"/>
  <c r="D48" i="71"/>
  <c r="D56" i="64"/>
  <c r="D9" i="64" s="1"/>
  <c r="E56" i="64"/>
  <c r="E9" i="64" s="1"/>
  <c r="F56" i="64"/>
  <c r="F9" i="64" s="1"/>
  <c r="G56" i="64"/>
  <c r="A17" i="64"/>
  <c r="A32" i="64"/>
  <c r="A29" i="64"/>
  <c r="A10" i="64"/>
  <c r="A8" i="64"/>
  <c r="A27" i="64"/>
  <c r="A41" i="64"/>
  <c r="A11" i="64"/>
  <c r="A38" i="64"/>
  <c r="A48" i="64"/>
  <c r="A44" i="64"/>
  <c r="A43" i="64"/>
  <c r="A40" i="64"/>
  <c r="A39" i="64"/>
  <c r="A36" i="64"/>
  <c r="A33" i="64"/>
  <c r="A31" i="64"/>
  <c r="A30" i="64"/>
  <c r="A28" i="64"/>
  <c r="A26" i="64"/>
  <c r="A24" i="64"/>
  <c r="A21" i="64"/>
  <c r="A20" i="64"/>
  <c r="A18" i="64"/>
  <c r="A16" i="64"/>
  <c r="A15" i="64"/>
  <c r="A12" i="64"/>
  <c r="J58" i="64"/>
  <c r="I58" i="64"/>
  <c r="H58" i="64"/>
  <c r="D37" i="64"/>
  <c r="D10" i="64"/>
  <c r="D11" i="64"/>
  <c r="D12" i="64"/>
  <c r="D13" i="64"/>
  <c r="D14" i="64"/>
  <c r="D15" i="64"/>
  <c r="D16" i="64"/>
  <c r="D17" i="64"/>
  <c r="D18" i="64"/>
  <c r="D19" i="64"/>
  <c r="D20" i="64"/>
  <c r="D21" i="64"/>
  <c r="D22" i="64"/>
  <c r="D23" i="64"/>
  <c r="D24" i="64"/>
  <c r="D25" i="64"/>
  <c r="D26" i="64"/>
  <c r="D27" i="64"/>
  <c r="D28" i="64"/>
  <c r="D29" i="64"/>
  <c r="D30" i="64"/>
  <c r="D31" i="64"/>
  <c r="D32" i="64"/>
  <c r="D33" i="64"/>
  <c r="D34" i="64"/>
  <c r="D35" i="64"/>
  <c r="D36" i="64"/>
  <c r="D38" i="64"/>
  <c r="D39" i="64"/>
  <c r="D40" i="64"/>
  <c r="D41" i="64"/>
  <c r="D42" i="64"/>
  <c r="D43" i="64"/>
  <c r="D44" i="64"/>
  <c r="D45" i="64"/>
  <c r="D46" i="64"/>
  <c r="D47" i="64"/>
  <c r="D48" i="64"/>
  <c r="D49" i="64"/>
  <c r="D8" i="64"/>
  <c r="D58" i="64" s="1"/>
  <c r="E10" i="64"/>
  <c r="E8" i="64"/>
  <c r="E58" i="64" s="1"/>
  <c r="E11" i="64"/>
  <c r="E12" i="64"/>
  <c r="E13" i="64"/>
  <c r="E14" i="64"/>
  <c r="E15" i="64"/>
  <c r="E16" i="64"/>
  <c r="E17" i="64"/>
  <c r="E18" i="64"/>
  <c r="E19" i="64"/>
  <c r="E20" i="64"/>
  <c r="E21" i="64"/>
  <c r="E22" i="64"/>
  <c r="E23" i="64"/>
  <c r="E24" i="64"/>
  <c r="E25" i="64"/>
  <c r="E26" i="64"/>
  <c r="E27" i="64"/>
  <c r="E28" i="64"/>
  <c r="E29" i="64"/>
  <c r="E30" i="64"/>
  <c r="E31" i="64"/>
  <c r="E32" i="64"/>
  <c r="E33" i="64"/>
  <c r="E34" i="64"/>
  <c r="E35" i="64"/>
  <c r="E36" i="64"/>
  <c r="E37" i="64"/>
  <c r="E38" i="64"/>
  <c r="E39" i="64"/>
  <c r="E40" i="64"/>
  <c r="E41" i="64"/>
  <c r="E42" i="64"/>
  <c r="E43" i="64"/>
  <c r="E44" i="64"/>
  <c r="E45" i="64"/>
  <c r="E46" i="64"/>
  <c r="E47" i="64"/>
  <c r="E48" i="64"/>
  <c r="E49" i="64"/>
  <c r="F10" i="64"/>
  <c r="F11" i="64"/>
  <c r="F12" i="64"/>
  <c r="F13" i="64"/>
  <c r="F14" i="64"/>
  <c r="F15" i="64"/>
  <c r="F16" i="64"/>
  <c r="F17" i="64"/>
  <c r="F18" i="64"/>
  <c r="F19" i="64"/>
  <c r="F20" i="64"/>
  <c r="F21" i="64"/>
  <c r="F22" i="64"/>
  <c r="F23" i="64"/>
  <c r="F24" i="64"/>
  <c r="F25" i="64"/>
  <c r="F26" i="64"/>
  <c r="F27" i="64"/>
  <c r="F28" i="64"/>
  <c r="F29" i="64"/>
  <c r="F30" i="64"/>
  <c r="F31" i="64"/>
  <c r="F32" i="64"/>
  <c r="F33" i="64"/>
  <c r="F34" i="64"/>
  <c r="F35" i="64"/>
  <c r="F36" i="64"/>
  <c r="F37" i="64"/>
  <c r="F38" i="64"/>
  <c r="F39" i="64"/>
  <c r="F40" i="64"/>
  <c r="F41" i="64"/>
  <c r="F42" i="64"/>
  <c r="F43" i="64"/>
  <c r="F44" i="64"/>
  <c r="F45" i="64"/>
  <c r="F46" i="64"/>
  <c r="F47" i="64"/>
  <c r="F48" i="64"/>
  <c r="F49" i="64"/>
  <c r="F8" i="64"/>
  <c r="F58" i="64" s="1"/>
  <c r="G10" i="64"/>
  <c r="G11" i="64"/>
  <c r="G12" i="64"/>
  <c r="G13" i="64"/>
  <c r="G14" i="64"/>
  <c r="G15" i="64"/>
  <c r="G16" i="64"/>
  <c r="G17" i="64"/>
  <c r="G18" i="64"/>
  <c r="G19" i="64"/>
  <c r="G20" i="64"/>
  <c r="G21" i="64"/>
  <c r="G22" i="64"/>
  <c r="G23" i="64"/>
  <c r="G24" i="64"/>
  <c r="G25" i="64"/>
  <c r="G26" i="64"/>
  <c r="G27" i="64"/>
  <c r="G28" i="64"/>
  <c r="G29" i="64"/>
  <c r="G30" i="64"/>
  <c r="G31" i="64"/>
  <c r="G32" i="64"/>
  <c r="G33" i="64"/>
  <c r="G34" i="64"/>
  <c r="G35" i="64"/>
  <c r="G36" i="64"/>
  <c r="G37" i="64"/>
  <c r="G38" i="64"/>
  <c r="G39" i="64"/>
  <c r="G40" i="64"/>
  <c r="G41" i="64"/>
  <c r="G42" i="64"/>
  <c r="G43" i="64"/>
  <c r="G44" i="64"/>
  <c r="G45" i="64"/>
  <c r="G46" i="64"/>
  <c r="G47" i="64"/>
  <c r="G48" i="64"/>
  <c r="G49" i="64"/>
  <c r="C49" i="64"/>
  <c r="C48" i="64"/>
  <c r="C47" i="64"/>
  <c r="C46" i="64"/>
  <c r="C45" i="64"/>
  <c r="C44" i="64"/>
  <c r="C43" i="64"/>
  <c r="C42" i="64"/>
  <c r="C41" i="64"/>
  <c r="C40" i="64"/>
  <c r="C39" i="64"/>
  <c r="C38" i="64"/>
  <c r="C37" i="64"/>
  <c r="C36" i="64"/>
  <c r="C35" i="64"/>
  <c r="C34" i="64"/>
  <c r="C33" i="64"/>
  <c r="C32" i="64"/>
  <c r="C31" i="64"/>
  <c r="C30" i="64"/>
  <c r="C29" i="64"/>
  <c r="C28" i="64"/>
  <c r="C27" i="64"/>
  <c r="C26" i="64"/>
  <c r="C25" i="64"/>
  <c r="C24" i="64"/>
  <c r="C23" i="64"/>
  <c r="C22" i="64"/>
  <c r="C21" i="64"/>
  <c r="C20" i="64"/>
  <c r="C19" i="64"/>
  <c r="C18" i="64"/>
  <c r="C17" i="64"/>
  <c r="C16" i="64"/>
  <c r="C15" i="64"/>
  <c r="C14" i="64"/>
  <c r="C13" i="64"/>
  <c r="C12" i="64"/>
  <c r="C11" i="64"/>
  <c r="C10" i="64"/>
  <c r="C8" i="64"/>
  <c r="G8" i="64"/>
  <c r="G58" i="64" s="1"/>
  <c r="D28" i="74"/>
  <c r="D27" i="74"/>
  <c r="F27" i="74"/>
  <c r="H27" i="74"/>
  <c r="J27" i="74"/>
  <c r="L27" i="74"/>
  <c r="N27" i="74"/>
  <c r="P27" i="74"/>
  <c r="R27" i="74"/>
  <c r="T27" i="74"/>
  <c r="V27" i="74"/>
  <c r="X27" i="74"/>
  <c r="C23" i="74"/>
  <c r="C30" i="74" s="1"/>
  <c r="D29" i="74"/>
  <c r="F29" i="74"/>
  <c r="H29" i="74"/>
  <c r="J29" i="74"/>
  <c r="L29" i="74"/>
  <c r="N29" i="74"/>
  <c r="P29" i="74"/>
  <c r="R29" i="74"/>
  <c r="T29" i="74"/>
  <c r="V29" i="74"/>
  <c r="X29" i="74"/>
  <c r="W29" i="74"/>
  <c r="S29" i="74"/>
  <c r="O29" i="74"/>
  <c r="K29" i="74"/>
  <c r="W27" i="74"/>
  <c r="S27" i="74"/>
  <c r="O27" i="74"/>
  <c r="K27" i="74"/>
  <c r="G27" i="74"/>
  <c r="C27" i="74"/>
  <c r="C17" i="74"/>
  <c r="C18" i="74"/>
  <c r="D30" i="74"/>
  <c r="J32" i="4"/>
  <c r="I11" i="4"/>
  <c r="E16" i="74"/>
  <c r="F16" i="74"/>
  <c r="G16" i="74" s="1"/>
  <c r="D28" i="4"/>
  <c r="D15" i="4"/>
  <c r="I41" i="4"/>
  <c r="I44" i="4"/>
  <c r="I65" i="4"/>
  <c r="I62" i="4"/>
  <c r="D21" i="4"/>
  <c r="D45" i="4"/>
  <c r="D57" i="4"/>
  <c r="I8" i="4"/>
  <c r="I58" i="4"/>
  <c r="I54" i="4"/>
  <c r="H68" i="4"/>
  <c r="C65" i="4"/>
  <c r="C65" i="76" s="1"/>
  <c r="C62" i="4"/>
  <c r="C62" i="76" s="1"/>
  <c r="J62" i="4"/>
  <c r="I60" i="4"/>
  <c r="C58" i="4"/>
  <c r="C58" i="76" s="1"/>
  <c r="I57" i="4"/>
  <c r="C54" i="4"/>
  <c r="C54" i="76" s="1"/>
  <c r="C52" i="4"/>
  <c r="C52" i="76" s="1"/>
  <c r="I52" i="4"/>
  <c r="H52" i="4"/>
  <c r="J52" i="4"/>
  <c r="H45" i="4"/>
  <c r="C44" i="4"/>
  <c r="C44" i="76" s="1"/>
  <c r="J44" i="4"/>
  <c r="H44" i="4"/>
  <c r="C42" i="4"/>
  <c r="C42" i="76" s="1"/>
  <c r="I42" i="4"/>
  <c r="J42" i="4"/>
  <c r="H41" i="4"/>
  <c r="C39" i="4"/>
  <c r="C39" i="76" s="1"/>
  <c r="I39" i="4"/>
  <c r="H28" i="4"/>
  <c r="C23" i="76"/>
  <c r="C21" i="4"/>
  <c r="C21" i="76" s="1"/>
  <c r="C18" i="4"/>
  <c r="C18" i="76" s="1"/>
  <c r="J15" i="4"/>
  <c r="C9" i="64"/>
  <c r="C11" i="4"/>
  <c r="C11" i="76" s="1"/>
  <c r="C9" i="4"/>
  <c r="C9" i="76" s="1"/>
  <c r="I9" i="4"/>
  <c r="C8" i="4"/>
  <c r="C8" i="76" s="1"/>
  <c r="J8" i="4"/>
  <c r="K65" i="4"/>
  <c r="K62" i="4"/>
  <c r="K57" i="4"/>
  <c r="K23" i="4"/>
  <c r="I23" i="4"/>
  <c r="K18" i="4"/>
  <c r="I18" i="4"/>
  <c r="G65" i="4"/>
  <c r="E65" i="4"/>
  <c r="E65" i="76" s="1"/>
  <c r="K60" i="4"/>
  <c r="G58" i="4"/>
  <c r="E58" i="4"/>
  <c r="E58" i="76" s="1"/>
  <c r="K58" i="4"/>
  <c r="K54" i="4"/>
  <c r="G54" i="4"/>
  <c r="E54" i="4"/>
  <c r="E54" i="76" s="1"/>
  <c r="G52" i="4"/>
  <c r="E52" i="4"/>
  <c r="E52" i="76" s="1"/>
  <c r="K52" i="4"/>
  <c r="K39" i="4"/>
  <c r="G39" i="4"/>
  <c r="E39" i="4"/>
  <c r="E39" i="76" s="1"/>
  <c r="G23" i="4"/>
  <c r="E23" i="4"/>
  <c r="E23" i="76" s="1"/>
  <c r="G21" i="4"/>
  <c r="E21" i="4"/>
  <c r="E21" i="76" s="1"/>
  <c r="G18" i="4"/>
  <c r="E18" i="4"/>
  <c r="E18" i="76" s="1"/>
  <c r="K11" i="4"/>
  <c r="G11" i="4"/>
  <c r="E11" i="4"/>
  <c r="E11" i="76" s="1"/>
  <c r="G9" i="4"/>
  <c r="E9" i="4"/>
  <c r="E9" i="76" s="1"/>
  <c r="K9" i="4"/>
  <c r="G8" i="4"/>
  <c r="E8" i="4"/>
  <c r="E8" i="76" s="1"/>
  <c r="K8" i="4"/>
  <c r="G9" i="64"/>
  <c r="J53" i="4"/>
  <c r="H53" i="4"/>
  <c r="J60" i="4"/>
  <c r="H60" i="4"/>
  <c r="D56" i="4"/>
  <c r="C56" i="4"/>
  <c r="C56" i="76" s="1"/>
  <c r="K56" i="4"/>
  <c r="H56" i="4"/>
  <c r="I56" i="4"/>
  <c r="J56" i="4"/>
  <c r="J48" i="4"/>
  <c r="C34" i="4"/>
  <c r="C34" i="76" s="1"/>
  <c r="J34" i="4"/>
  <c r="D34" i="4"/>
  <c r="H34" i="4"/>
  <c r="H57" i="4"/>
  <c r="C57" i="4"/>
  <c r="C57" i="76" s="1"/>
  <c r="I68" i="4"/>
  <c r="K68" i="4"/>
  <c r="C68" i="76"/>
  <c r="I21" i="4"/>
  <c r="H21" i="4"/>
  <c r="J21" i="4"/>
  <c r="G29" i="4"/>
  <c r="C29" i="4"/>
  <c r="C29" i="76" s="1"/>
  <c r="K29" i="4"/>
  <c r="H29" i="4"/>
  <c r="I29" i="4"/>
  <c r="J29" i="4"/>
  <c r="E29" i="4"/>
  <c r="E29" i="76" s="1"/>
  <c r="K42" i="4"/>
  <c r="D42" i="4"/>
  <c r="K41" i="4"/>
  <c r="D41" i="4"/>
  <c r="K44" i="4"/>
  <c r="D62" i="4"/>
  <c r="C60" i="4"/>
  <c r="C60" i="76" s="1"/>
  <c r="G56" i="4"/>
  <c r="E56" i="4"/>
  <c r="E56" i="76" s="1"/>
  <c r="K34" i="4"/>
  <c r="G34" i="4"/>
  <c r="E34" i="4"/>
  <c r="E34" i="76" s="1"/>
  <c r="E57" i="4"/>
  <c r="E57" i="76" s="1"/>
  <c r="G57" i="4"/>
  <c r="E68" i="4"/>
  <c r="E68" i="76" s="1"/>
  <c r="G68" i="4"/>
  <c r="K21" i="4"/>
  <c r="G42" i="4"/>
  <c r="E42" i="4"/>
  <c r="E42" i="76" s="1"/>
  <c r="G41" i="4"/>
  <c r="E41" i="4"/>
  <c r="E41" i="76" s="1"/>
  <c r="E44" i="4"/>
  <c r="E44" i="76" s="1"/>
  <c r="G44" i="4"/>
  <c r="E62" i="4"/>
  <c r="E62" i="76" s="1"/>
  <c r="G62" i="4"/>
  <c r="G60" i="4"/>
  <c r="E60" i="4"/>
  <c r="E60" i="76" s="1"/>
  <c r="J37" i="76" l="1"/>
  <c r="F37" i="76"/>
  <c r="I37" i="76"/>
  <c r="H37" i="76"/>
  <c r="G37" i="76"/>
  <c r="H16" i="74"/>
  <c r="E19" i="74"/>
  <c r="D17" i="74"/>
  <c r="D18" i="74" s="1"/>
  <c r="U29" i="74"/>
  <c r="E29" i="74"/>
  <c r="Q27" i="74"/>
  <c r="G29" i="74"/>
  <c r="I20" i="76"/>
  <c r="G20" i="76"/>
  <c r="J20" i="76"/>
  <c r="H20" i="76"/>
  <c r="F20" i="76"/>
  <c r="J69" i="76"/>
  <c r="H69" i="76"/>
  <c r="F69" i="76"/>
  <c r="I69" i="76"/>
  <c r="G69" i="76"/>
  <c r="B3" i="306"/>
  <c r="B3" i="307"/>
  <c r="C8" i="306"/>
  <c r="D8" i="306" s="1"/>
  <c r="E8" i="306" s="1"/>
  <c r="F8" i="306" s="1"/>
  <c r="G8" i="306" s="1"/>
  <c r="H8" i="306" s="1"/>
  <c r="I8" i="306" s="1"/>
  <c r="J8" i="306" s="1"/>
  <c r="K8" i="306" s="1"/>
  <c r="L8" i="306" s="1"/>
  <c r="M8" i="306" s="1"/>
  <c r="N8" i="306" s="1"/>
  <c r="O8" i="306" s="1"/>
  <c r="P8" i="306" s="1"/>
  <c r="Q8" i="306" s="1"/>
  <c r="R8" i="306" s="1"/>
  <c r="S8" i="306" s="1"/>
  <c r="T8" i="306" s="1"/>
  <c r="U8" i="306" s="1"/>
  <c r="V8" i="306" s="1"/>
  <c r="W8" i="306" s="1"/>
  <c r="X8" i="306" s="1"/>
  <c r="C8" i="307"/>
  <c r="D8" i="307" s="1"/>
  <c r="E8" i="307" s="1"/>
  <c r="F8" i="307" s="1"/>
  <c r="G8" i="307" s="1"/>
  <c r="H8" i="307" s="1"/>
  <c r="I8" i="307" s="1"/>
  <c r="J8" i="307" s="1"/>
  <c r="K8" i="307" s="1"/>
  <c r="L8" i="307" s="1"/>
  <c r="M8" i="307" s="1"/>
  <c r="N8" i="307" s="1"/>
  <c r="O8" i="307" s="1"/>
  <c r="P8" i="307" s="1"/>
  <c r="Q8" i="307" s="1"/>
  <c r="R8" i="307" s="1"/>
  <c r="S8" i="307" s="1"/>
  <c r="T8" i="307" s="1"/>
  <c r="U8" i="307" s="1"/>
  <c r="V8" i="307" s="1"/>
  <c r="W8" i="307" s="1"/>
  <c r="X8" i="307" s="1"/>
  <c r="I51" i="76"/>
  <c r="G51" i="76"/>
  <c r="J51" i="76"/>
  <c r="H51" i="76"/>
  <c r="F51" i="76"/>
  <c r="I46" i="76"/>
  <c r="G46" i="76"/>
  <c r="J46" i="76"/>
  <c r="H46" i="76"/>
  <c r="F46" i="76"/>
  <c r="J33" i="76"/>
  <c r="H33" i="76"/>
  <c r="F33" i="76"/>
  <c r="I33" i="76"/>
  <c r="G33" i="76"/>
  <c r="B3" i="303"/>
  <c r="B3" i="305"/>
  <c r="B3" i="304"/>
  <c r="C8" i="303"/>
  <c r="D8" i="303" s="1"/>
  <c r="E8" i="303" s="1"/>
  <c r="F8" i="303" s="1"/>
  <c r="G8" i="303" s="1"/>
  <c r="H8" i="303" s="1"/>
  <c r="I8" i="303" s="1"/>
  <c r="J8" i="303" s="1"/>
  <c r="K8" i="303" s="1"/>
  <c r="L8" i="303" s="1"/>
  <c r="M8" i="303" s="1"/>
  <c r="N8" i="303" s="1"/>
  <c r="O8" i="303" s="1"/>
  <c r="P8" i="303" s="1"/>
  <c r="Q8" i="303" s="1"/>
  <c r="R8" i="303" s="1"/>
  <c r="S8" i="303" s="1"/>
  <c r="T8" i="303" s="1"/>
  <c r="U8" i="303" s="1"/>
  <c r="V8" i="303" s="1"/>
  <c r="W8" i="303" s="1"/>
  <c r="X8" i="303" s="1"/>
  <c r="C8" i="304"/>
  <c r="D8" i="304" s="1"/>
  <c r="E8" i="304" s="1"/>
  <c r="F8" i="304" s="1"/>
  <c r="G8" i="304" s="1"/>
  <c r="H8" i="304" s="1"/>
  <c r="I8" i="304" s="1"/>
  <c r="J8" i="304" s="1"/>
  <c r="K8" i="304" s="1"/>
  <c r="L8" i="304" s="1"/>
  <c r="M8" i="304" s="1"/>
  <c r="N8" i="304" s="1"/>
  <c r="O8" i="304" s="1"/>
  <c r="P8" i="304" s="1"/>
  <c r="Q8" i="304" s="1"/>
  <c r="R8" i="304" s="1"/>
  <c r="S8" i="304" s="1"/>
  <c r="T8" i="304" s="1"/>
  <c r="U8" i="304" s="1"/>
  <c r="V8" i="304" s="1"/>
  <c r="W8" i="304" s="1"/>
  <c r="X8" i="304" s="1"/>
  <c r="C8" i="305"/>
  <c r="D8" i="305" s="1"/>
  <c r="E8" i="305" s="1"/>
  <c r="F8" i="305" s="1"/>
  <c r="G8" i="305" s="1"/>
  <c r="H8" i="305" s="1"/>
  <c r="I8" i="305" s="1"/>
  <c r="J8" i="305" s="1"/>
  <c r="K8" i="305" s="1"/>
  <c r="L8" i="305" s="1"/>
  <c r="M8" i="305" s="1"/>
  <c r="N8" i="305" s="1"/>
  <c r="O8" i="305" s="1"/>
  <c r="P8" i="305" s="1"/>
  <c r="Q8" i="305" s="1"/>
  <c r="R8" i="305" s="1"/>
  <c r="S8" i="305" s="1"/>
  <c r="T8" i="305" s="1"/>
  <c r="U8" i="305" s="1"/>
  <c r="V8" i="305" s="1"/>
  <c r="W8" i="305" s="1"/>
  <c r="X8" i="305" s="1"/>
  <c r="I77" i="76"/>
  <c r="G77" i="76"/>
  <c r="J77" i="76"/>
  <c r="H77" i="76"/>
  <c r="F77" i="76"/>
  <c r="J76" i="76"/>
  <c r="H76" i="76"/>
  <c r="F76" i="76"/>
  <c r="I76" i="76"/>
  <c r="G76" i="76"/>
  <c r="I24" i="76"/>
  <c r="G24" i="76"/>
  <c r="J24" i="76"/>
  <c r="H24" i="76"/>
  <c r="F24" i="76"/>
  <c r="I64" i="76"/>
  <c r="G64" i="76"/>
  <c r="J64" i="76"/>
  <c r="H64" i="76"/>
  <c r="F64" i="76"/>
  <c r="B3" i="302"/>
  <c r="B3" i="301"/>
  <c r="B3" i="300"/>
  <c r="C8" i="301"/>
  <c r="D8" i="301" s="1"/>
  <c r="E8" i="301" s="1"/>
  <c r="F8" i="301" s="1"/>
  <c r="G8" i="301" s="1"/>
  <c r="H8" i="301" s="1"/>
  <c r="I8" i="301" s="1"/>
  <c r="J8" i="301" s="1"/>
  <c r="K8" i="301" s="1"/>
  <c r="L8" i="301" s="1"/>
  <c r="M8" i="301" s="1"/>
  <c r="N8" i="301" s="1"/>
  <c r="O8" i="301" s="1"/>
  <c r="P8" i="301" s="1"/>
  <c r="Q8" i="301" s="1"/>
  <c r="R8" i="301" s="1"/>
  <c r="S8" i="301" s="1"/>
  <c r="T8" i="301" s="1"/>
  <c r="U8" i="301" s="1"/>
  <c r="V8" i="301" s="1"/>
  <c r="W8" i="301" s="1"/>
  <c r="X8" i="301" s="1"/>
  <c r="C8" i="300"/>
  <c r="D8" i="300" s="1"/>
  <c r="E8" i="300" s="1"/>
  <c r="F8" i="300" s="1"/>
  <c r="G8" i="300" s="1"/>
  <c r="H8" i="300" s="1"/>
  <c r="I8" i="300" s="1"/>
  <c r="J8" i="300" s="1"/>
  <c r="K8" i="300" s="1"/>
  <c r="L8" i="300" s="1"/>
  <c r="M8" i="300" s="1"/>
  <c r="N8" i="300" s="1"/>
  <c r="O8" i="300" s="1"/>
  <c r="P8" i="300" s="1"/>
  <c r="Q8" i="300" s="1"/>
  <c r="R8" i="300" s="1"/>
  <c r="S8" i="300" s="1"/>
  <c r="T8" i="300" s="1"/>
  <c r="U8" i="300" s="1"/>
  <c r="V8" i="300" s="1"/>
  <c r="W8" i="300" s="1"/>
  <c r="X8" i="300" s="1"/>
  <c r="C8" i="302"/>
  <c r="D8" i="302" s="1"/>
  <c r="E8" i="302" s="1"/>
  <c r="F8" i="302" s="1"/>
  <c r="G8" i="302" s="1"/>
  <c r="H8" i="302" s="1"/>
  <c r="I8" i="302" s="1"/>
  <c r="J8" i="302" s="1"/>
  <c r="K8" i="302" s="1"/>
  <c r="L8" i="302" s="1"/>
  <c r="M8" i="302" s="1"/>
  <c r="N8" i="302" s="1"/>
  <c r="O8" i="302" s="1"/>
  <c r="P8" i="302" s="1"/>
  <c r="Q8" i="302" s="1"/>
  <c r="R8" i="302" s="1"/>
  <c r="S8" i="302" s="1"/>
  <c r="T8" i="302" s="1"/>
  <c r="U8" i="302" s="1"/>
  <c r="V8" i="302" s="1"/>
  <c r="W8" i="302" s="1"/>
  <c r="X8" i="302" s="1"/>
  <c r="I35" i="76"/>
  <c r="G35" i="76"/>
  <c r="J35" i="76"/>
  <c r="H35" i="76"/>
  <c r="F35" i="76"/>
  <c r="B3" i="298"/>
  <c r="B3" i="299"/>
  <c r="C8" i="299"/>
  <c r="D8" i="299" s="1"/>
  <c r="E8" i="299" s="1"/>
  <c r="F8" i="299" s="1"/>
  <c r="G8" i="299" s="1"/>
  <c r="H8" i="299" s="1"/>
  <c r="I8" i="299" s="1"/>
  <c r="J8" i="299" s="1"/>
  <c r="K8" i="299" s="1"/>
  <c r="L8" i="299" s="1"/>
  <c r="M8" i="299" s="1"/>
  <c r="N8" i="299" s="1"/>
  <c r="O8" i="299" s="1"/>
  <c r="P8" i="299" s="1"/>
  <c r="Q8" i="299" s="1"/>
  <c r="R8" i="299" s="1"/>
  <c r="S8" i="299" s="1"/>
  <c r="T8" i="299" s="1"/>
  <c r="U8" i="299" s="1"/>
  <c r="V8" i="299" s="1"/>
  <c r="W8" i="299" s="1"/>
  <c r="X8" i="299" s="1"/>
  <c r="C8" i="267"/>
  <c r="D8" i="267" s="1"/>
  <c r="E8" i="267" s="1"/>
  <c r="F8" i="267" s="1"/>
  <c r="G8" i="267" s="1"/>
  <c r="H8" i="267" s="1"/>
  <c r="I8" i="267" s="1"/>
  <c r="J8" i="267" s="1"/>
  <c r="K8" i="267" s="1"/>
  <c r="L8" i="267" s="1"/>
  <c r="M8" i="267" s="1"/>
  <c r="N8" i="267" s="1"/>
  <c r="O8" i="267" s="1"/>
  <c r="P8" i="267" s="1"/>
  <c r="Q8" i="267" s="1"/>
  <c r="R8" i="267" s="1"/>
  <c r="S8" i="267" s="1"/>
  <c r="T8" i="267" s="1"/>
  <c r="U8" i="267" s="1"/>
  <c r="V8" i="267" s="1"/>
  <c r="W8" i="267" s="1"/>
  <c r="X8" i="267" s="1"/>
  <c r="C8" i="245"/>
  <c r="D8" i="245" s="1"/>
  <c r="E8" i="245" s="1"/>
  <c r="F8" i="245" s="1"/>
  <c r="G8" i="245" s="1"/>
  <c r="H8" i="245" s="1"/>
  <c r="I8" i="245" s="1"/>
  <c r="J8" i="245" s="1"/>
  <c r="K8" i="245" s="1"/>
  <c r="L8" i="245" s="1"/>
  <c r="M8" i="245" s="1"/>
  <c r="N8" i="245" s="1"/>
  <c r="O8" i="245" s="1"/>
  <c r="P8" i="245" s="1"/>
  <c r="Q8" i="245" s="1"/>
  <c r="R8" i="245" s="1"/>
  <c r="S8" i="245" s="1"/>
  <c r="T8" i="245" s="1"/>
  <c r="U8" i="245" s="1"/>
  <c r="V8" i="245" s="1"/>
  <c r="W8" i="245" s="1"/>
  <c r="X8" i="245" s="1"/>
  <c r="C8" i="271"/>
  <c r="D8" i="271" s="1"/>
  <c r="E8" i="271" s="1"/>
  <c r="F8" i="271" s="1"/>
  <c r="G8" i="271" s="1"/>
  <c r="H8" i="271" s="1"/>
  <c r="I8" i="271" s="1"/>
  <c r="J8" i="271" s="1"/>
  <c r="K8" i="271" s="1"/>
  <c r="L8" i="271" s="1"/>
  <c r="M8" i="271" s="1"/>
  <c r="N8" i="271" s="1"/>
  <c r="O8" i="271" s="1"/>
  <c r="P8" i="271" s="1"/>
  <c r="Q8" i="271" s="1"/>
  <c r="R8" i="271" s="1"/>
  <c r="S8" i="271" s="1"/>
  <c r="T8" i="271" s="1"/>
  <c r="U8" i="271" s="1"/>
  <c r="V8" i="271" s="1"/>
  <c r="W8" i="271" s="1"/>
  <c r="X8" i="271" s="1"/>
  <c r="C8" i="272"/>
  <c r="D8" i="272" s="1"/>
  <c r="E8" i="272" s="1"/>
  <c r="F8" i="272" s="1"/>
  <c r="G8" i="272" s="1"/>
  <c r="H8" i="272" s="1"/>
  <c r="I8" i="272" s="1"/>
  <c r="J8" i="272" s="1"/>
  <c r="K8" i="272" s="1"/>
  <c r="L8" i="272" s="1"/>
  <c r="M8" i="272" s="1"/>
  <c r="N8" i="272" s="1"/>
  <c r="O8" i="272" s="1"/>
  <c r="P8" i="272" s="1"/>
  <c r="Q8" i="272" s="1"/>
  <c r="R8" i="272" s="1"/>
  <c r="S8" i="272" s="1"/>
  <c r="T8" i="272" s="1"/>
  <c r="U8" i="272" s="1"/>
  <c r="V8" i="272" s="1"/>
  <c r="W8" i="272" s="1"/>
  <c r="X8" i="272" s="1"/>
  <c r="C8" i="290"/>
  <c r="D8" i="290" s="1"/>
  <c r="E8" i="290" s="1"/>
  <c r="F8" i="290" s="1"/>
  <c r="G8" i="290" s="1"/>
  <c r="H8" i="290" s="1"/>
  <c r="I8" i="290" s="1"/>
  <c r="J8" i="290" s="1"/>
  <c r="K8" i="290" s="1"/>
  <c r="L8" i="290" s="1"/>
  <c r="M8" i="290" s="1"/>
  <c r="N8" i="290" s="1"/>
  <c r="O8" i="290" s="1"/>
  <c r="P8" i="290" s="1"/>
  <c r="Q8" i="290" s="1"/>
  <c r="R8" i="290" s="1"/>
  <c r="S8" i="290" s="1"/>
  <c r="T8" i="290" s="1"/>
  <c r="U8" i="290" s="1"/>
  <c r="V8" i="290" s="1"/>
  <c r="W8" i="290" s="1"/>
  <c r="X8" i="290" s="1"/>
  <c r="C8" i="191"/>
  <c r="D8" i="191" s="1"/>
  <c r="E8" i="191" s="1"/>
  <c r="F8" i="191" s="1"/>
  <c r="G8" i="191" s="1"/>
  <c r="H8" i="191" s="1"/>
  <c r="I8" i="191" s="1"/>
  <c r="J8" i="191" s="1"/>
  <c r="K8" i="191" s="1"/>
  <c r="L8" i="191" s="1"/>
  <c r="M8" i="191" s="1"/>
  <c r="N8" i="191" s="1"/>
  <c r="O8" i="191" s="1"/>
  <c r="P8" i="191" s="1"/>
  <c r="Q8" i="191" s="1"/>
  <c r="R8" i="191" s="1"/>
  <c r="S8" i="191" s="1"/>
  <c r="T8" i="191" s="1"/>
  <c r="U8" i="191" s="1"/>
  <c r="V8" i="191" s="1"/>
  <c r="W8" i="191" s="1"/>
  <c r="X8" i="191" s="1"/>
  <c r="C8" i="275"/>
  <c r="D8" i="275" s="1"/>
  <c r="E8" i="275" s="1"/>
  <c r="F8" i="275" s="1"/>
  <c r="G8" i="275" s="1"/>
  <c r="H8" i="275" s="1"/>
  <c r="I8" i="275" s="1"/>
  <c r="J8" i="275" s="1"/>
  <c r="K8" i="275" s="1"/>
  <c r="L8" i="275" s="1"/>
  <c r="M8" i="275" s="1"/>
  <c r="N8" i="275" s="1"/>
  <c r="O8" i="275" s="1"/>
  <c r="P8" i="275" s="1"/>
  <c r="Q8" i="275" s="1"/>
  <c r="R8" i="275" s="1"/>
  <c r="S8" i="275" s="1"/>
  <c r="T8" i="275" s="1"/>
  <c r="U8" i="275" s="1"/>
  <c r="V8" i="275" s="1"/>
  <c r="W8" i="275" s="1"/>
  <c r="X8" i="275" s="1"/>
  <c r="C8" i="289"/>
  <c r="D8" i="289" s="1"/>
  <c r="E8" i="289" s="1"/>
  <c r="F8" i="289" s="1"/>
  <c r="G8" i="289" s="1"/>
  <c r="H8" i="289" s="1"/>
  <c r="I8" i="289" s="1"/>
  <c r="J8" i="289" s="1"/>
  <c r="K8" i="289" s="1"/>
  <c r="L8" i="289" s="1"/>
  <c r="M8" i="289" s="1"/>
  <c r="N8" i="289" s="1"/>
  <c r="O8" i="289" s="1"/>
  <c r="P8" i="289" s="1"/>
  <c r="Q8" i="289" s="1"/>
  <c r="R8" i="289" s="1"/>
  <c r="S8" i="289" s="1"/>
  <c r="T8" i="289" s="1"/>
  <c r="U8" i="289" s="1"/>
  <c r="V8" i="289" s="1"/>
  <c r="W8" i="289" s="1"/>
  <c r="X8" i="289" s="1"/>
  <c r="C8" i="217"/>
  <c r="D8" i="217" s="1"/>
  <c r="E8" i="217" s="1"/>
  <c r="F8" i="217" s="1"/>
  <c r="G8" i="217" s="1"/>
  <c r="H8" i="217" s="1"/>
  <c r="I8" i="217" s="1"/>
  <c r="J8" i="217" s="1"/>
  <c r="K8" i="217" s="1"/>
  <c r="L8" i="217" s="1"/>
  <c r="M8" i="217" s="1"/>
  <c r="N8" i="217" s="1"/>
  <c r="O8" i="217" s="1"/>
  <c r="P8" i="217" s="1"/>
  <c r="Q8" i="217" s="1"/>
  <c r="R8" i="217" s="1"/>
  <c r="S8" i="217" s="1"/>
  <c r="T8" i="217" s="1"/>
  <c r="U8" i="217" s="1"/>
  <c r="V8" i="217" s="1"/>
  <c r="W8" i="217" s="1"/>
  <c r="X8" i="217" s="1"/>
  <c r="C8" i="298"/>
  <c r="D8" i="298" s="1"/>
  <c r="E8" i="298" s="1"/>
  <c r="F8" i="298" s="1"/>
  <c r="G8" i="298" s="1"/>
  <c r="H8" i="298" s="1"/>
  <c r="I8" i="298" s="1"/>
  <c r="J8" i="298" s="1"/>
  <c r="K8" i="298" s="1"/>
  <c r="L8" i="298" s="1"/>
  <c r="M8" i="298" s="1"/>
  <c r="N8" i="298" s="1"/>
  <c r="O8" i="298" s="1"/>
  <c r="P8" i="298" s="1"/>
  <c r="Q8" i="298" s="1"/>
  <c r="R8" i="298" s="1"/>
  <c r="S8" i="298" s="1"/>
  <c r="T8" i="298" s="1"/>
  <c r="U8" i="298" s="1"/>
  <c r="V8" i="298" s="1"/>
  <c r="W8" i="298" s="1"/>
  <c r="X8" i="298" s="1"/>
  <c r="C8" i="261"/>
  <c r="D8" i="261" s="1"/>
  <c r="E8" i="261" s="1"/>
  <c r="F8" i="261" s="1"/>
  <c r="G8" i="261" s="1"/>
  <c r="H8" i="261" s="1"/>
  <c r="I8" i="261" s="1"/>
  <c r="J8" i="261" s="1"/>
  <c r="K8" i="261" s="1"/>
  <c r="L8" i="261" s="1"/>
  <c r="M8" i="261" s="1"/>
  <c r="N8" i="261" s="1"/>
  <c r="O8" i="261" s="1"/>
  <c r="P8" i="261" s="1"/>
  <c r="Q8" i="261" s="1"/>
  <c r="R8" i="261" s="1"/>
  <c r="S8" i="261" s="1"/>
  <c r="T8" i="261" s="1"/>
  <c r="U8" i="261" s="1"/>
  <c r="V8" i="261" s="1"/>
  <c r="W8" i="261" s="1"/>
  <c r="X8" i="261" s="1"/>
  <c r="C8" i="242"/>
  <c r="D8" i="242" s="1"/>
  <c r="E8" i="242" s="1"/>
  <c r="F8" i="242" s="1"/>
  <c r="G8" i="242" s="1"/>
  <c r="H8" i="242" s="1"/>
  <c r="I8" i="242" s="1"/>
  <c r="J8" i="242" s="1"/>
  <c r="K8" i="242" s="1"/>
  <c r="L8" i="242" s="1"/>
  <c r="M8" i="242" s="1"/>
  <c r="N8" i="242" s="1"/>
  <c r="O8" i="242" s="1"/>
  <c r="P8" i="242" s="1"/>
  <c r="Q8" i="242" s="1"/>
  <c r="R8" i="242" s="1"/>
  <c r="S8" i="242" s="1"/>
  <c r="T8" i="242" s="1"/>
  <c r="U8" i="242" s="1"/>
  <c r="V8" i="242" s="1"/>
  <c r="W8" i="242" s="1"/>
  <c r="X8" i="242" s="1"/>
  <c r="C8" i="123"/>
  <c r="D8" i="123" s="1"/>
  <c r="E8" i="123" s="1"/>
  <c r="F8" i="123" s="1"/>
  <c r="G8" i="123" s="1"/>
  <c r="H8" i="123" s="1"/>
  <c r="I8" i="123" s="1"/>
  <c r="J8" i="123" s="1"/>
  <c r="K8" i="123" s="1"/>
  <c r="L8" i="123" s="1"/>
  <c r="M8" i="123" s="1"/>
  <c r="N8" i="123" s="1"/>
  <c r="O8" i="123" s="1"/>
  <c r="P8" i="123" s="1"/>
  <c r="Q8" i="123" s="1"/>
  <c r="R8" i="123" s="1"/>
  <c r="S8" i="123" s="1"/>
  <c r="T8" i="123" s="1"/>
  <c r="U8" i="123" s="1"/>
  <c r="V8" i="123" s="1"/>
  <c r="W8" i="123" s="1"/>
  <c r="X8" i="123" s="1"/>
  <c r="C8" i="235"/>
  <c r="D8" i="235" s="1"/>
  <c r="E8" i="235" s="1"/>
  <c r="F8" i="235" s="1"/>
  <c r="G8" i="235" s="1"/>
  <c r="H8" i="235" s="1"/>
  <c r="I8" i="235" s="1"/>
  <c r="J8" i="235" s="1"/>
  <c r="K8" i="235" s="1"/>
  <c r="L8" i="235" s="1"/>
  <c r="M8" i="235" s="1"/>
  <c r="N8" i="235" s="1"/>
  <c r="O8" i="235" s="1"/>
  <c r="P8" i="235" s="1"/>
  <c r="Q8" i="235" s="1"/>
  <c r="R8" i="235" s="1"/>
  <c r="S8" i="235" s="1"/>
  <c r="T8" i="235" s="1"/>
  <c r="U8" i="235" s="1"/>
  <c r="V8" i="235" s="1"/>
  <c r="W8" i="235" s="1"/>
  <c r="X8" i="235" s="1"/>
  <c r="C8" i="246"/>
  <c r="D8" i="246" s="1"/>
  <c r="E8" i="246" s="1"/>
  <c r="F8" i="246" s="1"/>
  <c r="G8" i="246" s="1"/>
  <c r="H8" i="246" s="1"/>
  <c r="I8" i="246" s="1"/>
  <c r="J8" i="246" s="1"/>
  <c r="K8" i="246" s="1"/>
  <c r="L8" i="246" s="1"/>
  <c r="M8" i="246" s="1"/>
  <c r="N8" i="246" s="1"/>
  <c r="O8" i="246" s="1"/>
  <c r="P8" i="246" s="1"/>
  <c r="Q8" i="246" s="1"/>
  <c r="R8" i="246" s="1"/>
  <c r="S8" i="246" s="1"/>
  <c r="T8" i="246" s="1"/>
  <c r="U8" i="246" s="1"/>
  <c r="V8" i="246" s="1"/>
  <c r="W8" i="246" s="1"/>
  <c r="X8" i="246" s="1"/>
  <c r="C8" i="297"/>
  <c r="D8" i="297" s="1"/>
  <c r="E8" i="297" s="1"/>
  <c r="F8" i="297" s="1"/>
  <c r="G8" i="297" s="1"/>
  <c r="H8" i="297" s="1"/>
  <c r="I8" i="297" s="1"/>
  <c r="J8" i="297" s="1"/>
  <c r="K8" i="297" s="1"/>
  <c r="L8" i="297" s="1"/>
  <c r="M8" i="297" s="1"/>
  <c r="N8" i="297" s="1"/>
  <c r="O8" i="297" s="1"/>
  <c r="P8" i="297" s="1"/>
  <c r="Q8" i="297" s="1"/>
  <c r="R8" i="297" s="1"/>
  <c r="S8" i="297" s="1"/>
  <c r="T8" i="297" s="1"/>
  <c r="U8" i="297" s="1"/>
  <c r="V8" i="297" s="1"/>
  <c r="W8" i="297" s="1"/>
  <c r="X8" i="297" s="1"/>
  <c r="C8" i="161"/>
  <c r="D8" i="161" s="1"/>
  <c r="E8" i="161" s="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8" i="120"/>
  <c r="D8" i="120" s="1"/>
  <c r="E8" i="120" s="1"/>
  <c r="F8" i="120" s="1"/>
  <c r="G8" i="120" s="1"/>
  <c r="H8" i="120" s="1"/>
  <c r="I8" i="120" s="1"/>
  <c r="J8" i="120" s="1"/>
  <c r="K8" i="120" s="1"/>
  <c r="L8" i="120" s="1"/>
  <c r="M8" i="120" s="1"/>
  <c r="N8" i="120" s="1"/>
  <c r="O8" i="120" s="1"/>
  <c r="P8" i="120" s="1"/>
  <c r="Q8" i="120" s="1"/>
  <c r="R8" i="120" s="1"/>
  <c r="S8" i="120" s="1"/>
  <c r="T8" i="120" s="1"/>
  <c r="U8" i="120" s="1"/>
  <c r="V8" i="120" s="1"/>
  <c r="W8" i="120" s="1"/>
  <c r="X8" i="120" s="1"/>
  <c r="C8" i="294"/>
  <c r="D8" i="294" s="1"/>
  <c r="E8" i="294" s="1"/>
  <c r="F8" i="294" s="1"/>
  <c r="G8" i="294" s="1"/>
  <c r="H8" i="294" s="1"/>
  <c r="I8" i="294" s="1"/>
  <c r="J8" i="294" s="1"/>
  <c r="K8" i="294" s="1"/>
  <c r="L8" i="294" s="1"/>
  <c r="M8" i="294" s="1"/>
  <c r="N8" i="294" s="1"/>
  <c r="O8" i="294" s="1"/>
  <c r="P8" i="294" s="1"/>
  <c r="Q8" i="294" s="1"/>
  <c r="R8" i="294" s="1"/>
  <c r="S8" i="294" s="1"/>
  <c r="T8" i="294" s="1"/>
  <c r="U8" i="294" s="1"/>
  <c r="V8" i="294" s="1"/>
  <c r="W8" i="294" s="1"/>
  <c r="X8" i="294" s="1"/>
  <c r="C8" i="159"/>
  <c r="D8" i="159" s="1"/>
  <c r="E8" i="159" s="1"/>
  <c r="F8" i="159" s="1"/>
  <c r="G8" i="159" s="1"/>
  <c r="H8" i="159" s="1"/>
  <c r="I8" i="159" s="1"/>
  <c r="J8" i="159" s="1"/>
  <c r="K8" i="159" s="1"/>
  <c r="L8" i="159" s="1"/>
  <c r="M8" i="159" s="1"/>
  <c r="N8" i="159" s="1"/>
  <c r="O8" i="159" s="1"/>
  <c r="P8" i="159" s="1"/>
  <c r="Q8" i="159" s="1"/>
  <c r="R8" i="159" s="1"/>
  <c r="S8" i="159" s="1"/>
  <c r="T8" i="159" s="1"/>
  <c r="U8" i="159" s="1"/>
  <c r="V8" i="159" s="1"/>
  <c r="W8" i="159" s="1"/>
  <c r="X8" i="159" s="1"/>
  <c r="C8" i="163"/>
  <c r="D8" i="163" s="1"/>
  <c r="E8" i="163" s="1"/>
  <c r="F8" i="163" s="1"/>
  <c r="G8" i="163" s="1"/>
  <c r="H8" i="163" s="1"/>
  <c r="I8" i="163" s="1"/>
  <c r="J8" i="163" s="1"/>
  <c r="K8" i="163" s="1"/>
  <c r="L8" i="163" s="1"/>
  <c r="M8" i="163" s="1"/>
  <c r="N8" i="163" s="1"/>
  <c r="O8" i="163" s="1"/>
  <c r="P8" i="163" s="1"/>
  <c r="Q8" i="163" s="1"/>
  <c r="R8" i="163" s="1"/>
  <c r="S8" i="163" s="1"/>
  <c r="T8" i="163" s="1"/>
  <c r="U8" i="163" s="1"/>
  <c r="V8" i="163" s="1"/>
  <c r="W8" i="163" s="1"/>
  <c r="X8" i="163" s="1"/>
  <c r="C8" i="283"/>
  <c r="D8" i="283" s="1"/>
  <c r="E8" i="283" s="1"/>
  <c r="F8" i="283" s="1"/>
  <c r="G8" i="283" s="1"/>
  <c r="H8" i="283" s="1"/>
  <c r="I8" i="283" s="1"/>
  <c r="J8" i="283" s="1"/>
  <c r="K8" i="283" s="1"/>
  <c r="L8" i="283" s="1"/>
  <c r="M8" i="283" s="1"/>
  <c r="N8" i="283" s="1"/>
  <c r="O8" i="283" s="1"/>
  <c r="P8" i="283" s="1"/>
  <c r="Q8" i="283" s="1"/>
  <c r="R8" i="283" s="1"/>
  <c r="S8" i="283" s="1"/>
  <c r="T8" i="283" s="1"/>
  <c r="U8" i="283" s="1"/>
  <c r="V8" i="283" s="1"/>
  <c r="W8" i="283" s="1"/>
  <c r="X8" i="283" s="1"/>
  <c r="C8" i="259"/>
  <c r="D8" i="259" s="1"/>
  <c r="E8" i="259" s="1"/>
  <c r="F8" i="259" s="1"/>
  <c r="G8" i="259" s="1"/>
  <c r="H8" i="259" s="1"/>
  <c r="I8" i="259" s="1"/>
  <c r="J8" i="259" s="1"/>
  <c r="K8" i="259" s="1"/>
  <c r="L8" i="259" s="1"/>
  <c r="M8" i="259" s="1"/>
  <c r="N8" i="259" s="1"/>
  <c r="O8" i="259" s="1"/>
  <c r="P8" i="259" s="1"/>
  <c r="Q8" i="259" s="1"/>
  <c r="R8" i="259" s="1"/>
  <c r="S8" i="259" s="1"/>
  <c r="T8" i="259" s="1"/>
  <c r="U8" i="259" s="1"/>
  <c r="V8" i="259" s="1"/>
  <c r="W8" i="259" s="1"/>
  <c r="X8" i="259" s="1"/>
  <c r="C8" i="118"/>
  <c r="D8" i="118" s="1"/>
  <c r="E8" i="118" s="1"/>
  <c r="F8" i="118" s="1"/>
  <c r="G8" i="118" s="1"/>
  <c r="H8" i="118" s="1"/>
  <c r="I8" i="118" s="1"/>
  <c r="J8" i="118" s="1"/>
  <c r="K8" i="118" s="1"/>
  <c r="L8" i="118" s="1"/>
  <c r="M8" i="118" s="1"/>
  <c r="N8" i="118" s="1"/>
  <c r="O8" i="118" s="1"/>
  <c r="P8" i="118" s="1"/>
  <c r="Q8" i="118" s="1"/>
  <c r="R8" i="118" s="1"/>
  <c r="S8" i="118" s="1"/>
  <c r="T8" i="118" s="1"/>
  <c r="U8" i="118" s="1"/>
  <c r="V8" i="118" s="1"/>
  <c r="W8" i="118" s="1"/>
  <c r="X8" i="118" s="1"/>
  <c r="C8" i="157"/>
  <c r="D8" i="157" s="1"/>
  <c r="E8" i="157" s="1"/>
  <c r="F8" i="157" s="1"/>
  <c r="G8" i="157" s="1"/>
  <c r="H8" i="157" s="1"/>
  <c r="I8" i="157" s="1"/>
  <c r="J8" i="157" s="1"/>
  <c r="K8" i="157" s="1"/>
  <c r="L8" i="157" s="1"/>
  <c r="M8" i="157" s="1"/>
  <c r="N8" i="157" s="1"/>
  <c r="O8" i="157" s="1"/>
  <c r="P8" i="157" s="1"/>
  <c r="Q8" i="157" s="1"/>
  <c r="R8" i="157" s="1"/>
  <c r="S8" i="157" s="1"/>
  <c r="T8" i="157" s="1"/>
  <c r="U8" i="157" s="1"/>
  <c r="V8" i="157" s="1"/>
  <c r="W8" i="157" s="1"/>
  <c r="X8" i="157" s="1"/>
  <c r="C8" i="296"/>
  <c r="D8" i="296" s="1"/>
  <c r="E8" i="296" s="1"/>
  <c r="F8" i="296" s="1"/>
  <c r="G8" i="296" s="1"/>
  <c r="H8" i="296" s="1"/>
  <c r="I8" i="296" s="1"/>
  <c r="J8" i="296" s="1"/>
  <c r="K8" i="296" s="1"/>
  <c r="L8" i="296" s="1"/>
  <c r="M8" i="296" s="1"/>
  <c r="N8" i="296" s="1"/>
  <c r="O8" i="296" s="1"/>
  <c r="P8" i="296" s="1"/>
  <c r="Q8" i="296" s="1"/>
  <c r="R8" i="296" s="1"/>
  <c r="S8" i="296" s="1"/>
  <c r="T8" i="296" s="1"/>
  <c r="U8" i="296" s="1"/>
  <c r="V8" i="296" s="1"/>
  <c r="W8" i="296" s="1"/>
  <c r="X8" i="296" s="1"/>
  <c r="C8" i="284"/>
  <c r="D8" i="284" s="1"/>
  <c r="E8" i="284" s="1"/>
  <c r="F8" i="284" s="1"/>
  <c r="G8" i="284" s="1"/>
  <c r="H8" i="284" s="1"/>
  <c r="I8" i="284" s="1"/>
  <c r="J8" i="284" s="1"/>
  <c r="K8" i="284" s="1"/>
  <c r="L8" i="284" s="1"/>
  <c r="M8" i="284" s="1"/>
  <c r="N8" i="284" s="1"/>
  <c r="O8" i="284" s="1"/>
  <c r="P8" i="284" s="1"/>
  <c r="Q8" i="284" s="1"/>
  <c r="R8" i="284" s="1"/>
  <c r="S8" i="284" s="1"/>
  <c r="T8" i="284" s="1"/>
  <c r="U8" i="284" s="1"/>
  <c r="V8" i="284" s="1"/>
  <c r="W8" i="284" s="1"/>
  <c r="X8" i="284" s="1"/>
  <c r="C8" i="249"/>
  <c r="D8" i="249" s="1"/>
  <c r="E8" i="249" s="1"/>
  <c r="F8" i="249" s="1"/>
  <c r="G8" i="249" s="1"/>
  <c r="H8" i="249" s="1"/>
  <c r="I8" i="249" s="1"/>
  <c r="J8" i="249" s="1"/>
  <c r="K8" i="249" s="1"/>
  <c r="L8" i="249" s="1"/>
  <c r="M8" i="249" s="1"/>
  <c r="N8" i="249" s="1"/>
  <c r="O8" i="249" s="1"/>
  <c r="P8" i="249" s="1"/>
  <c r="Q8" i="249" s="1"/>
  <c r="R8" i="249" s="1"/>
  <c r="S8" i="249" s="1"/>
  <c r="T8" i="249" s="1"/>
  <c r="U8" i="249" s="1"/>
  <c r="V8" i="249" s="1"/>
  <c r="W8" i="249" s="1"/>
  <c r="X8" i="249" s="1"/>
  <c r="C8" i="287"/>
  <c r="D8" i="287" s="1"/>
  <c r="E8" i="287" s="1"/>
  <c r="F8" i="287" s="1"/>
  <c r="G8" i="287" s="1"/>
  <c r="H8" i="287" s="1"/>
  <c r="I8" i="287" s="1"/>
  <c r="J8" i="287" s="1"/>
  <c r="K8" i="287" s="1"/>
  <c r="L8" i="287" s="1"/>
  <c r="M8" i="287" s="1"/>
  <c r="N8" i="287" s="1"/>
  <c r="O8" i="287" s="1"/>
  <c r="P8" i="287" s="1"/>
  <c r="Q8" i="287" s="1"/>
  <c r="R8" i="287" s="1"/>
  <c r="S8" i="287" s="1"/>
  <c r="T8" i="287" s="1"/>
  <c r="U8" i="287" s="1"/>
  <c r="V8" i="287" s="1"/>
  <c r="W8" i="287" s="1"/>
  <c r="X8" i="287" s="1"/>
  <c r="C8" i="82"/>
  <c r="D8" i="82" s="1"/>
  <c r="E8" i="82" s="1"/>
  <c r="F8" i="82" s="1"/>
  <c r="G8" i="82" s="1"/>
  <c r="H8" i="82" s="1"/>
  <c r="I8" i="82" s="1"/>
  <c r="J8" i="82" s="1"/>
  <c r="K8" i="82" s="1"/>
  <c r="L8" i="82" s="1"/>
  <c r="M8" i="82" s="1"/>
  <c r="N8" i="82" s="1"/>
  <c r="O8" i="82" s="1"/>
  <c r="P8" i="82" s="1"/>
  <c r="Q8" i="82" s="1"/>
  <c r="R8" i="82" s="1"/>
  <c r="S8" i="82" s="1"/>
  <c r="T8" i="82" s="1"/>
  <c r="U8" i="82" s="1"/>
  <c r="V8" i="82" s="1"/>
  <c r="W8" i="82" s="1"/>
  <c r="X8" i="82" s="1"/>
  <c r="C8" i="293"/>
  <c r="D8" i="293" s="1"/>
  <c r="E8" i="293" s="1"/>
  <c r="F8" i="293" s="1"/>
  <c r="G8" i="293" s="1"/>
  <c r="H8" i="293" s="1"/>
  <c r="I8" i="293" s="1"/>
  <c r="J8" i="293" s="1"/>
  <c r="K8" i="293" s="1"/>
  <c r="L8" i="293" s="1"/>
  <c r="M8" i="293" s="1"/>
  <c r="N8" i="293" s="1"/>
  <c r="O8" i="293" s="1"/>
  <c r="P8" i="293" s="1"/>
  <c r="Q8" i="293" s="1"/>
  <c r="R8" i="293" s="1"/>
  <c r="S8" i="293" s="1"/>
  <c r="T8" i="293" s="1"/>
  <c r="U8" i="293" s="1"/>
  <c r="V8" i="293" s="1"/>
  <c r="W8" i="293" s="1"/>
  <c r="X8" i="293" s="1"/>
  <c r="C8" i="79"/>
  <c r="D8" i="79" s="1"/>
  <c r="E8" i="79" s="1"/>
  <c r="F8" i="79" s="1"/>
  <c r="G8" i="79" s="1"/>
  <c r="H8" i="79" s="1"/>
  <c r="I8" i="79" s="1"/>
  <c r="J8" i="79" s="1"/>
  <c r="K8" i="79" s="1"/>
  <c r="L8" i="79" s="1"/>
  <c r="M8" i="79" s="1"/>
  <c r="N8" i="79" s="1"/>
  <c r="O8" i="79" s="1"/>
  <c r="P8" i="79" s="1"/>
  <c r="Q8" i="79" s="1"/>
  <c r="R8" i="79" s="1"/>
  <c r="S8" i="79" s="1"/>
  <c r="T8" i="79" s="1"/>
  <c r="U8" i="79" s="1"/>
  <c r="V8" i="79" s="1"/>
  <c r="W8" i="79" s="1"/>
  <c r="X8" i="79" s="1"/>
  <c r="C8" i="269"/>
  <c r="D8" i="269" s="1"/>
  <c r="E8" i="269" s="1"/>
  <c r="F8" i="269" s="1"/>
  <c r="G8" i="269" s="1"/>
  <c r="H8" i="269" s="1"/>
  <c r="I8" i="269" s="1"/>
  <c r="J8" i="269" s="1"/>
  <c r="K8" i="269" s="1"/>
  <c r="L8" i="269" s="1"/>
  <c r="M8" i="269" s="1"/>
  <c r="N8" i="269" s="1"/>
  <c r="O8" i="269" s="1"/>
  <c r="P8" i="269" s="1"/>
  <c r="Q8" i="269" s="1"/>
  <c r="R8" i="269" s="1"/>
  <c r="S8" i="269" s="1"/>
  <c r="T8" i="269" s="1"/>
  <c r="U8" i="269" s="1"/>
  <c r="V8" i="269" s="1"/>
  <c r="W8" i="269" s="1"/>
  <c r="X8" i="269" s="1"/>
  <c r="C8" i="263"/>
  <c r="D8" i="263" s="1"/>
  <c r="E8" i="263" s="1"/>
  <c r="F8" i="263" s="1"/>
  <c r="G8" i="263" s="1"/>
  <c r="H8" i="263" s="1"/>
  <c r="I8" i="263" s="1"/>
  <c r="J8" i="263" s="1"/>
  <c r="K8" i="263" s="1"/>
  <c r="L8" i="263" s="1"/>
  <c r="M8" i="263" s="1"/>
  <c r="N8" i="263" s="1"/>
  <c r="O8" i="263" s="1"/>
  <c r="P8" i="263" s="1"/>
  <c r="Q8" i="263" s="1"/>
  <c r="R8" i="263" s="1"/>
  <c r="S8" i="263" s="1"/>
  <c r="T8" i="263" s="1"/>
  <c r="U8" i="263" s="1"/>
  <c r="V8" i="263" s="1"/>
  <c r="W8" i="263" s="1"/>
  <c r="X8" i="263" s="1"/>
  <c r="C8" i="219"/>
  <c r="D8" i="219" s="1"/>
  <c r="E8" i="219" s="1"/>
  <c r="F8" i="219" s="1"/>
  <c r="G8" i="219" s="1"/>
  <c r="H8" i="219" s="1"/>
  <c r="I8" i="219" s="1"/>
  <c r="J8" i="219" s="1"/>
  <c r="K8" i="219" s="1"/>
  <c r="L8" i="219" s="1"/>
  <c r="M8" i="219" s="1"/>
  <c r="N8" i="219" s="1"/>
  <c r="O8" i="219" s="1"/>
  <c r="P8" i="219" s="1"/>
  <c r="Q8" i="219" s="1"/>
  <c r="R8" i="219" s="1"/>
  <c r="S8" i="219" s="1"/>
  <c r="T8" i="219" s="1"/>
  <c r="U8" i="219" s="1"/>
  <c r="V8" i="219" s="1"/>
  <c r="W8" i="219" s="1"/>
  <c r="X8" i="219" s="1"/>
  <c r="C8" i="201"/>
  <c r="D8" i="201" s="1"/>
  <c r="E8" i="201" s="1"/>
  <c r="F8" i="201" s="1"/>
  <c r="G8" i="201" s="1"/>
  <c r="H8" i="201" s="1"/>
  <c r="I8" i="201" s="1"/>
  <c r="J8" i="201" s="1"/>
  <c r="K8" i="201" s="1"/>
  <c r="L8" i="201" s="1"/>
  <c r="M8" i="201" s="1"/>
  <c r="N8" i="201" s="1"/>
  <c r="O8" i="201" s="1"/>
  <c r="P8" i="201" s="1"/>
  <c r="Q8" i="201" s="1"/>
  <c r="R8" i="201" s="1"/>
  <c r="S8" i="201" s="1"/>
  <c r="T8" i="201" s="1"/>
  <c r="U8" i="201" s="1"/>
  <c r="V8" i="201" s="1"/>
  <c r="W8" i="201" s="1"/>
  <c r="X8" i="201" s="1"/>
  <c r="C8" i="276"/>
  <c r="D8" i="276" s="1"/>
  <c r="E8" i="276" s="1"/>
  <c r="F8" i="276" s="1"/>
  <c r="G8" i="276" s="1"/>
  <c r="H8" i="276" s="1"/>
  <c r="I8" i="276" s="1"/>
  <c r="J8" i="276" s="1"/>
  <c r="K8" i="276" s="1"/>
  <c r="L8" i="276" s="1"/>
  <c r="M8" i="276" s="1"/>
  <c r="N8" i="276" s="1"/>
  <c r="O8" i="276" s="1"/>
  <c r="P8" i="276" s="1"/>
  <c r="Q8" i="276" s="1"/>
  <c r="R8" i="276" s="1"/>
  <c r="S8" i="276" s="1"/>
  <c r="T8" i="276" s="1"/>
  <c r="U8" i="276" s="1"/>
  <c r="V8" i="276" s="1"/>
  <c r="W8" i="276" s="1"/>
  <c r="X8" i="276" s="1"/>
  <c r="C8" i="213"/>
  <c r="D8" i="213" s="1"/>
  <c r="E8" i="213" s="1"/>
  <c r="F8" i="213" s="1"/>
  <c r="G8" i="213" s="1"/>
  <c r="H8" i="213" s="1"/>
  <c r="I8" i="213" s="1"/>
  <c r="J8" i="213" s="1"/>
  <c r="K8" i="213" s="1"/>
  <c r="L8" i="213" s="1"/>
  <c r="M8" i="213" s="1"/>
  <c r="N8" i="213" s="1"/>
  <c r="O8" i="213" s="1"/>
  <c r="P8" i="213" s="1"/>
  <c r="Q8" i="213" s="1"/>
  <c r="R8" i="213" s="1"/>
  <c r="S8" i="213" s="1"/>
  <c r="T8" i="213" s="1"/>
  <c r="U8" i="213" s="1"/>
  <c r="V8" i="213" s="1"/>
  <c r="W8" i="213" s="1"/>
  <c r="X8" i="213" s="1"/>
  <c r="C8" i="220"/>
  <c r="D8" i="220" s="1"/>
  <c r="E8" i="220" s="1"/>
  <c r="F8" i="220" s="1"/>
  <c r="G8" i="220" s="1"/>
  <c r="H8" i="220" s="1"/>
  <c r="I8" i="220" s="1"/>
  <c r="J8" i="220" s="1"/>
  <c r="K8" i="220" s="1"/>
  <c r="L8" i="220" s="1"/>
  <c r="M8" i="220" s="1"/>
  <c r="N8" i="220" s="1"/>
  <c r="O8" i="220" s="1"/>
  <c r="P8" i="220" s="1"/>
  <c r="Q8" i="220" s="1"/>
  <c r="R8" i="220" s="1"/>
  <c r="S8" i="220" s="1"/>
  <c r="T8" i="220" s="1"/>
  <c r="U8" i="220" s="1"/>
  <c r="V8" i="220" s="1"/>
  <c r="W8" i="220" s="1"/>
  <c r="X8" i="220" s="1"/>
  <c r="C8" i="291"/>
  <c r="D8" i="291" s="1"/>
  <c r="E8" i="291" s="1"/>
  <c r="F8" i="291" s="1"/>
  <c r="G8" i="291" s="1"/>
  <c r="H8" i="291" s="1"/>
  <c r="I8" i="291" s="1"/>
  <c r="J8" i="291" s="1"/>
  <c r="K8" i="291" s="1"/>
  <c r="L8" i="291" s="1"/>
  <c r="M8" i="291" s="1"/>
  <c r="N8" i="291" s="1"/>
  <c r="O8" i="291" s="1"/>
  <c r="P8" i="291" s="1"/>
  <c r="Q8" i="291" s="1"/>
  <c r="R8" i="291" s="1"/>
  <c r="S8" i="291" s="1"/>
  <c r="T8" i="291" s="1"/>
  <c r="U8" i="291" s="1"/>
  <c r="V8" i="291" s="1"/>
  <c r="W8" i="291" s="1"/>
  <c r="X8" i="291" s="1"/>
  <c r="C8" i="195"/>
  <c r="D8" i="195" s="1"/>
  <c r="E8" i="195" s="1"/>
  <c r="F8" i="195" s="1"/>
  <c r="G8" i="195" s="1"/>
  <c r="H8" i="195" s="1"/>
  <c r="I8" i="195" s="1"/>
  <c r="J8" i="195" s="1"/>
  <c r="K8" i="195" s="1"/>
  <c r="L8" i="195" s="1"/>
  <c r="M8" i="195" s="1"/>
  <c r="N8" i="195" s="1"/>
  <c r="O8" i="195" s="1"/>
  <c r="P8" i="195" s="1"/>
  <c r="Q8" i="195" s="1"/>
  <c r="R8" i="195" s="1"/>
  <c r="S8" i="195" s="1"/>
  <c r="T8" i="195" s="1"/>
  <c r="U8" i="195" s="1"/>
  <c r="V8" i="195" s="1"/>
  <c r="W8" i="195" s="1"/>
  <c r="X8" i="195" s="1"/>
  <c r="C8" i="208"/>
  <c r="D8" i="208" s="1"/>
  <c r="E8" i="208" s="1"/>
  <c r="F8" i="208" s="1"/>
  <c r="G8" i="208" s="1"/>
  <c r="H8" i="208" s="1"/>
  <c r="I8" i="208" s="1"/>
  <c r="J8" i="208" s="1"/>
  <c r="K8" i="208" s="1"/>
  <c r="L8" i="208" s="1"/>
  <c r="M8" i="208" s="1"/>
  <c r="N8" i="208" s="1"/>
  <c r="O8" i="208" s="1"/>
  <c r="P8" i="208" s="1"/>
  <c r="Q8" i="208" s="1"/>
  <c r="R8" i="208" s="1"/>
  <c r="S8" i="208" s="1"/>
  <c r="T8" i="208" s="1"/>
  <c r="U8" i="208" s="1"/>
  <c r="V8" i="208" s="1"/>
  <c r="W8" i="208" s="1"/>
  <c r="X8" i="208" s="1"/>
  <c r="C8" i="295"/>
  <c r="D8" i="295" s="1"/>
  <c r="E8" i="295" s="1"/>
  <c r="F8" i="295" s="1"/>
  <c r="G8" i="295" s="1"/>
  <c r="H8" i="295" s="1"/>
  <c r="I8" i="295" s="1"/>
  <c r="J8" i="295" s="1"/>
  <c r="K8" i="295" s="1"/>
  <c r="L8" i="295" s="1"/>
  <c r="M8" i="295" s="1"/>
  <c r="N8" i="295" s="1"/>
  <c r="O8" i="295" s="1"/>
  <c r="P8" i="295" s="1"/>
  <c r="Q8" i="295" s="1"/>
  <c r="R8" i="295" s="1"/>
  <c r="S8" i="295" s="1"/>
  <c r="T8" i="295" s="1"/>
  <c r="U8" i="295" s="1"/>
  <c r="V8" i="295" s="1"/>
  <c r="W8" i="295" s="1"/>
  <c r="X8" i="295" s="1"/>
  <c r="C8" i="202"/>
  <c r="D8" i="202" s="1"/>
  <c r="E8" i="202" s="1"/>
  <c r="F8" i="202" s="1"/>
  <c r="G8" i="202" s="1"/>
  <c r="H8" i="202" s="1"/>
  <c r="I8" i="202" s="1"/>
  <c r="J8" i="202" s="1"/>
  <c r="K8" i="202" s="1"/>
  <c r="L8" i="202" s="1"/>
  <c r="M8" i="202" s="1"/>
  <c r="N8" i="202" s="1"/>
  <c r="O8" i="202" s="1"/>
  <c r="P8" i="202" s="1"/>
  <c r="Q8" i="202" s="1"/>
  <c r="R8" i="202" s="1"/>
  <c r="S8" i="202" s="1"/>
  <c r="T8" i="202" s="1"/>
  <c r="U8" i="202" s="1"/>
  <c r="V8" i="202" s="1"/>
  <c r="W8" i="202" s="1"/>
  <c r="X8" i="202" s="1"/>
  <c r="C8" i="160"/>
  <c r="D8" i="160" s="1"/>
  <c r="E8" i="160" s="1"/>
  <c r="F8" i="160" s="1"/>
  <c r="G8" i="160" s="1"/>
  <c r="H8" i="160" s="1"/>
  <c r="I8" i="160" s="1"/>
  <c r="J8" i="160" s="1"/>
  <c r="K8" i="160" s="1"/>
  <c r="L8" i="160" s="1"/>
  <c r="M8" i="160" s="1"/>
  <c r="N8" i="160" s="1"/>
  <c r="O8" i="160" s="1"/>
  <c r="P8" i="160" s="1"/>
  <c r="Q8" i="160" s="1"/>
  <c r="R8" i="160" s="1"/>
  <c r="S8" i="160" s="1"/>
  <c r="T8" i="160" s="1"/>
  <c r="U8" i="160" s="1"/>
  <c r="V8" i="160" s="1"/>
  <c r="W8" i="160" s="1"/>
  <c r="X8" i="160" s="1"/>
  <c r="C8" i="119"/>
  <c r="D8" i="119" s="1"/>
  <c r="E8" i="119" s="1"/>
  <c r="F8" i="119" s="1"/>
  <c r="G8" i="119" s="1"/>
  <c r="H8" i="119" s="1"/>
  <c r="I8" i="119" s="1"/>
  <c r="J8" i="119" s="1"/>
  <c r="K8" i="119" s="1"/>
  <c r="L8" i="119" s="1"/>
  <c r="M8" i="119" s="1"/>
  <c r="N8" i="119" s="1"/>
  <c r="O8" i="119" s="1"/>
  <c r="P8" i="119" s="1"/>
  <c r="Q8" i="119" s="1"/>
  <c r="R8" i="119" s="1"/>
  <c r="S8" i="119" s="1"/>
  <c r="T8" i="119" s="1"/>
  <c r="U8" i="119" s="1"/>
  <c r="V8" i="119" s="1"/>
  <c r="W8" i="119" s="1"/>
  <c r="X8" i="119" s="1"/>
  <c r="C8" i="247"/>
  <c r="D8" i="247" s="1"/>
  <c r="E8" i="247" s="1"/>
  <c r="F8" i="247" s="1"/>
  <c r="G8" i="247" s="1"/>
  <c r="H8" i="247" s="1"/>
  <c r="I8" i="247" s="1"/>
  <c r="J8" i="247" s="1"/>
  <c r="K8" i="247" s="1"/>
  <c r="L8" i="247" s="1"/>
  <c r="M8" i="247" s="1"/>
  <c r="N8" i="247" s="1"/>
  <c r="O8" i="247" s="1"/>
  <c r="P8" i="247" s="1"/>
  <c r="Q8" i="247" s="1"/>
  <c r="R8" i="247" s="1"/>
  <c r="S8" i="247" s="1"/>
  <c r="T8" i="247" s="1"/>
  <c r="U8" i="247" s="1"/>
  <c r="V8" i="247" s="1"/>
  <c r="W8" i="247" s="1"/>
  <c r="X8" i="247" s="1"/>
  <c r="C8" i="153"/>
  <c r="D8" i="153" s="1"/>
  <c r="E8" i="153" s="1"/>
  <c r="F8" i="153" s="1"/>
  <c r="G8" i="153" s="1"/>
  <c r="H8" i="153" s="1"/>
  <c r="I8" i="153" s="1"/>
  <c r="J8" i="153" s="1"/>
  <c r="K8" i="153" s="1"/>
  <c r="L8" i="153" s="1"/>
  <c r="M8" i="153" s="1"/>
  <c r="N8" i="153" s="1"/>
  <c r="O8" i="153" s="1"/>
  <c r="P8" i="153" s="1"/>
  <c r="Q8" i="153" s="1"/>
  <c r="R8" i="153" s="1"/>
  <c r="S8" i="153" s="1"/>
  <c r="T8" i="153" s="1"/>
  <c r="U8" i="153" s="1"/>
  <c r="V8" i="153" s="1"/>
  <c r="W8" i="153" s="1"/>
  <c r="X8" i="153" s="1"/>
  <c r="C8" i="286"/>
  <c r="D8" i="286" s="1"/>
  <c r="E8" i="286" s="1"/>
  <c r="F8" i="286" s="1"/>
  <c r="G8" i="286" s="1"/>
  <c r="H8" i="286" s="1"/>
  <c r="I8" i="286" s="1"/>
  <c r="J8" i="286" s="1"/>
  <c r="K8" i="286" s="1"/>
  <c r="L8" i="286" s="1"/>
  <c r="M8" i="286" s="1"/>
  <c r="N8" i="286" s="1"/>
  <c r="O8" i="286" s="1"/>
  <c r="P8" i="286" s="1"/>
  <c r="Q8" i="286" s="1"/>
  <c r="R8" i="286" s="1"/>
  <c r="S8" i="286" s="1"/>
  <c r="T8" i="286" s="1"/>
  <c r="U8" i="286" s="1"/>
  <c r="V8" i="286" s="1"/>
  <c r="W8" i="286" s="1"/>
  <c r="X8" i="286" s="1"/>
  <c r="C8" i="257"/>
  <c r="D8" i="257" s="1"/>
  <c r="E8" i="257" s="1"/>
  <c r="F8" i="257" s="1"/>
  <c r="G8" i="257" s="1"/>
  <c r="H8" i="257" s="1"/>
  <c r="I8" i="257" s="1"/>
  <c r="J8" i="257" s="1"/>
  <c r="K8" i="257" s="1"/>
  <c r="L8" i="257" s="1"/>
  <c r="M8" i="257" s="1"/>
  <c r="N8" i="257" s="1"/>
  <c r="O8" i="257" s="1"/>
  <c r="P8" i="257" s="1"/>
  <c r="Q8" i="257" s="1"/>
  <c r="R8" i="257" s="1"/>
  <c r="S8" i="257" s="1"/>
  <c r="T8" i="257" s="1"/>
  <c r="U8" i="257" s="1"/>
  <c r="V8" i="257" s="1"/>
  <c r="W8" i="257" s="1"/>
  <c r="X8" i="257" s="1"/>
  <c r="C8" i="188"/>
  <c r="D8" i="188" s="1"/>
  <c r="E8" i="188" s="1"/>
  <c r="F8" i="188" s="1"/>
  <c r="G8" i="188" s="1"/>
  <c r="H8" i="188" s="1"/>
  <c r="I8" i="188" s="1"/>
  <c r="J8" i="188" s="1"/>
  <c r="K8" i="188" s="1"/>
  <c r="L8" i="188" s="1"/>
  <c r="M8" i="188" s="1"/>
  <c r="N8" i="188" s="1"/>
  <c r="O8" i="188" s="1"/>
  <c r="P8" i="188" s="1"/>
  <c r="Q8" i="188" s="1"/>
  <c r="R8" i="188" s="1"/>
  <c r="S8" i="188" s="1"/>
  <c r="T8" i="188" s="1"/>
  <c r="U8" i="188" s="1"/>
  <c r="V8" i="188" s="1"/>
  <c r="W8" i="188" s="1"/>
  <c r="X8" i="188" s="1"/>
  <c r="C8" i="281"/>
  <c r="D8" i="281" s="1"/>
  <c r="E8" i="281" s="1"/>
  <c r="F8" i="281" s="1"/>
  <c r="G8" i="281" s="1"/>
  <c r="H8" i="281" s="1"/>
  <c r="I8" i="281" s="1"/>
  <c r="J8" i="281" s="1"/>
  <c r="K8" i="281" s="1"/>
  <c r="L8" i="281" s="1"/>
  <c r="M8" i="281" s="1"/>
  <c r="N8" i="281" s="1"/>
  <c r="O8" i="281" s="1"/>
  <c r="P8" i="281" s="1"/>
  <c r="Q8" i="281" s="1"/>
  <c r="R8" i="281" s="1"/>
  <c r="S8" i="281" s="1"/>
  <c r="T8" i="281" s="1"/>
  <c r="U8" i="281" s="1"/>
  <c r="V8" i="281" s="1"/>
  <c r="W8" i="281" s="1"/>
  <c r="X8" i="281" s="1"/>
  <c r="C8" i="241"/>
  <c r="D8" i="241" s="1"/>
  <c r="E8" i="241" s="1"/>
  <c r="F8" i="241" s="1"/>
  <c r="G8" i="241" s="1"/>
  <c r="H8" i="241" s="1"/>
  <c r="I8" i="241" s="1"/>
  <c r="J8" i="241" s="1"/>
  <c r="K8" i="241" s="1"/>
  <c r="L8" i="241" s="1"/>
  <c r="M8" i="241" s="1"/>
  <c r="N8" i="241" s="1"/>
  <c r="O8" i="241" s="1"/>
  <c r="P8" i="241" s="1"/>
  <c r="Q8" i="241" s="1"/>
  <c r="R8" i="241" s="1"/>
  <c r="S8" i="241" s="1"/>
  <c r="T8" i="241" s="1"/>
  <c r="U8" i="241" s="1"/>
  <c r="V8" i="241" s="1"/>
  <c r="W8" i="241" s="1"/>
  <c r="X8" i="241" s="1"/>
  <c r="C8" i="260"/>
  <c r="D8" i="260" s="1"/>
  <c r="E8" i="260" s="1"/>
  <c r="F8" i="260" s="1"/>
  <c r="G8" i="260" s="1"/>
  <c r="H8" i="260" s="1"/>
  <c r="I8" i="260" s="1"/>
  <c r="J8" i="260" s="1"/>
  <c r="K8" i="260" s="1"/>
  <c r="L8" i="260" s="1"/>
  <c r="M8" i="260" s="1"/>
  <c r="N8" i="260" s="1"/>
  <c r="O8" i="260" s="1"/>
  <c r="P8" i="260" s="1"/>
  <c r="Q8" i="260" s="1"/>
  <c r="R8" i="260" s="1"/>
  <c r="S8" i="260" s="1"/>
  <c r="T8" i="260" s="1"/>
  <c r="U8" i="260" s="1"/>
  <c r="V8" i="260" s="1"/>
  <c r="W8" i="260" s="1"/>
  <c r="X8" i="260" s="1"/>
  <c r="C8" i="279"/>
  <c r="D8" i="279" s="1"/>
  <c r="E8" i="279" s="1"/>
  <c r="F8" i="279" s="1"/>
  <c r="G8" i="279" s="1"/>
  <c r="H8" i="279" s="1"/>
  <c r="I8" i="279" s="1"/>
  <c r="J8" i="279" s="1"/>
  <c r="K8" i="279" s="1"/>
  <c r="L8" i="279" s="1"/>
  <c r="M8" i="279" s="1"/>
  <c r="N8" i="279" s="1"/>
  <c r="O8" i="279" s="1"/>
  <c r="P8" i="279" s="1"/>
  <c r="Q8" i="279" s="1"/>
  <c r="R8" i="279" s="1"/>
  <c r="S8" i="279" s="1"/>
  <c r="T8" i="279" s="1"/>
  <c r="U8" i="279" s="1"/>
  <c r="V8" i="279" s="1"/>
  <c r="W8" i="279" s="1"/>
  <c r="X8" i="279" s="1"/>
  <c r="C8" i="264"/>
  <c r="D8" i="264" s="1"/>
  <c r="E8" i="264" s="1"/>
  <c r="F8" i="264" s="1"/>
  <c r="G8" i="264" s="1"/>
  <c r="H8" i="264" s="1"/>
  <c r="I8" i="264" s="1"/>
  <c r="J8" i="264" s="1"/>
  <c r="K8" i="264" s="1"/>
  <c r="L8" i="264" s="1"/>
  <c r="M8" i="264" s="1"/>
  <c r="N8" i="264" s="1"/>
  <c r="O8" i="264" s="1"/>
  <c r="P8" i="264" s="1"/>
  <c r="Q8" i="264" s="1"/>
  <c r="R8" i="264" s="1"/>
  <c r="S8" i="264" s="1"/>
  <c r="T8" i="264" s="1"/>
  <c r="U8" i="264" s="1"/>
  <c r="V8" i="264" s="1"/>
  <c r="W8" i="264" s="1"/>
  <c r="X8" i="264" s="1"/>
  <c r="C8" i="288"/>
  <c r="D8" i="288" s="1"/>
  <c r="E8" i="288" s="1"/>
  <c r="F8" i="288" s="1"/>
  <c r="G8" i="288" s="1"/>
  <c r="H8" i="288" s="1"/>
  <c r="I8" i="288" s="1"/>
  <c r="J8" i="288" s="1"/>
  <c r="K8" i="288" s="1"/>
  <c r="L8" i="288" s="1"/>
  <c r="M8" i="288" s="1"/>
  <c r="N8" i="288" s="1"/>
  <c r="O8" i="288" s="1"/>
  <c r="P8" i="288" s="1"/>
  <c r="Q8" i="288" s="1"/>
  <c r="R8" i="288" s="1"/>
  <c r="S8" i="288" s="1"/>
  <c r="T8" i="288" s="1"/>
  <c r="U8" i="288" s="1"/>
  <c r="V8" i="288" s="1"/>
  <c r="W8" i="288" s="1"/>
  <c r="X8" i="288" s="1"/>
  <c r="C8" i="285"/>
  <c r="D8" i="285" s="1"/>
  <c r="E8" i="285" s="1"/>
  <c r="F8" i="285" s="1"/>
  <c r="G8" i="285" s="1"/>
  <c r="H8" i="285" s="1"/>
  <c r="I8" i="285" s="1"/>
  <c r="J8" i="285" s="1"/>
  <c r="K8" i="285" s="1"/>
  <c r="L8" i="285" s="1"/>
  <c r="M8" i="285" s="1"/>
  <c r="N8" i="285" s="1"/>
  <c r="O8" i="285" s="1"/>
  <c r="P8" i="285" s="1"/>
  <c r="Q8" i="285" s="1"/>
  <c r="R8" i="285" s="1"/>
  <c r="S8" i="285" s="1"/>
  <c r="T8" i="285" s="1"/>
  <c r="U8" i="285" s="1"/>
  <c r="V8" i="285" s="1"/>
  <c r="W8" i="285" s="1"/>
  <c r="X8" i="285" s="1"/>
  <c r="C8" i="58"/>
  <c r="D8" i="58" s="1"/>
  <c r="E8" i="58" s="1"/>
  <c r="F8" i="58" s="1"/>
  <c r="G8" i="58" s="1"/>
  <c r="H8" i="58" s="1"/>
  <c r="I8" i="58" s="1"/>
  <c r="J8" i="58" s="1"/>
  <c r="K8" i="58" s="1"/>
  <c r="L8" i="58" s="1"/>
  <c r="M8" i="58" s="1"/>
  <c r="N8" i="58" s="1"/>
  <c r="O8" i="58" s="1"/>
  <c r="P8" i="58" s="1"/>
  <c r="Q8" i="58" s="1"/>
  <c r="R8" i="58" s="1"/>
  <c r="S8" i="58" s="1"/>
  <c r="T8" i="58" s="1"/>
  <c r="U8" i="58" s="1"/>
  <c r="V8" i="58" s="1"/>
  <c r="W8" i="58" s="1"/>
  <c r="X8" i="58" s="1"/>
  <c r="C8" i="176"/>
  <c r="D8" i="176" s="1"/>
  <c r="E8" i="176" s="1"/>
  <c r="F8" i="176" s="1"/>
  <c r="G8" i="176" s="1"/>
  <c r="H8" i="176" s="1"/>
  <c r="I8" i="176" s="1"/>
  <c r="J8" i="176" s="1"/>
  <c r="K8" i="176" s="1"/>
  <c r="L8" i="176" s="1"/>
  <c r="M8" i="176" s="1"/>
  <c r="N8" i="176" s="1"/>
  <c r="O8" i="176" s="1"/>
  <c r="P8" i="176" s="1"/>
  <c r="Q8" i="176" s="1"/>
  <c r="R8" i="176" s="1"/>
  <c r="S8" i="176" s="1"/>
  <c r="T8" i="176" s="1"/>
  <c r="U8" i="176" s="1"/>
  <c r="V8" i="176" s="1"/>
  <c r="W8" i="176" s="1"/>
  <c r="X8" i="176" s="1"/>
  <c r="I63" i="76"/>
  <c r="G63" i="76"/>
  <c r="J63" i="76"/>
  <c r="H63" i="76"/>
  <c r="F63" i="76"/>
  <c r="N33" i="33"/>
  <c r="F41" i="35" s="1"/>
  <c r="J47" i="76"/>
  <c r="H47" i="76"/>
  <c r="F47" i="76"/>
  <c r="I47" i="76"/>
  <c r="G47" i="76"/>
  <c r="B3" i="296"/>
  <c r="B3" i="297"/>
  <c r="I27" i="76"/>
  <c r="G27" i="76"/>
  <c r="J27" i="76"/>
  <c r="H27" i="76"/>
  <c r="F27" i="76"/>
  <c r="I49" i="76"/>
  <c r="G49" i="76"/>
  <c r="J49" i="76"/>
  <c r="H49" i="76"/>
  <c r="F49" i="76"/>
  <c r="B3" i="294"/>
  <c r="B3" i="295"/>
  <c r="I36" i="76"/>
  <c r="G36" i="76"/>
  <c r="J36" i="76"/>
  <c r="H36" i="76"/>
  <c r="F36" i="76"/>
  <c r="G16" i="76"/>
  <c r="I16" i="76"/>
  <c r="F16" i="76"/>
  <c r="J16" i="76"/>
  <c r="H16" i="76"/>
  <c r="B3" i="293"/>
  <c r="J61" i="76"/>
  <c r="H61" i="76"/>
  <c r="F61" i="76"/>
  <c r="I61" i="76"/>
  <c r="G61" i="76"/>
  <c r="B3" i="290"/>
  <c r="B3" i="291"/>
  <c r="J70" i="76"/>
  <c r="H70" i="76"/>
  <c r="F70" i="76"/>
  <c r="I70" i="76"/>
  <c r="G70" i="76"/>
  <c r="J66" i="76"/>
  <c r="H66" i="76"/>
  <c r="F66" i="76"/>
  <c r="I66" i="76"/>
  <c r="G66" i="76"/>
  <c r="B3" i="288"/>
  <c r="B3" i="289"/>
  <c r="I26" i="76"/>
  <c r="G26" i="76"/>
  <c r="J26" i="76"/>
  <c r="H26" i="76"/>
  <c r="F26" i="76"/>
  <c r="J22" i="76"/>
  <c r="H22" i="76"/>
  <c r="F22" i="76"/>
  <c r="I22" i="76"/>
  <c r="G22" i="76"/>
  <c r="B3" i="286"/>
  <c r="B3" i="287"/>
  <c r="J10" i="76"/>
  <c r="H10" i="76"/>
  <c r="F10" i="76"/>
  <c r="I10" i="76"/>
  <c r="G10" i="76"/>
  <c r="I19" i="76"/>
  <c r="G19" i="76"/>
  <c r="J19" i="76"/>
  <c r="H19" i="76"/>
  <c r="F19" i="76"/>
  <c r="B3" i="284"/>
  <c r="B3" i="285"/>
  <c r="J25" i="76"/>
  <c r="H25" i="76"/>
  <c r="F25" i="76"/>
  <c r="I25" i="76"/>
  <c r="G25" i="76"/>
  <c r="O32" i="33"/>
  <c r="O22" i="33"/>
  <c r="O30" i="33"/>
  <c r="O27" i="33"/>
  <c r="O26" i="33"/>
  <c r="I31" i="76"/>
  <c r="G31" i="76"/>
  <c r="J31" i="76"/>
  <c r="H31" i="76"/>
  <c r="F31" i="76"/>
  <c r="B3" i="283"/>
  <c r="I50" i="76"/>
  <c r="G50" i="76"/>
  <c r="J50" i="76"/>
  <c r="H50" i="76"/>
  <c r="F50" i="76"/>
  <c r="B3" i="281"/>
  <c r="O15" i="33"/>
  <c r="I40" i="76"/>
  <c r="G40" i="76"/>
  <c r="J40" i="76"/>
  <c r="H40" i="76"/>
  <c r="F40" i="76"/>
  <c r="B3" i="279"/>
  <c r="J74" i="76"/>
  <c r="H74" i="76"/>
  <c r="F74" i="76"/>
  <c r="I74" i="76"/>
  <c r="G74" i="76"/>
  <c r="B3" i="276"/>
  <c r="J67" i="76"/>
  <c r="H67" i="76"/>
  <c r="F67" i="76"/>
  <c r="I67" i="76"/>
  <c r="G67" i="76"/>
  <c r="C34" i="33"/>
  <c r="B3" i="275"/>
  <c r="I71" i="76"/>
  <c r="G71" i="76"/>
  <c r="J71" i="76"/>
  <c r="H71" i="76"/>
  <c r="F71" i="76"/>
  <c r="B3" i="272"/>
  <c r="J72" i="76"/>
  <c r="H72" i="76"/>
  <c r="F72" i="76"/>
  <c r="I72" i="76"/>
  <c r="G72" i="76"/>
  <c r="B3" i="271"/>
  <c r="K41" i="72"/>
  <c r="L41" i="72" s="1"/>
  <c r="L34" i="76"/>
  <c r="K34" i="72"/>
  <c r="L34" i="72" s="1"/>
  <c r="L21" i="76"/>
  <c r="K21" i="72"/>
  <c r="L12" i="76"/>
  <c r="K12" i="72"/>
  <c r="L12" i="72" s="1"/>
  <c r="M12" i="72" s="1"/>
  <c r="K15" i="72"/>
  <c r="K11" i="72"/>
  <c r="L11" i="72" s="1"/>
  <c r="M11" i="72" s="1"/>
  <c r="L62" i="76"/>
  <c r="K62" i="72"/>
  <c r="L62" i="72" s="1"/>
  <c r="M62" i="72" s="1"/>
  <c r="L48" i="76"/>
  <c r="K48" i="72"/>
  <c r="L48" i="72" s="1"/>
  <c r="M48" i="72" s="1"/>
  <c r="K53" i="72"/>
  <c r="L53" i="72" s="1"/>
  <c r="L58" i="76"/>
  <c r="K58" i="72"/>
  <c r="L58" i="72" s="1"/>
  <c r="M58" i="72" s="1"/>
  <c r="L38" i="72"/>
  <c r="M38" i="72" s="1"/>
  <c r="K30" i="72"/>
  <c r="L30" i="72" s="1"/>
  <c r="L43" i="76"/>
  <c r="K43" i="72"/>
  <c r="L43" i="72" s="1"/>
  <c r="M43" i="72" s="1"/>
  <c r="L59" i="76"/>
  <c r="K59" i="72"/>
  <c r="L39" i="76"/>
  <c r="K39" i="72"/>
  <c r="L39" i="72" s="1"/>
  <c r="K32" i="72"/>
  <c r="L32" i="72" s="1"/>
  <c r="L18" i="72"/>
  <c r="M18" i="72" s="1"/>
  <c r="K17" i="72"/>
  <c r="L17" i="72" s="1"/>
  <c r="M17" i="72" s="1"/>
  <c r="L55" i="72"/>
  <c r="M55" i="72" s="1"/>
  <c r="K52" i="72"/>
  <c r="L52" i="72" s="1"/>
  <c r="M52" i="72" s="1"/>
  <c r="L68" i="72"/>
  <c r="M68" i="72" s="1"/>
  <c r="K60" i="72"/>
  <c r="L60" i="72" s="1"/>
  <c r="M60" i="72" s="1"/>
  <c r="L14" i="72"/>
  <c r="M14" i="72" s="1"/>
  <c r="L42" i="76"/>
  <c r="K42" i="72"/>
  <c r="L42" i="72" s="1"/>
  <c r="L75" i="76"/>
  <c r="K75" i="72"/>
  <c r="L75" i="72" s="1"/>
  <c r="K33" i="33"/>
  <c r="F40" i="35" s="1"/>
  <c r="H33" i="33"/>
  <c r="F42" i="35" s="1"/>
  <c r="O25" i="33"/>
  <c r="N19" i="33"/>
  <c r="O8" i="33"/>
  <c r="O18" i="33"/>
  <c r="K19" i="33"/>
  <c r="F34" i="33"/>
  <c r="H19" i="33"/>
  <c r="O10" i="33"/>
  <c r="L13" i="72"/>
  <c r="M13" i="72" s="1"/>
  <c r="L52" i="76"/>
  <c r="L60" i="76"/>
  <c r="L44" i="72"/>
  <c r="L23" i="76"/>
  <c r="L15" i="76"/>
  <c r="L65" i="76"/>
  <c r="O31" i="33"/>
  <c r="D75" i="4"/>
  <c r="D75" i="76" s="1"/>
  <c r="O29" i="33"/>
  <c r="O28" i="33"/>
  <c r="I9" i="76"/>
  <c r="O24" i="33"/>
  <c r="I34" i="33"/>
  <c r="L34" i="33"/>
  <c r="E33" i="33"/>
  <c r="F39" i="35" s="1"/>
  <c r="O23" i="33"/>
  <c r="F60" i="76"/>
  <c r="J34" i="33"/>
  <c r="G34" i="33"/>
  <c r="M34" i="33"/>
  <c r="D34" i="33"/>
  <c r="I14" i="76"/>
  <c r="G14" i="76"/>
  <c r="J14" i="76"/>
  <c r="H14" i="76"/>
  <c r="F14" i="76"/>
  <c r="G34" i="76"/>
  <c r="F12" i="76"/>
  <c r="G56" i="76"/>
  <c r="L8" i="76"/>
  <c r="B3" i="269"/>
  <c r="L11" i="76"/>
  <c r="K14" i="4"/>
  <c r="I14" i="4"/>
  <c r="O17" i="33"/>
  <c r="D55" i="4"/>
  <c r="D55" i="76" s="1"/>
  <c r="D73" i="4"/>
  <c r="D73" i="76" s="1"/>
  <c r="D17" i="4"/>
  <c r="D17" i="76" s="1"/>
  <c r="O16" i="33"/>
  <c r="G42" i="76"/>
  <c r="F41" i="76"/>
  <c r="G39" i="76"/>
  <c r="G65" i="76"/>
  <c r="G68" i="76"/>
  <c r="O14" i="33"/>
  <c r="O13" i="33"/>
  <c r="D15" i="76"/>
  <c r="D9" i="76"/>
  <c r="F9" i="4"/>
  <c r="D54" i="76"/>
  <c r="F54" i="4"/>
  <c r="D23" i="76"/>
  <c r="F23" i="4"/>
  <c r="D68" i="76"/>
  <c r="F68" i="4"/>
  <c r="D48" i="76"/>
  <c r="D53" i="76"/>
  <c r="D58" i="76"/>
  <c r="F58" i="4"/>
  <c r="D43" i="76"/>
  <c r="F43" i="4"/>
  <c r="D52" i="76"/>
  <c r="F52" i="4"/>
  <c r="D41" i="76"/>
  <c r="F41" i="4"/>
  <c r="D39" i="76"/>
  <c r="F39" i="4"/>
  <c r="D18" i="76"/>
  <c r="F18" i="4"/>
  <c r="D12" i="76"/>
  <c r="D11" i="76"/>
  <c r="F11" i="4"/>
  <c r="D34" i="76"/>
  <c r="F34" i="4"/>
  <c r="D57" i="76"/>
  <c r="F57" i="4"/>
  <c r="D28" i="76"/>
  <c r="G17" i="76"/>
  <c r="D60" i="76"/>
  <c r="F60" i="4"/>
  <c r="D29" i="76"/>
  <c r="F29" i="4"/>
  <c r="D59" i="76"/>
  <c r="F59" i="4"/>
  <c r="D21" i="76"/>
  <c r="F21" i="4"/>
  <c r="D65" i="76"/>
  <c r="F65" i="4"/>
  <c r="D42" i="76"/>
  <c r="F42" i="4"/>
  <c r="D8" i="76"/>
  <c r="F8" i="4"/>
  <c r="D45" i="76"/>
  <c r="D62" i="76"/>
  <c r="F62" i="4"/>
  <c r="D56" i="76"/>
  <c r="F56" i="4"/>
  <c r="D44" i="76"/>
  <c r="F44" i="4"/>
  <c r="L41" i="76"/>
  <c r="O12" i="33"/>
  <c r="G43" i="76"/>
  <c r="I54" i="76"/>
  <c r="I56" i="76"/>
  <c r="I34" i="76"/>
  <c r="F34" i="76"/>
  <c r="I55" i="76"/>
  <c r="F56" i="76"/>
  <c r="G52" i="76"/>
  <c r="F52" i="76"/>
  <c r="I65" i="76"/>
  <c r="F8" i="76"/>
  <c r="F32" i="76"/>
  <c r="J8" i="76"/>
  <c r="F48" i="76"/>
  <c r="G18" i="76"/>
  <c r="F23" i="76"/>
  <c r="F42" i="76"/>
  <c r="F55" i="76"/>
  <c r="G11" i="76"/>
  <c r="F75" i="76"/>
  <c r="G44" i="76"/>
  <c r="I45" i="76"/>
  <c r="F29" i="76"/>
  <c r="H8" i="76"/>
  <c r="H44" i="76"/>
  <c r="G57" i="76"/>
  <c r="J44" i="76"/>
  <c r="G41" i="76"/>
  <c r="G62" i="76"/>
  <c r="G29" i="76"/>
  <c r="I62" i="76"/>
  <c r="I29" i="76"/>
  <c r="I52" i="76"/>
  <c r="I8" i="76"/>
  <c r="F45" i="76"/>
  <c r="F68" i="76"/>
  <c r="I21" i="76"/>
  <c r="F73" i="76"/>
  <c r="I68" i="76"/>
  <c r="F18" i="76"/>
  <c r="G32" i="76"/>
  <c r="G8" i="76"/>
  <c r="I39" i="76"/>
  <c r="I12" i="76"/>
  <c r="G53" i="76"/>
  <c r="O11" i="33"/>
  <c r="E19" i="33"/>
  <c r="I30" i="76"/>
  <c r="I32" i="76"/>
  <c r="G73" i="76"/>
  <c r="G28" i="76"/>
  <c r="I17" i="76"/>
  <c r="I59" i="76"/>
  <c r="F17" i="76"/>
  <c r="G12" i="76"/>
  <c r="F65" i="76"/>
  <c r="J23" i="76"/>
  <c r="I57" i="76"/>
  <c r="I58" i="76"/>
  <c r="G45" i="76"/>
  <c r="I28" i="76"/>
  <c r="I42" i="76"/>
  <c r="I11" i="76"/>
  <c r="F54" i="76"/>
  <c r="F62" i="76"/>
  <c r="F9" i="76"/>
  <c r="I44" i="76"/>
  <c r="G21" i="76"/>
  <c r="I60" i="76"/>
  <c r="H23" i="76"/>
  <c r="F58" i="76"/>
  <c r="F11" i="76"/>
  <c r="F39" i="76"/>
  <c r="F21" i="76"/>
  <c r="F15" i="76"/>
  <c r="I23" i="76"/>
  <c r="I53" i="76"/>
  <c r="F57" i="76"/>
  <c r="G23" i="76"/>
  <c r="I18" i="76"/>
  <c r="B3" i="267"/>
  <c r="B3" i="259"/>
  <c r="L65" i="72"/>
  <c r="M65" i="72" s="1"/>
  <c r="B3" i="159"/>
  <c r="L28" i="72"/>
  <c r="L73" i="76"/>
  <c r="B3" i="242"/>
  <c r="B3" i="118"/>
  <c r="L45" i="72"/>
  <c r="M45" i="72" s="1"/>
  <c r="C8" i="74"/>
  <c r="O7" i="72" s="1"/>
  <c r="F59" i="76"/>
  <c r="G59" i="76"/>
  <c r="G54" i="76"/>
  <c r="F53" i="76"/>
  <c r="G9" i="76"/>
  <c r="I43" i="76"/>
  <c r="F43" i="76"/>
  <c r="F30" i="76"/>
  <c r="I41" i="76"/>
  <c r="F44" i="76"/>
  <c r="F28" i="76"/>
  <c r="G58" i="76"/>
  <c r="I73" i="76"/>
  <c r="G75" i="76"/>
  <c r="G60" i="76"/>
  <c r="I75" i="76"/>
  <c r="L54" i="72"/>
  <c r="M54" i="72" s="1"/>
  <c r="L68" i="76"/>
  <c r="L56" i="76"/>
  <c r="L45" i="76"/>
  <c r="L28" i="76"/>
  <c r="L44" i="76"/>
  <c r="L29" i="76"/>
  <c r="L54" i="76"/>
  <c r="L57" i="72"/>
  <c r="M57" i="72" s="1"/>
  <c r="L53" i="76"/>
  <c r="G48" i="76"/>
  <c r="I48" i="76"/>
  <c r="K45" i="4"/>
  <c r="C45" i="4"/>
  <c r="C45" i="76" s="1"/>
  <c r="I45" i="4"/>
  <c r="J45" i="4"/>
  <c r="J85" i="4" s="1"/>
  <c r="H16" i="35" s="1"/>
  <c r="O9" i="33"/>
  <c r="I13" i="76"/>
  <c r="G13" i="76"/>
  <c r="F13" i="76"/>
  <c r="AK78" i="72"/>
  <c r="J78" i="72"/>
  <c r="F20" i="71" s="1"/>
  <c r="L77" i="72"/>
  <c r="M77" i="72" s="1"/>
  <c r="L56" i="72"/>
  <c r="M56" i="72" s="1"/>
  <c r="B3" i="79"/>
  <c r="B3" i="249"/>
  <c r="B3" i="208"/>
  <c r="L17" i="76"/>
  <c r="B3" i="74"/>
  <c r="I38" i="76"/>
  <c r="G38" i="76"/>
  <c r="F38" i="76"/>
  <c r="L30" i="76"/>
  <c r="M8" i="72"/>
  <c r="B3" i="264"/>
  <c r="B3" i="263"/>
  <c r="B3" i="161"/>
  <c r="B3" i="217"/>
  <c r="B3" i="247"/>
  <c r="B3" i="191"/>
  <c r="B3" i="195"/>
  <c r="B3" i="58"/>
  <c r="B3" i="119"/>
  <c r="B3" i="257"/>
  <c r="B3" i="220"/>
  <c r="B3" i="188"/>
  <c r="B3" i="82"/>
  <c r="B3" i="176"/>
  <c r="B3" i="235"/>
  <c r="B3" i="245"/>
  <c r="B3" i="219"/>
  <c r="B3" i="123"/>
  <c r="B3" i="261"/>
  <c r="L55" i="76"/>
  <c r="L9" i="76"/>
  <c r="L9" i="72"/>
  <c r="M9" i="72" s="1"/>
  <c r="L57" i="76"/>
  <c r="B3" i="260"/>
  <c r="B3" i="202"/>
  <c r="B3" i="241"/>
  <c r="B3" i="213"/>
  <c r="B3" i="246"/>
  <c r="L32" i="76"/>
  <c r="B3" i="163"/>
  <c r="B3" i="157"/>
  <c r="B3" i="160"/>
  <c r="B3" i="120"/>
  <c r="B3" i="201"/>
  <c r="B3" i="153"/>
  <c r="L18" i="76"/>
  <c r="G55" i="76"/>
  <c r="I15" i="76"/>
  <c r="H85" i="4"/>
  <c r="H9" i="35" s="1"/>
  <c r="G30" i="76"/>
  <c r="L73" i="72"/>
  <c r="M73" i="72" s="1"/>
  <c r="E21" i="74" l="1"/>
  <c r="E23" i="74"/>
  <c r="F19" i="74"/>
  <c r="E17" i="74"/>
  <c r="E18" i="74" s="1"/>
  <c r="I16" i="74"/>
  <c r="N34" i="33"/>
  <c r="M30" i="72"/>
  <c r="K34" i="33"/>
  <c r="M53" i="72"/>
  <c r="M42" i="72"/>
  <c r="M39" i="72"/>
  <c r="M75" i="72"/>
  <c r="L15" i="72"/>
  <c r="M15" i="72" s="1"/>
  <c r="H34" i="33"/>
  <c r="M44" i="72"/>
  <c r="M32" i="72"/>
  <c r="G14" i="4"/>
  <c r="F14" i="4" s="1"/>
  <c r="E14" i="4"/>
  <c r="E14" i="76" s="1"/>
  <c r="G15" i="76"/>
  <c r="G85" i="76" s="1"/>
  <c r="E34" i="33"/>
  <c r="C30" i="4"/>
  <c r="C30" i="76" s="1"/>
  <c r="D8" i="74"/>
  <c r="E8" i="74" s="1"/>
  <c r="M41" i="72"/>
  <c r="M34" i="72"/>
  <c r="F44" i="35"/>
  <c r="B8" i="33"/>
  <c r="M28" i="72"/>
  <c r="G45" i="4"/>
  <c r="F45" i="4" s="1"/>
  <c r="E45" i="4"/>
  <c r="E45" i="76" s="1"/>
  <c r="I85" i="76"/>
  <c r="L29" i="72"/>
  <c r="M29" i="72" s="1"/>
  <c r="L23" i="72"/>
  <c r="M23" i="72" s="1"/>
  <c r="L59" i="72"/>
  <c r="M59" i="72" s="1"/>
  <c r="L21" i="72"/>
  <c r="M21" i="72" s="1"/>
  <c r="C32" i="4"/>
  <c r="C32" i="76" s="1"/>
  <c r="K78" i="72"/>
  <c r="G19" i="74" l="1"/>
  <c r="F17" i="74"/>
  <c r="F18" i="74" s="1"/>
  <c r="W30" i="74"/>
  <c r="K30" i="74"/>
  <c r="U30" i="74"/>
  <c r="X30" i="74"/>
  <c r="J30" i="74"/>
  <c r="V30" i="74"/>
  <c r="L30" i="74"/>
  <c r="F30" i="74"/>
  <c r="O30" i="74"/>
  <c r="Q30" i="74"/>
  <c r="I30" i="74"/>
  <c r="R30" i="74"/>
  <c r="N30" i="74"/>
  <c r="G30" i="74"/>
  <c r="T30" i="74"/>
  <c r="P30" i="74"/>
  <c r="S30" i="74"/>
  <c r="M30" i="74"/>
  <c r="E30" i="74"/>
  <c r="H30" i="74"/>
  <c r="F23" i="74"/>
  <c r="F21" i="74"/>
  <c r="J16" i="74"/>
  <c r="K28" i="74"/>
  <c r="I28" i="74"/>
  <c r="L28" i="74"/>
  <c r="J28" i="74"/>
  <c r="N28" i="74"/>
  <c r="R28" i="74"/>
  <c r="O28" i="74"/>
  <c r="U28" i="74"/>
  <c r="P28" i="74"/>
  <c r="V28" i="74"/>
  <c r="T28" i="74"/>
  <c r="H28" i="74"/>
  <c r="W28" i="74"/>
  <c r="E28" i="74"/>
  <c r="Q28" i="74"/>
  <c r="M28" i="74"/>
  <c r="X28" i="74"/>
  <c r="F28" i="74"/>
  <c r="S28" i="74"/>
  <c r="G28" i="74"/>
  <c r="P7" i="72"/>
  <c r="B9" i="33"/>
  <c r="C17" i="4"/>
  <c r="C17" i="76" s="1"/>
  <c r="L78" i="72"/>
  <c r="F22" i="71" s="1"/>
  <c r="F40" i="71" s="1"/>
  <c r="F56" i="71" s="1"/>
  <c r="M78" i="72"/>
  <c r="F8" i="74"/>
  <c r="B10" i="33"/>
  <c r="Q7" i="72"/>
  <c r="K16" i="74" l="1"/>
  <c r="G23" i="74"/>
  <c r="G21" i="74"/>
  <c r="H19" i="74"/>
  <c r="G17" i="74"/>
  <c r="G18" i="74" s="1"/>
  <c r="F47" i="71"/>
  <c r="F50" i="71"/>
  <c r="F53" i="71"/>
  <c r="F59" i="71"/>
  <c r="F58" i="71"/>
  <c r="G40" i="71"/>
  <c r="K17" i="4"/>
  <c r="I17" i="4"/>
  <c r="F45" i="71"/>
  <c r="F46" i="71"/>
  <c r="F44" i="71"/>
  <c r="F57" i="71"/>
  <c r="F52" i="71"/>
  <c r="F51" i="71"/>
  <c r="B11" i="33"/>
  <c r="R7" i="72"/>
  <c r="G8" i="74"/>
  <c r="H23" i="74" l="1"/>
  <c r="H21" i="74"/>
  <c r="I19" i="74"/>
  <c r="H17" i="74"/>
  <c r="H18" i="74" s="1"/>
  <c r="L16" i="74"/>
  <c r="F67" i="71"/>
  <c r="F64" i="71"/>
  <c r="F65" i="71"/>
  <c r="F66" i="71"/>
  <c r="G17" i="4"/>
  <c r="F17" i="4" s="1"/>
  <c r="E17" i="4"/>
  <c r="E17" i="76" s="1"/>
  <c r="C77" i="76"/>
  <c r="C48" i="4"/>
  <c r="C48" i="76" s="1"/>
  <c r="B12" i="33"/>
  <c r="S7" i="72"/>
  <c r="H8" i="74"/>
  <c r="J19" i="74" l="1"/>
  <c r="I17" i="74"/>
  <c r="I18" i="74" s="1"/>
  <c r="M16" i="74"/>
  <c r="I23" i="74"/>
  <c r="I21" i="74"/>
  <c r="C28" i="4"/>
  <c r="C28" i="76" s="1"/>
  <c r="F68" i="71"/>
  <c r="K48" i="4"/>
  <c r="I48" i="4"/>
  <c r="C12" i="4"/>
  <c r="C12" i="76" s="1"/>
  <c r="I8" i="74"/>
  <c r="J8" i="74" s="1"/>
  <c r="K8" i="74" s="1"/>
  <c r="B13" i="33"/>
  <c r="T7" i="72"/>
  <c r="D32" i="4"/>
  <c r="N16" i="74" l="1"/>
  <c r="J21" i="74"/>
  <c r="J23" i="74"/>
  <c r="K19" i="74"/>
  <c r="J17" i="74"/>
  <c r="J18" i="74" s="1"/>
  <c r="D32" i="76"/>
  <c r="G48" i="4"/>
  <c r="F48" i="4" s="1"/>
  <c r="E48" i="4"/>
  <c r="E48" i="76" s="1"/>
  <c r="F77" i="4"/>
  <c r="E77" i="76"/>
  <c r="K28" i="4"/>
  <c r="H48" i="76"/>
  <c r="J48" i="76"/>
  <c r="I12" i="4"/>
  <c r="K12" i="4"/>
  <c r="U7" i="72"/>
  <c r="B14" i="33"/>
  <c r="C55" i="4"/>
  <c r="C55" i="76" s="1"/>
  <c r="I32" i="4"/>
  <c r="K32" i="4"/>
  <c r="D30" i="4"/>
  <c r="K23" i="74" l="1"/>
  <c r="K21" i="74"/>
  <c r="L19" i="74"/>
  <c r="K17" i="74"/>
  <c r="K18" i="74" s="1"/>
  <c r="O16" i="74"/>
  <c r="I4" i="269"/>
  <c r="D30" i="76"/>
  <c r="G32" i="4"/>
  <c r="F32" i="4" s="1"/>
  <c r="E32" i="4"/>
  <c r="E32" i="76" s="1"/>
  <c r="G12" i="4"/>
  <c r="F12" i="4" s="1"/>
  <c r="E12" i="4"/>
  <c r="E12" i="76" s="1"/>
  <c r="G28" i="4"/>
  <c r="F28" i="4" s="1"/>
  <c r="E28" i="4"/>
  <c r="E28" i="76" s="1"/>
  <c r="I28" i="4"/>
  <c r="B15" i="33"/>
  <c r="V7" i="72"/>
  <c r="C38" i="4"/>
  <c r="C38" i="76" s="1"/>
  <c r="C73" i="4"/>
  <c r="C73" i="76" s="1"/>
  <c r="I55" i="4"/>
  <c r="C13" i="4"/>
  <c r="C13" i="76" s="1"/>
  <c r="C53" i="4"/>
  <c r="C53" i="76" s="1"/>
  <c r="K30" i="4"/>
  <c r="M19" i="74" l="1"/>
  <c r="L17" i="74"/>
  <c r="L18" i="74" s="1"/>
  <c r="L21" i="74"/>
  <c r="L23" i="74"/>
  <c r="P16" i="74"/>
  <c r="G30" i="4"/>
  <c r="F30" i="4" s="1"/>
  <c r="E30" i="4"/>
  <c r="E30" i="76" s="1"/>
  <c r="I30" i="4"/>
  <c r="G55" i="4"/>
  <c r="F55" i="4" s="1"/>
  <c r="E55" i="4"/>
  <c r="E55" i="76" s="1"/>
  <c r="K55" i="4"/>
  <c r="L8" i="74"/>
  <c r="B16" i="33"/>
  <c r="W7" i="72"/>
  <c r="I38" i="4"/>
  <c r="K73" i="4"/>
  <c r="K13" i="4"/>
  <c r="Q16" i="74" l="1"/>
  <c r="M23" i="74"/>
  <c r="M21" i="74"/>
  <c r="N19" i="74"/>
  <c r="M17" i="74"/>
  <c r="M18" i="74" s="1"/>
  <c r="I53" i="4"/>
  <c r="G53" i="4"/>
  <c r="F53" i="4" s="1"/>
  <c r="E53" i="4"/>
  <c r="E53" i="76" s="1"/>
  <c r="K53" i="4"/>
  <c r="G73" i="4"/>
  <c r="F73" i="4" s="1"/>
  <c r="E73" i="4"/>
  <c r="E73" i="76" s="1"/>
  <c r="I73" i="4"/>
  <c r="I13" i="4"/>
  <c r="G13" i="4"/>
  <c r="F13" i="4" s="1"/>
  <c r="E13" i="4"/>
  <c r="E13" i="76" s="1"/>
  <c r="K38" i="4"/>
  <c r="G38" i="4"/>
  <c r="F38" i="4" s="1"/>
  <c r="E38" i="4"/>
  <c r="E38" i="76" s="1"/>
  <c r="X7" i="72"/>
  <c r="B17" i="33"/>
  <c r="M8" i="74"/>
  <c r="N8" i="74" s="1"/>
  <c r="C15" i="4"/>
  <c r="C15" i="76" s="1"/>
  <c r="N23" i="74" l="1"/>
  <c r="N21" i="74"/>
  <c r="R16" i="74"/>
  <c r="O19" i="74"/>
  <c r="N17" i="74"/>
  <c r="N18" i="74" s="1"/>
  <c r="B18" i="33"/>
  <c r="Y7" i="72"/>
  <c r="P19" i="74" l="1"/>
  <c r="O17" i="74"/>
  <c r="O18" i="74" s="1"/>
  <c r="S16" i="74"/>
  <c r="O21" i="74"/>
  <c r="O23" i="74"/>
  <c r="K15" i="4"/>
  <c r="G15" i="4"/>
  <c r="F15" i="4" s="1"/>
  <c r="E15" i="4"/>
  <c r="E15" i="76" s="1"/>
  <c r="I15" i="4"/>
  <c r="Z7" i="72"/>
  <c r="B22" i="33"/>
  <c r="O8" i="74"/>
  <c r="T16" i="74" l="1"/>
  <c r="P23" i="74"/>
  <c r="P21" i="74"/>
  <c r="Q19" i="74"/>
  <c r="P17" i="74"/>
  <c r="P18" i="74" s="1"/>
  <c r="P8" i="74"/>
  <c r="AA7" i="72"/>
  <c r="B23" i="33"/>
  <c r="Q23" i="74" l="1"/>
  <c r="Q21" i="74"/>
  <c r="R19" i="74"/>
  <c r="Q17" i="74"/>
  <c r="Q18" i="74" s="1"/>
  <c r="U16" i="74"/>
  <c r="B24" i="33"/>
  <c r="AB7" i="72"/>
  <c r="Q8" i="74"/>
  <c r="V16" i="74" l="1"/>
  <c r="R23" i="74"/>
  <c r="R21" i="74"/>
  <c r="S19" i="74"/>
  <c r="R17" i="74"/>
  <c r="R18" i="74" s="1"/>
  <c r="I4" i="153"/>
  <c r="R8" i="74"/>
  <c r="AC7" i="72"/>
  <c r="B25" i="33"/>
  <c r="S23" i="74" l="1"/>
  <c r="S21" i="74"/>
  <c r="W16" i="74"/>
  <c r="T19" i="74"/>
  <c r="S17" i="74"/>
  <c r="S18" i="74" s="1"/>
  <c r="H17" i="76"/>
  <c r="J17" i="76"/>
  <c r="AD7" i="72"/>
  <c r="S8" i="74"/>
  <c r="T8" i="74" s="1"/>
  <c r="U8" i="74" s="1"/>
  <c r="B26" i="33"/>
  <c r="X16" i="74" l="1"/>
  <c r="T21" i="74"/>
  <c r="T23" i="74"/>
  <c r="U19" i="74"/>
  <c r="T17" i="74"/>
  <c r="T18" i="74" s="1"/>
  <c r="I4" i="208"/>
  <c r="I4" i="267"/>
  <c r="I4" i="242"/>
  <c r="I4" i="241"/>
  <c r="I4" i="120"/>
  <c r="I4" i="160"/>
  <c r="I4" i="119"/>
  <c r="I4" i="247"/>
  <c r="AE7" i="72"/>
  <c r="B27" i="33"/>
  <c r="I4" i="195"/>
  <c r="U23" i="74" l="1"/>
  <c r="U21" i="74"/>
  <c r="V19" i="74"/>
  <c r="U17" i="74"/>
  <c r="U18" i="74" s="1"/>
  <c r="I4" i="249"/>
  <c r="H52" i="76"/>
  <c r="J52" i="76"/>
  <c r="I4" i="157"/>
  <c r="I4" i="219"/>
  <c r="I4" i="257"/>
  <c r="J57" i="76"/>
  <c r="H57" i="76"/>
  <c r="H42" i="76"/>
  <c r="J42" i="76"/>
  <c r="J41" i="76"/>
  <c r="H41" i="76"/>
  <c r="H39" i="76"/>
  <c r="J39" i="76"/>
  <c r="J18" i="76"/>
  <c r="H18" i="76"/>
  <c r="I4" i="58"/>
  <c r="I4" i="201"/>
  <c r="AF7" i="72"/>
  <c r="B28" i="33"/>
  <c r="I4" i="163"/>
  <c r="I4" i="217"/>
  <c r="I4" i="202"/>
  <c r="I4" i="176"/>
  <c r="I4" i="79"/>
  <c r="J60" i="76"/>
  <c r="H60" i="76"/>
  <c r="I4" i="260"/>
  <c r="W19" i="74" l="1"/>
  <c r="V17" i="74"/>
  <c r="V18" i="74" s="1"/>
  <c r="V23" i="74"/>
  <c r="V21" i="74"/>
  <c r="C75" i="4"/>
  <c r="C75" i="76" s="1"/>
  <c r="J28" i="76"/>
  <c r="H28" i="76"/>
  <c r="J11" i="76"/>
  <c r="H11" i="76"/>
  <c r="J58" i="76"/>
  <c r="H58" i="76"/>
  <c r="J12" i="76"/>
  <c r="H12" i="76"/>
  <c r="H9" i="76"/>
  <c r="J9" i="76"/>
  <c r="I4" i="161"/>
  <c r="AG7" i="72"/>
  <c r="B29" i="33"/>
  <c r="V8" i="74"/>
  <c r="I4" i="159"/>
  <c r="I4" i="188"/>
  <c r="J32" i="76"/>
  <c r="H32" i="76"/>
  <c r="I4" i="118"/>
  <c r="J65" i="76"/>
  <c r="H65" i="76"/>
  <c r="I4" i="191"/>
  <c r="H15" i="76"/>
  <c r="J15" i="76"/>
  <c r="H43" i="76"/>
  <c r="J43" i="76"/>
  <c r="I4" i="259"/>
  <c r="W21" i="74" l="1"/>
  <c r="W23" i="74"/>
  <c r="X19" i="74"/>
  <c r="X17" i="74" s="1"/>
  <c r="X18" i="74" s="1"/>
  <c r="I4" i="74" s="1"/>
  <c r="W17" i="74"/>
  <c r="W18" i="74" s="1"/>
  <c r="I75" i="4"/>
  <c r="I85" i="4" s="1"/>
  <c r="D9" i="35" s="1"/>
  <c r="E75" i="4"/>
  <c r="E75" i="76" s="1"/>
  <c r="K75" i="4"/>
  <c r="K85" i="4" s="1"/>
  <c r="D16" i="35" s="1"/>
  <c r="H45" i="76"/>
  <c r="J45" i="76"/>
  <c r="AH7" i="72"/>
  <c r="W8" i="74"/>
  <c r="B30" i="33"/>
  <c r="H34" i="76"/>
  <c r="J34" i="76"/>
  <c r="I4" i="264"/>
  <c r="I4" i="213"/>
  <c r="I4" i="123"/>
  <c r="J55" i="76"/>
  <c r="H55" i="76"/>
  <c r="I4" i="82"/>
  <c r="J29" i="76"/>
  <c r="H29" i="76"/>
  <c r="I4" i="261"/>
  <c r="J68" i="76"/>
  <c r="H68" i="76"/>
  <c r="I4" i="263"/>
  <c r="I4" i="246"/>
  <c r="I4" i="220"/>
  <c r="I4" i="235"/>
  <c r="H30" i="76"/>
  <c r="J30" i="76"/>
  <c r="X21" i="74" l="1"/>
  <c r="X23" i="74"/>
  <c r="I4" i="245"/>
  <c r="G75" i="4"/>
  <c r="F75" i="4" s="1"/>
  <c r="B31" i="33"/>
  <c r="AI7" i="72"/>
  <c r="X8" i="74"/>
  <c r="J1" i="4" s="1"/>
  <c r="J38" i="76"/>
  <c r="H38" i="76"/>
  <c r="H73" i="76"/>
  <c r="J73" i="76"/>
  <c r="J56" i="76"/>
  <c r="H56" i="76"/>
  <c r="H21" i="76"/>
  <c r="J21" i="76"/>
  <c r="H59" i="76"/>
  <c r="J59" i="76"/>
  <c r="H13" i="76"/>
  <c r="J13" i="76"/>
  <c r="J53" i="76"/>
  <c r="H53" i="76"/>
  <c r="H62" i="76"/>
  <c r="J62" i="76"/>
  <c r="H54" i="76"/>
  <c r="J54" i="76"/>
  <c r="E3" i="35" l="1"/>
  <c r="I1" i="64"/>
  <c r="I1" i="76"/>
  <c r="L1" i="31"/>
  <c r="J75" i="76"/>
  <c r="J85" i="76" s="1"/>
  <c r="H75" i="76"/>
  <c r="H85" i="76" s="1"/>
  <c r="B32" i="33"/>
  <c r="AJ7" i="72"/>
</calcChain>
</file>

<file path=xl/sharedStrings.xml><?xml version="1.0" encoding="utf-8"?>
<sst xmlns="http://schemas.openxmlformats.org/spreadsheetml/2006/main" count="2799" uniqueCount="334">
  <si>
    <t>Mountain Lakes Bowling League</t>
  </si>
  <si>
    <t>Individual Scoring Sheet</t>
  </si>
  <si>
    <t>Name</t>
  </si>
  <si>
    <t>Team</t>
  </si>
  <si>
    <t>Week</t>
  </si>
  <si>
    <t>Date</t>
  </si>
  <si>
    <t>total</t>
  </si>
  <si>
    <t>avg</t>
  </si>
  <si>
    <t>hndicp</t>
  </si>
  <si>
    <t>gm count</t>
  </si>
  <si>
    <t xml:space="preserve">  Current</t>
  </si>
  <si>
    <t xml:space="preserve">  Prior Year</t>
  </si>
  <si>
    <t>Handicap:</t>
  </si>
  <si>
    <t>cum total</t>
  </si>
  <si>
    <t>Game 1</t>
  </si>
  <si>
    <t>Game 2</t>
  </si>
  <si>
    <t>Game 3</t>
  </si>
  <si>
    <t>Mark</t>
  </si>
  <si>
    <t>high series scratch</t>
  </si>
  <si>
    <t>high series w/ handicap</t>
  </si>
  <si>
    <t>high game w/ handicap</t>
  </si>
  <si>
    <t>high game scratch</t>
  </si>
  <si>
    <t>high series w/ hndcp</t>
  </si>
  <si>
    <t>Belyea</t>
  </si>
  <si>
    <t>Shep</t>
  </si>
  <si>
    <t>Steve</t>
  </si>
  <si>
    <t>Nix</t>
  </si>
  <si>
    <t>Brylawski</t>
  </si>
  <si>
    <t>Jim</t>
  </si>
  <si>
    <t>red pins</t>
  </si>
  <si>
    <t>Ramich</t>
  </si>
  <si>
    <t>Happer</t>
  </si>
  <si>
    <t>Dan</t>
  </si>
  <si>
    <t>Kennedy</t>
  </si>
  <si>
    <t>Emr</t>
  </si>
  <si>
    <t>Kinney</t>
  </si>
  <si>
    <t>Alphabetical Listing</t>
  </si>
  <si>
    <t>Team 3 (Belyea)</t>
  </si>
  <si>
    <t>Thur</t>
  </si>
  <si>
    <t>Total</t>
  </si>
  <si>
    <t>Wed</t>
  </si>
  <si>
    <t>Team Point Standings</t>
  </si>
  <si>
    <t xml:space="preserve"> Weekly Standings</t>
  </si>
  <si>
    <t xml:space="preserve">      High Game Handicap</t>
  </si>
  <si>
    <t>High Game Scratch</t>
  </si>
  <si>
    <t xml:space="preserve">     High Series Handicap</t>
  </si>
  <si>
    <t>High Series Scratch</t>
  </si>
  <si>
    <t xml:space="preserve">  YTD High Game Handicap</t>
  </si>
  <si>
    <t xml:space="preserve">               YTD High Game Scratch</t>
  </si>
  <si>
    <t xml:space="preserve">  YTD High Series Handicap</t>
  </si>
  <si>
    <t xml:space="preserve">               YTD High Series Scratch</t>
  </si>
  <si>
    <t>Team 1</t>
  </si>
  <si>
    <t>Team 2</t>
  </si>
  <si>
    <t>Team 4</t>
  </si>
  <si>
    <t>Team 3</t>
  </si>
  <si>
    <t>Sullivan</t>
  </si>
  <si>
    <t>Waller</t>
  </si>
  <si>
    <t>Grodofsky</t>
  </si>
  <si>
    <t>Goldsmith</t>
  </si>
  <si>
    <t>Gosset</t>
  </si>
  <si>
    <t>Geygan</t>
  </si>
  <si>
    <t>Shannon</t>
  </si>
  <si>
    <t>Vosburg</t>
  </si>
  <si>
    <t>Peters</t>
  </si>
  <si>
    <t>Game 4</t>
  </si>
  <si>
    <t>Game 5</t>
  </si>
  <si>
    <t>Game 6</t>
  </si>
  <si>
    <t>Zorlas</t>
  </si>
  <si>
    <t>3 games worksheet</t>
  </si>
  <si>
    <t>6 games worksheet</t>
  </si>
  <si>
    <t>Sorted by high average</t>
  </si>
  <si>
    <t>Name -</t>
  </si>
  <si>
    <t xml:space="preserve">Name - </t>
  </si>
  <si>
    <t>Buckley, S</t>
  </si>
  <si>
    <t>Buckley, W</t>
  </si>
  <si>
    <t>Parker</t>
  </si>
  <si>
    <t>ytd highs</t>
  </si>
  <si>
    <t>game scratch</t>
  </si>
  <si>
    <t>game hndcp</t>
  </si>
  <si>
    <t>series scratch</t>
  </si>
  <si>
    <t>series hndcp</t>
  </si>
  <si>
    <t>Total points</t>
  </si>
  <si>
    <t>YTD Red Pins</t>
  </si>
  <si>
    <t>John</t>
  </si>
  <si>
    <t>Yearly Prizes</t>
  </si>
  <si>
    <t>High Average</t>
  </si>
  <si>
    <t>1st Place</t>
  </si>
  <si>
    <t>2nd Place</t>
  </si>
  <si>
    <t>3rd Place</t>
  </si>
  <si>
    <t>High Series</t>
  </si>
  <si>
    <t>Scratch</t>
  </si>
  <si>
    <t>w/Handicap</t>
  </si>
  <si>
    <t>High Game</t>
  </si>
  <si>
    <t>Weekly Prizes</t>
  </si>
  <si>
    <t>See attached sheet</t>
  </si>
  <si>
    <t>$3.00/each</t>
  </si>
  <si>
    <t>Bedford</t>
  </si>
  <si>
    <t>Rose Bowl</t>
  </si>
  <si>
    <t>Club Championship</t>
  </si>
  <si>
    <t>Sub-Total</t>
  </si>
  <si>
    <t>Team Play</t>
  </si>
  <si>
    <t>First Half</t>
  </si>
  <si>
    <t>4th Place</t>
  </si>
  <si>
    <t>Shep Belyea's Team 3</t>
  </si>
  <si>
    <t>Second Half</t>
  </si>
  <si>
    <t>Total Prize Money Payout</t>
  </si>
  <si>
    <t>Club Chmshp</t>
  </si>
  <si>
    <t>Red Pin $</t>
  </si>
  <si>
    <t xml:space="preserve">Red Pins </t>
  </si>
  <si>
    <t>Wkly High Games</t>
  </si>
  <si>
    <t>week 1 =</t>
  </si>
  <si>
    <t>team money summary</t>
  </si>
  <si>
    <t>Total $</t>
  </si>
  <si>
    <t>Individual Payout Summary</t>
  </si>
  <si>
    <t>High Average for the year</t>
  </si>
  <si>
    <t>Final Averages and Handicaps</t>
  </si>
  <si>
    <t>Brywlaski</t>
  </si>
  <si>
    <t>Doug</t>
  </si>
  <si>
    <t>Peter</t>
  </si>
  <si>
    <t>Jeff</t>
  </si>
  <si>
    <t>Tom</t>
  </si>
  <si>
    <t>Tim</t>
  </si>
  <si>
    <t>Dave</t>
  </si>
  <si>
    <t>Jack</t>
  </si>
  <si>
    <t>Mountain Lakes Men's Bowling League Scoring Worksheet Info</t>
  </si>
  <si>
    <t>first week of bowling season</t>
  </si>
  <si>
    <t>Beginning of season data input</t>
  </si>
  <si>
    <t>General procedures</t>
  </si>
  <si>
    <t>enter individual scores and red pin totals for each player on a weekly basis</t>
  </si>
  <si>
    <t>change Week # on "wkly alpha" worksheet to represent applicable week in the season</t>
  </si>
  <si>
    <t>update "team scoring" worksheet</t>
  </si>
  <si>
    <t>Things to check</t>
  </si>
  <si>
    <t>as new bowlers join the league and bowlers from last year that do not bowl in the first two</t>
  </si>
  <si>
    <t>weeks require tweaking of their worksheets to properly calculate high game with handicap</t>
  </si>
  <si>
    <t>high series with handicap.  The standard worksheet uses last years handicap for the first</t>
  </si>
  <si>
    <t>two weeks of the season and then uses the current handicap, adjusted weekly, for the rest</t>
  </si>
  <si>
    <t>of the season.</t>
  </si>
  <si>
    <t>OTHER NOTES:</t>
  </si>
  <si>
    <t xml:space="preserve">columns that highlights in yellow the highest value for each of the four columns.  Also, the </t>
  </si>
  <si>
    <t>maximum value from each column is fed into the "high games" worksheet, so you only</t>
  </si>
  <si>
    <t>have to update the applicable names.</t>
  </si>
  <si>
    <t>season label</t>
  </si>
  <si>
    <t>weekly highs</t>
  </si>
  <si>
    <t>Adding New bowlers</t>
  </si>
  <si>
    <t>insert row for new bowler in 'wkly alpha', copy/paste another bowler's row, replace bowler's name</t>
  </si>
  <si>
    <t>insert row for new bowler in 'YTD alpha', copy/paste another bowler's row, replace bowler's name</t>
  </si>
  <si>
    <t>insert row in 'indiv payout' and copy/paste another bowler's row.</t>
  </si>
  <si>
    <t>insert row in 'wkly high average'.</t>
  </si>
  <si>
    <t>in all formulas across row.</t>
  </si>
  <si>
    <t>copy 'dummy' worksheet, rename to bowler's last name, enter bowler's name and team #.</t>
  </si>
  <si>
    <t>Cassidy</t>
  </si>
  <si>
    <t>remember to use "Paste Special…" and paste only values</t>
  </si>
  <si>
    <t>Hornyak</t>
  </si>
  <si>
    <t>Kincey</t>
  </si>
  <si>
    <t>Lalin</t>
  </si>
  <si>
    <t>Ethan</t>
  </si>
  <si>
    <t>Hatton</t>
  </si>
  <si>
    <t>Chris</t>
  </si>
  <si>
    <t>Albanese</t>
  </si>
  <si>
    <t>Mike</t>
  </si>
  <si>
    <t>$10.00/each</t>
  </si>
  <si>
    <t>High Game/
Series for the year</t>
  </si>
  <si>
    <t>update "indiv payout" sheet w/high game counts by individual</t>
  </si>
  <si>
    <t>Last Yr Handicap</t>
  </si>
  <si>
    <t>Current  Hndcp</t>
  </si>
  <si>
    <t>Games</t>
  </si>
  <si>
    <t>Average</t>
  </si>
  <si>
    <t>High Game w/ Hndcp</t>
  </si>
  <si>
    <t>Year-To-Date</t>
  </si>
  <si>
    <t>Week #</t>
  </si>
  <si>
    <t>High Series w/ Hndcp</t>
  </si>
  <si>
    <t>and remember after pasting to delete any "#Div0/!" values on the "wkly high average" tab</t>
  </si>
  <si>
    <t>so those names move to the bottom of the sorted list</t>
  </si>
  <si>
    <t>Terry</t>
  </si>
  <si>
    <t>Moran</t>
  </si>
  <si>
    <t>Last</t>
  </si>
  <si>
    <t>First</t>
  </si>
  <si>
    <t>Smith</t>
  </si>
  <si>
    <t>Renahan</t>
  </si>
  <si>
    <t>Bill</t>
  </si>
  <si>
    <t>Albergo</t>
  </si>
  <si>
    <t>Kuehm</t>
  </si>
  <si>
    <t>Scot</t>
  </si>
  <si>
    <t>The "wkly alpha" worksheet has conditional formatting in the high game and high series</t>
  </si>
  <si>
    <t>Malady</t>
  </si>
  <si>
    <t>Kyle</t>
  </si>
  <si>
    <t>update "High Games" worksheet (note: only names should have to be updated because</t>
  </si>
  <si>
    <t>values should feed from the "wkly alpha" worksheet)</t>
  </si>
  <si>
    <t>compare weekly high games with YTD high games, and replace YTD name and score if higher</t>
  </si>
  <si>
    <t>print copies of "wkly alpha", "wkly high average", and "High Games" tabs</t>
  </si>
  <si>
    <t>copy/paste "wkly alpha" data (name thru Last Yr Handicap cols) onto "wkly high average" worksheet and sort by avg</t>
  </si>
  <si>
    <t>Team Standings after Week:</t>
  </si>
  <si>
    <t>Handicap</t>
  </si>
  <si>
    <t>Example:</t>
  </si>
  <si>
    <t>Handicap = 90% of (200 minus Avg)</t>
  </si>
  <si>
    <t>Joe Bowler bowls the following 3 games:</t>
  </si>
  <si>
    <t>How To Calculate Handicaps for New Bowlers</t>
  </si>
  <si>
    <t>Calculation:</t>
  </si>
  <si>
    <t>125, 130, 135 for an average of 130</t>
  </si>
  <si>
    <t>1)  200 - 130 = 70</t>
  </si>
  <si>
    <t>2)  0.9 x 70 = 63</t>
  </si>
  <si>
    <t>3)  Handicap = 63</t>
  </si>
  <si>
    <t>Terhune</t>
  </si>
  <si>
    <t>Todd</t>
  </si>
  <si>
    <t>Scolaro</t>
  </si>
  <si>
    <t>Giovanni</t>
  </si>
  <si>
    <t>Barnett</t>
  </si>
  <si>
    <t>Dameon</t>
  </si>
  <si>
    <t>Rogers</t>
  </si>
  <si>
    <t>Ray</t>
  </si>
  <si>
    <t>Bob</t>
  </si>
  <si>
    <t>David</t>
  </si>
  <si>
    <t>Maute</t>
  </si>
  <si>
    <t>Tournaments</t>
  </si>
  <si>
    <t>Shaw</t>
  </si>
  <si>
    <t>Lewis</t>
  </si>
  <si>
    <t>Pond</t>
  </si>
  <si>
    <t>Rich</t>
  </si>
  <si>
    <t>Martorana</t>
  </si>
  <si>
    <t>Scott</t>
  </si>
  <si>
    <t>Dages</t>
  </si>
  <si>
    <t>Gellert</t>
  </si>
  <si>
    <t>Josh</t>
  </si>
  <si>
    <t>Thomson</t>
  </si>
  <si>
    <t>Ted</t>
  </si>
  <si>
    <t>Proudlove</t>
  </si>
  <si>
    <t>Harris</t>
  </si>
  <si>
    <t>Chad</t>
  </si>
  <si>
    <t>Koy</t>
  </si>
  <si>
    <t>Joel</t>
  </si>
  <si>
    <t>Bigelsen</t>
  </si>
  <si>
    <t>Karczewski</t>
  </si>
  <si>
    <t>Team 4 (Moran)</t>
  </si>
  <si>
    <t>Walker</t>
  </si>
  <si>
    <t>Marc</t>
  </si>
  <si>
    <t>Use
This
Handicap</t>
  </si>
  <si>
    <t>High Series w/ Handicap</t>
  </si>
  <si>
    <t>Current Handicap</t>
  </si>
  <si>
    <t>High Game w/ Handicap</t>
  </si>
  <si>
    <t>Last
Year's
Handicap</t>
  </si>
  <si>
    <t>Breslauer</t>
  </si>
  <si>
    <t>Jack Renahan</t>
  </si>
  <si>
    <t>Terry Moran's Team 4</t>
  </si>
  <si>
    <t>Buz Bedford Chmshp</t>
  </si>
  <si>
    <t>N/A</t>
  </si>
  <si>
    <t>Tellie</t>
  </si>
  <si>
    <t>Wes</t>
  </si>
  <si>
    <t>Smith, M</t>
  </si>
  <si>
    <t>Shepherd</t>
  </si>
  <si>
    <t>Thompson</t>
  </si>
  <si>
    <t>Dean</t>
  </si>
  <si>
    <t>Brian</t>
  </si>
  <si>
    <t>Keyt</t>
  </si>
  <si>
    <t>Luzzi</t>
  </si>
  <si>
    <t>Bud</t>
  </si>
  <si>
    <t>Barry</t>
  </si>
  <si>
    <t>Harvey</t>
  </si>
  <si>
    <t>Most Improved</t>
  </si>
  <si>
    <t>Most
Improved</t>
  </si>
  <si>
    <t>2015/2016 Season</t>
  </si>
  <si>
    <t>Newcomers establish their average and handicap</t>
  </si>
  <si>
    <t>Veterans with established handicaps will use last</t>
  </si>
  <si>
    <t>VETERANS</t>
  </si>
  <si>
    <t>NEWCOMERS</t>
  </si>
  <si>
    <r>
      <t xml:space="preserve">year’s handicap for the </t>
    </r>
    <r>
      <rPr>
        <b/>
        <i/>
        <u/>
        <sz val="10"/>
        <rFont val="Arial"/>
        <family val="2"/>
      </rPr>
      <t>first two nights</t>
    </r>
    <r>
      <rPr>
        <i/>
        <sz val="10"/>
        <rFont val="Arial"/>
        <family val="2"/>
      </rPr>
      <t xml:space="preserve"> they bowl.</t>
    </r>
  </si>
  <si>
    <t>Gittle</t>
  </si>
  <si>
    <t>Andrew</t>
  </si>
  <si>
    <t>Dagger</t>
  </si>
  <si>
    <t>Barbarisi</t>
  </si>
  <si>
    <t>Rick</t>
  </si>
  <si>
    <t>Gorman</t>
  </si>
  <si>
    <t>Ryan</t>
  </si>
  <si>
    <t>Shaw, S</t>
  </si>
  <si>
    <t>Stuss</t>
  </si>
  <si>
    <t>Gordon</t>
  </si>
  <si>
    <t>Rioux</t>
  </si>
  <si>
    <t>Campanaro</t>
  </si>
  <si>
    <t>Lew</t>
  </si>
  <si>
    <t>Team 2 (Hornyak)</t>
  </si>
  <si>
    <t>Jordan</t>
  </si>
  <si>
    <t>Fricke</t>
  </si>
  <si>
    <t>Lowell</t>
  </si>
  <si>
    <t>Gotthelf</t>
  </si>
  <si>
    <t>Alex</t>
  </si>
  <si>
    <t>Lewis, D</t>
  </si>
  <si>
    <t>Lewis, B</t>
  </si>
  <si>
    <t>Rose</t>
  </si>
  <si>
    <t>Doug Kennedy</t>
  </si>
  <si>
    <t>Steve Emr</t>
  </si>
  <si>
    <t>Jack Sullivan</t>
  </si>
  <si>
    <t>Terry Moran - 160.2</t>
  </si>
  <si>
    <t>Gio Scolaro - 156.7</t>
  </si>
  <si>
    <t>Todd Terhune - 153.7</t>
  </si>
  <si>
    <t>Dan Happer - 588</t>
  </si>
  <si>
    <t>Rich Pond - 232</t>
  </si>
  <si>
    <t>Scott Martorana - 279</t>
  </si>
  <si>
    <t>Scott Martorana - 738</t>
  </si>
  <si>
    <t>Jack Renahan - 77</t>
  </si>
  <si>
    <t>Jack Renahan's Team 1</t>
  </si>
  <si>
    <t>Tim Hornyak's Team 2</t>
  </si>
  <si>
    <t>Chad Harris</t>
  </si>
  <si>
    <t>Jim Brylawski</t>
  </si>
  <si>
    <t>Steve Bigelson - 115.1-&gt;125.8</t>
  </si>
  <si>
    <t>Iron Man
Award</t>
  </si>
  <si>
    <t>Iron Man Award (most games)</t>
  </si>
  <si>
    <t>Mark Thomson</t>
  </si>
  <si>
    <t>Terry Moran</t>
  </si>
  <si>
    <t>Rich Pond</t>
  </si>
  <si>
    <r>
      <t xml:space="preserve">during the </t>
    </r>
    <r>
      <rPr>
        <b/>
        <i/>
        <u/>
        <sz val="10"/>
        <rFont val="Arial"/>
        <family val="2"/>
      </rPr>
      <t>first night</t>
    </r>
    <r>
      <rPr>
        <i/>
        <sz val="10"/>
        <rFont val="Arial"/>
        <family val="2"/>
      </rPr>
      <t xml:space="preserve"> they bowl.</t>
    </r>
  </si>
  <si>
    <t>2016/2017 Season</t>
  </si>
  <si>
    <t>2016 - 2017</t>
  </si>
  <si>
    <t>Horowitz</t>
  </si>
  <si>
    <t>Sam</t>
  </si>
  <si>
    <t>Maione</t>
  </si>
  <si>
    <t>Matt</t>
  </si>
  <si>
    <t>Schneider</t>
  </si>
  <si>
    <t>Wolkenstein</t>
  </si>
  <si>
    <t>Paul</t>
  </si>
  <si>
    <t>Driscoll</t>
  </si>
  <si>
    <t>Kevin</t>
  </si>
  <si>
    <t>Hilton</t>
  </si>
  <si>
    <t>Andy</t>
  </si>
  <si>
    <t>Lamb</t>
  </si>
  <si>
    <t>Dennis</t>
  </si>
  <si>
    <t>Stanton</t>
  </si>
  <si>
    <t>Earl</t>
  </si>
  <si>
    <t>Gerity</t>
  </si>
  <si>
    <t>Kanaris</t>
  </si>
  <si>
    <t>TJ</t>
  </si>
  <si>
    <t>Team 1 (Lewis)</t>
  </si>
  <si>
    <t>Alternatively - after copy/paste "wkly alpha" data using "Paste Special…" Values</t>
  </si>
  <si>
    <t>Increase the range values by 1 in the "CleanAndSort" macro</t>
  </si>
  <si>
    <t>Run macro "CleanAndSort" which removes all "Div0/!" and sorts by avg</t>
  </si>
  <si>
    <t>Remember ranges in "CleanAndSort" macro need to be adjusted whenever the number of bowlers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</si>
</sst>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0.0"/>
    <numFmt numFmtId="167" formatCode="&quot;$&quot;#,##0"/>
    <numFmt numFmtId="168" formatCode="m/d/yy;@"/>
  </numFmts>
  <fonts count="2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u/>
      <sz val="14"/>
      <color indexed="10"/>
      <name val="Arial"/>
      <family val="2"/>
    </font>
    <font>
      <b/>
      <sz val="9"/>
      <color indexed="10"/>
      <name val="Arial"/>
      <family val="2"/>
    </font>
    <font>
      <b/>
      <sz val="10"/>
      <color indexed="10"/>
      <name val="Arial"/>
      <family val="2"/>
    </font>
    <font>
      <b/>
      <u val="singleAccounting"/>
      <sz val="10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b/>
      <sz val="10"/>
      <color indexed="13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i/>
      <sz val="10"/>
      <name val="Arial"/>
      <family val="2"/>
    </font>
    <font>
      <b/>
      <i/>
      <u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hair">
        <color theme="0" tint="-0.24994659260841701"/>
      </top>
      <bottom style="medium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medium">
        <color indexed="64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hair">
        <color theme="0" tint="-0.24994659260841701"/>
      </top>
      <bottom/>
      <diagonal/>
    </border>
    <border>
      <left style="medium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 style="medium">
        <color indexed="64"/>
      </left>
      <right style="hair">
        <color theme="0" tint="-0.24994659260841701"/>
      </right>
      <top style="hair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medium">
        <color indexed="64"/>
      </left>
      <right style="hair">
        <color theme="0" tint="-0.24994659260841701"/>
      </right>
      <top style="hair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4">
    <xf numFmtId="0" fontId="0" fillId="0" borderId="0" xfId="0"/>
    <xf numFmtId="0" fontId="3" fillId="0" borderId="0" xfId="0" applyFont="1"/>
    <xf numFmtId="15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0" fillId="0" borderId="4" xfId="0" applyBorder="1"/>
    <xf numFmtId="0" fontId="2" fillId="0" borderId="5" xfId="0" applyFont="1" applyBorder="1"/>
    <xf numFmtId="0" fontId="0" fillId="0" borderId="0" xfId="0" applyBorder="1"/>
    <xf numFmtId="0" fontId="0" fillId="0" borderId="6" xfId="0" applyBorder="1"/>
    <xf numFmtId="0" fontId="2" fillId="0" borderId="7" xfId="0" applyFont="1" applyBorder="1"/>
    <xf numFmtId="0" fontId="0" fillId="0" borderId="8" xfId="0" applyBorder="1"/>
    <xf numFmtId="165" fontId="0" fillId="0" borderId="0" xfId="1" applyNumberFormat="1" applyFont="1"/>
    <xf numFmtId="0" fontId="0" fillId="0" borderId="1" xfId="0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right"/>
    </xf>
    <xf numFmtId="9" fontId="1" fillId="0" borderId="0" xfId="3"/>
    <xf numFmtId="165" fontId="1" fillId="0" borderId="9" xfId="1" applyNumberFormat="1" applyBorder="1"/>
    <xf numFmtId="165" fontId="1" fillId="0" borderId="0" xfId="1" applyNumberFormat="1"/>
    <xf numFmtId="164" fontId="1" fillId="0" borderId="0" xfId="1" applyNumberFormat="1"/>
    <xf numFmtId="0" fontId="3" fillId="0" borderId="0" xfId="0" applyFont="1" applyAlignment="1">
      <alignment horizontal="center"/>
    </xf>
    <xf numFmtId="0" fontId="2" fillId="0" borderId="10" xfId="0" applyFont="1" applyFill="1" applyBorder="1" applyAlignment="1">
      <alignment horizontal="left" wrapText="1"/>
    </xf>
    <xf numFmtId="164" fontId="0" fillId="0" borderId="0" xfId="1" applyNumberFormat="1" applyFont="1"/>
    <xf numFmtId="0" fontId="3" fillId="0" borderId="0" xfId="0" applyFont="1" applyAlignment="1">
      <alignment horizontal="center" wrapText="1"/>
    </xf>
    <xf numFmtId="164" fontId="3" fillId="0" borderId="0" xfId="1" applyNumberFormat="1" applyFont="1" applyAlignment="1">
      <alignment horizontal="center"/>
    </xf>
    <xf numFmtId="165" fontId="4" fillId="0" borderId="0" xfId="1" applyNumberFormat="1" applyFont="1"/>
    <xf numFmtId="0" fontId="2" fillId="0" borderId="0" xfId="0" applyFont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0" fontId="0" fillId="2" borderId="15" xfId="0" applyFill="1" applyBorder="1" applyAlignment="1">
      <alignment horizontal="centerContinuous"/>
    </xf>
    <xf numFmtId="0" fontId="0" fillId="2" borderId="16" xfId="0" applyFill="1" applyBorder="1" applyAlignment="1">
      <alignment horizontal="centerContinuous"/>
    </xf>
    <xf numFmtId="0" fontId="0" fillId="2" borderId="17" xfId="0" applyFill="1" applyBorder="1" applyAlignment="1">
      <alignment horizontal="centerContinuous"/>
    </xf>
    <xf numFmtId="0" fontId="0" fillId="3" borderId="15" xfId="0" applyFill="1" applyBorder="1" applyAlignment="1">
      <alignment horizontal="centerContinuous"/>
    </xf>
    <xf numFmtId="0" fontId="0" fillId="3" borderId="16" xfId="0" applyFill="1" applyBorder="1" applyAlignment="1">
      <alignment horizontal="centerContinuous"/>
    </xf>
    <xf numFmtId="0" fontId="0" fillId="3" borderId="17" xfId="0" applyFill="1" applyBorder="1" applyAlignment="1">
      <alignment horizontal="centerContinuous"/>
    </xf>
    <xf numFmtId="0" fontId="0" fillId="4" borderId="16" xfId="0" applyFill="1" applyBorder="1" applyAlignment="1">
      <alignment horizontal="centerContinuous"/>
    </xf>
    <xf numFmtId="0" fontId="0" fillId="4" borderId="17" xfId="0" applyFill="1" applyBorder="1" applyAlignment="1">
      <alignment horizontal="centerContinuous"/>
    </xf>
    <xf numFmtId="0" fontId="0" fillId="5" borderId="15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5" borderId="17" xfId="0" applyFill="1" applyBorder="1" applyAlignment="1">
      <alignment horizontal="centerContinuous"/>
    </xf>
    <xf numFmtId="16" fontId="0" fillId="0" borderId="14" xfId="0" applyNumberFormat="1" applyBorder="1" applyAlignment="1">
      <alignment horizontal="center"/>
    </xf>
    <xf numFmtId="0" fontId="0" fillId="0" borderId="18" xfId="0" applyBorder="1"/>
    <xf numFmtId="0" fontId="0" fillId="0" borderId="5" xfId="0" applyBorder="1"/>
    <xf numFmtId="0" fontId="0" fillId="0" borderId="19" xfId="0" applyBorder="1"/>
    <xf numFmtId="0" fontId="2" fillId="5" borderId="20" xfId="0" applyFont="1" applyFill="1" applyBorder="1"/>
    <xf numFmtId="0" fontId="0" fillId="0" borderId="21" xfId="0" applyBorder="1"/>
    <xf numFmtId="0" fontId="0" fillId="0" borderId="22" xfId="0" applyBorder="1"/>
    <xf numFmtId="0" fontId="2" fillId="4" borderId="20" xfId="0" applyFont="1" applyFill="1" applyBorder="1"/>
    <xf numFmtId="0" fontId="2" fillId="3" borderId="20" xfId="0" applyFont="1" applyFill="1" applyBorder="1"/>
    <xf numFmtId="0" fontId="2" fillId="2" borderId="20" xfId="0" applyFont="1" applyFill="1" applyBorder="1"/>
    <xf numFmtId="0" fontId="2" fillId="5" borderId="23" xfId="0" applyFont="1" applyFill="1" applyBorder="1"/>
    <xf numFmtId="0" fontId="2" fillId="4" borderId="23" xfId="0" applyFont="1" applyFill="1" applyBorder="1"/>
    <xf numFmtId="0" fontId="2" fillId="3" borderId="23" xfId="0" applyFont="1" applyFill="1" applyBorder="1"/>
    <xf numFmtId="0" fontId="2" fillId="2" borderId="23" xfId="0" applyFont="1" applyFill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24" xfId="0" applyFont="1" applyBorder="1"/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7" xfId="0" applyFont="1" applyBorder="1"/>
    <xf numFmtId="0" fontId="6" fillId="0" borderId="0" xfId="0" applyFont="1" applyBorder="1"/>
    <xf numFmtId="0" fontId="2" fillId="0" borderId="0" xfId="0" applyFont="1" applyBorder="1"/>
    <xf numFmtId="0" fontId="2" fillId="0" borderId="28" xfId="0" applyFont="1" applyBorder="1"/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6" fillId="0" borderId="24" xfId="0" applyFont="1" applyBorder="1"/>
    <xf numFmtId="0" fontId="7" fillId="0" borderId="24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6" fillId="0" borderId="26" xfId="0" applyFont="1" applyBorder="1"/>
    <xf numFmtId="0" fontId="6" fillId="0" borderId="0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6" fillId="0" borderId="27" xfId="0" applyFont="1" applyBorder="1"/>
    <xf numFmtId="2" fontId="0" fillId="0" borderId="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65" fontId="1" fillId="0" borderId="29" xfId="1" applyNumberFormat="1" applyBorder="1"/>
    <xf numFmtId="165" fontId="0" fillId="0" borderId="6" xfId="0" applyNumberFormat="1" applyBorder="1"/>
    <xf numFmtId="164" fontId="4" fillId="0" borderId="0" xfId="1" applyNumberFormat="1" applyFont="1"/>
    <xf numFmtId="165" fontId="3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165" fontId="4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 wrapText="1"/>
    </xf>
    <xf numFmtId="165" fontId="0" fillId="0" borderId="2" xfId="1" applyNumberFormat="1" applyFont="1" applyBorder="1"/>
    <xf numFmtId="165" fontId="2" fillId="0" borderId="7" xfId="1" applyNumberFormat="1" applyFont="1" applyBorder="1"/>
    <xf numFmtId="165" fontId="2" fillId="0" borderId="29" xfId="1" applyNumberFormat="1" applyFont="1" applyBorder="1"/>
    <xf numFmtId="165" fontId="0" fillId="0" borderId="0" xfId="0" applyNumberFormat="1"/>
    <xf numFmtId="0" fontId="7" fillId="0" borderId="0" xfId="0" applyFont="1"/>
    <xf numFmtId="15" fontId="0" fillId="0" borderId="4" xfId="1" applyNumberFormat="1" applyFont="1" applyBorder="1"/>
    <xf numFmtId="0" fontId="0" fillId="0" borderId="0" xfId="0" applyAlignment="1">
      <alignment horizontal="left"/>
    </xf>
    <xf numFmtId="0" fontId="5" fillId="0" borderId="30" xfId="0" applyFont="1" applyBorder="1" applyAlignment="1">
      <alignment horizontal="centerContinuous"/>
    </xf>
    <xf numFmtId="0" fontId="5" fillId="0" borderId="31" xfId="0" applyFont="1" applyBorder="1" applyAlignment="1">
      <alignment horizontal="centerContinuous"/>
    </xf>
    <xf numFmtId="0" fontId="0" fillId="0" borderId="31" xfId="0" applyBorder="1" applyAlignment="1">
      <alignment horizontal="centerContinuous"/>
    </xf>
    <xf numFmtId="0" fontId="6" fillId="0" borderId="32" xfId="0" applyFont="1" applyBorder="1" applyAlignment="1">
      <alignment horizontal="center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/>
    <xf numFmtId="0" fontId="0" fillId="0" borderId="6" xfId="0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2" fillId="0" borderId="35" xfId="0" applyFont="1" applyBorder="1"/>
    <xf numFmtId="0" fontId="7" fillId="0" borderId="36" xfId="0" applyFont="1" applyBorder="1" applyAlignment="1">
      <alignment horizontal="center"/>
    </xf>
    <xf numFmtId="0" fontId="8" fillId="0" borderId="8" xfId="0" applyFont="1" applyBorder="1"/>
    <xf numFmtId="0" fontId="2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9" xfId="0" applyBorder="1" applyAlignment="1">
      <alignment horizontal="center"/>
    </xf>
    <xf numFmtId="0" fontId="8" fillId="0" borderId="3" xfId="0" applyFont="1" applyBorder="1"/>
    <xf numFmtId="0" fontId="0" fillId="0" borderId="3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6" xfId="0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2" fillId="0" borderId="5" xfId="0" applyFont="1" applyFill="1" applyBorder="1"/>
    <xf numFmtId="0" fontId="0" fillId="0" borderId="6" xfId="0" applyFill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8" xfId="0" applyFont="1" applyBorder="1"/>
    <xf numFmtId="0" fontId="0" fillId="0" borderId="7" xfId="0" applyBorder="1"/>
    <xf numFmtId="165" fontId="2" fillId="0" borderId="2" xfId="1" applyNumberFormat="1" applyFont="1" applyBorder="1"/>
    <xf numFmtId="165" fontId="7" fillId="0" borderId="0" xfId="1" applyNumberFormat="1" applyFont="1"/>
    <xf numFmtId="15" fontId="6" fillId="0" borderId="0" xfId="0" applyNumberFormat="1" applyFont="1"/>
    <xf numFmtId="0" fontId="0" fillId="0" borderId="0" xfId="0" applyFont="1" applyFill="1" applyBorder="1"/>
    <xf numFmtId="166" fontId="6" fillId="0" borderId="0" xfId="0" applyNumberFormat="1" applyFont="1" applyAlignment="1">
      <alignment horizontal="center"/>
    </xf>
    <xf numFmtId="166" fontId="6" fillId="0" borderId="39" xfId="0" applyNumberFormat="1" applyFont="1" applyBorder="1" applyAlignment="1">
      <alignment horizontal="center"/>
    </xf>
    <xf numFmtId="166" fontId="10" fillId="0" borderId="0" xfId="0" applyNumberFormat="1" applyFont="1" applyAlignment="1">
      <alignment horizontal="center"/>
    </xf>
    <xf numFmtId="14" fontId="7" fillId="0" borderId="4" xfId="1" applyNumberFormat="1" applyFont="1" applyBorder="1"/>
    <xf numFmtId="0" fontId="2" fillId="0" borderId="0" xfId="0" applyFont="1" applyFill="1" applyBorder="1" applyAlignment="1">
      <alignment horizontal="left" wrapText="1"/>
    </xf>
    <xf numFmtId="165" fontId="1" fillId="0" borderId="0" xfId="1" applyNumberFormat="1" applyAlignment="1">
      <alignment horizontal="center"/>
    </xf>
    <xf numFmtId="165" fontId="1" fillId="0" borderId="2" xfId="1" applyNumberFormat="1" applyBorder="1"/>
    <xf numFmtId="164" fontId="1" fillId="0" borderId="0" xfId="1" applyNumberFormat="1" applyAlignment="1">
      <alignment horizontal="center"/>
    </xf>
    <xf numFmtId="165" fontId="1" fillId="0" borderId="0" xfId="1" applyNumberFormat="1" applyFill="1" applyBorder="1" applyAlignment="1">
      <alignment horizontal="center"/>
    </xf>
    <xf numFmtId="165" fontId="1" fillId="0" borderId="0" xfId="1" applyNumberFormat="1" applyFill="1" applyBorder="1" applyAlignment="1"/>
    <xf numFmtId="165" fontId="1" fillId="0" borderId="0" xfId="1" applyNumberFormat="1" applyBorder="1"/>
    <xf numFmtId="165" fontId="1" fillId="0" borderId="0" xfId="1" applyNumberFormat="1" applyAlignment="1">
      <alignment horizontal="left"/>
    </xf>
    <xf numFmtId="165" fontId="1" fillId="0" borderId="0" xfId="1" applyNumberFormat="1" applyBorder="1" applyAlignment="1">
      <alignment horizontal="center"/>
    </xf>
    <xf numFmtId="165" fontId="2" fillId="0" borderId="14" xfId="1" applyNumberFormat="1" applyFont="1" applyBorder="1" applyAlignment="1">
      <alignment horizontal="centerContinuous"/>
    </xf>
    <xf numFmtId="164" fontId="7" fillId="0" borderId="18" xfId="1" applyNumberFormat="1" applyFont="1" applyBorder="1" applyAlignment="1">
      <alignment horizontal="centerContinuous"/>
    </xf>
    <xf numFmtId="165" fontId="7" fillId="0" borderId="18" xfId="1" applyNumberFormat="1" applyFont="1" applyBorder="1" applyAlignment="1">
      <alignment horizontal="centerContinuous"/>
    </xf>
    <xf numFmtId="165" fontId="7" fillId="0" borderId="40" xfId="1" applyNumberFormat="1" applyFont="1" applyBorder="1" applyAlignment="1">
      <alignment horizontal="centerContinuous"/>
    </xf>
    <xf numFmtId="0" fontId="0" fillId="0" borderId="5" xfId="0" applyFill="1" applyBorder="1"/>
    <xf numFmtId="0" fontId="0" fillId="0" borderId="8" xfId="0" applyBorder="1" applyAlignment="1">
      <alignment horizontal="left"/>
    </xf>
    <xf numFmtId="0" fontId="0" fillId="0" borderId="0" xfId="0" quotePrefix="1"/>
    <xf numFmtId="165" fontId="3" fillId="0" borderId="0" xfId="1" applyNumberFormat="1" applyFont="1" applyFill="1" applyBorder="1" applyAlignment="1">
      <alignment horizontal="center" wrapText="1"/>
    </xf>
    <xf numFmtId="0" fontId="0" fillId="0" borderId="19" xfId="0" applyFill="1" applyBorder="1"/>
    <xf numFmtId="0" fontId="0" fillId="0" borderId="14" xfId="0" applyFill="1" applyBorder="1"/>
    <xf numFmtId="0" fontId="11" fillId="0" borderId="0" xfId="0" applyFont="1" applyAlignment="1">
      <alignment horizontal="centerContinuous"/>
    </xf>
    <xf numFmtId="0" fontId="6" fillId="0" borderId="0" xfId="0" applyFont="1"/>
    <xf numFmtId="0" fontId="9" fillId="0" borderId="0" xfId="0" applyFont="1"/>
    <xf numFmtId="44" fontId="12" fillId="0" borderId="1" xfId="0" applyNumberFormat="1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44" fontId="12" fillId="0" borderId="0" xfId="0" applyNumberFormat="1" applyFont="1" applyAlignment="1">
      <alignment horizontal="center"/>
    </xf>
    <xf numFmtId="44" fontId="13" fillId="0" borderId="0" xfId="0" applyNumberFormat="1" applyFont="1" applyAlignment="1">
      <alignment horizontal="center"/>
    </xf>
    <xf numFmtId="44" fontId="0" fillId="0" borderId="0" xfId="0" applyNumberFormat="1"/>
    <xf numFmtId="165" fontId="3" fillId="0" borderId="0" xfId="1" applyNumberFormat="1" applyFont="1" applyBorder="1" applyAlignment="1">
      <alignment horizontal="center" wrapText="1"/>
    </xf>
    <xf numFmtId="0" fontId="0" fillId="0" borderId="41" xfId="0" applyBorder="1"/>
    <xf numFmtId="44" fontId="0" fillId="0" borderId="0" xfId="2" applyFont="1"/>
    <xf numFmtId="9" fontId="0" fillId="0" borderId="0" xfId="3" applyFont="1"/>
    <xf numFmtId="9" fontId="0" fillId="0" borderId="0" xfId="0" applyNumberFormat="1"/>
    <xf numFmtId="44" fontId="1" fillId="0" borderId="0" xfId="2" applyAlignment="1">
      <alignment horizontal="center"/>
    </xf>
    <xf numFmtId="44" fontId="13" fillId="0" borderId="1" xfId="2" applyFont="1" applyBorder="1"/>
    <xf numFmtId="1" fontId="14" fillId="0" borderId="0" xfId="1" applyNumberFormat="1" applyFont="1" applyAlignment="1">
      <alignment horizontal="center"/>
    </xf>
    <xf numFmtId="9" fontId="2" fillId="0" borderId="0" xfId="3" applyFont="1" applyAlignment="1">
      <alignment horizontal="center"/>
    </xf>
    <xf numFmtId="44" fontId="0" fillId="0" borderId="41" xfId="0" applyNumberFormat="1" applyBorder="1"/>
    <xf numFmtId="0" fontId="3" fillId="2" borderId="0" xfId="0" applyFont="1" applyFill="1"/>
    <xf numFmtId="1" fontId="17" fillId="0" borderId="0" xfId="0" applyNumberFormat="1" applyFont="1" applyFill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left" wrapText="1"/>
    </xf>
    <xf numFmtId="165" fontId="2" fillId="6" borderId="10" xfId="1" applyNumberFormat="1" applyFont="1" applyFill="1" applyBorder="1" applyAlignment="1">
      <alignment horizontal="left" wrapText="1"/>
    </xf>
    <xf numFmtId="165" fontId="3" fillId="0" borderId="2" xfId="1" applyNumberFormat="1" applyFont="1" applyBorder="1" applyAlignment="1">
      <alignment horizontal="center" wrapText="1"/>
    </xf>
    <xf numFmtId="165" fontId="2" fillId="3" borderId="2" xfId="1" applyNumberFormat="1" applyFont="1" applyFill="1" applyBorder="1" applyAlignment="1">
      <alignment horizontal="centerContinuous"/>
    </xf>
    <xf numFmtId="165" fontId="1" fillId="3" borderId="3" xfId="1" applyNumberFormat="1" applyFill="1" applyBorder="1" applyAlignment="1">
      <alignment horizontal="centerContinuous"/>
    </xf>
    <xf numFmtId="165" fontId="1" fillId="3" borderId="4" xfId="1" applyNumberFormat="1" applyFill="1" applyBorder="1" applyAlignment="1">
      <alignment horizontal="centerContinuous"/>
    </xf>
    <xf numFmtId="165" fontId="3" fillId="0" borderId="1" xfId="1" applyNumberFormat="1" applyFont="1" applyBorder="1" applyAlignment="1">
      <alignment horizontal="center" wrapText="1"/>
    </xf>
    <xf numFmtId="0" fontId="3" fillId="0" borderId="2" xfId="0" applyFont="1" applyBorder="1" applyAlignment="1">
      <alignment horizontal="left"/>
    </xf>
    <xf numFmtId="0" fontId="18" fillId="0" borderId="3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7" fillId="3" borderId="5" xfId="0" applyFon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0" borderId="6" xfId="0" applyBorder="1" applyAlignment="1">
      <alignment horizontal="left"/>
    </xf>
    <xf numFmtId="14" fontId="3" fillId="0" borderId="0" xfId="0" applyNumberFormat="1" applyFont="1"/>
    <xf numFmtId="165" fontId="0" fillId="0" borderId="0" xfId="1" applyNumberFormat="1" applyFont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14" fontId="19" fillId="8" borderId="6" xfId="0" applyNumberFormat="1" applyFont="1" applyFill="1" applyBorder="1"/>
    <xf numFmtId="14" fontId="19" fillId="8" borderId="29" xfId="0" applyNumberFormat="1" applyFont="1" applyFill="1" applyBorder="1"/>
    <xf numFmtId="0" fontId="13" fillId="0" borderId="0" xfId="0" applyFont="1"/>
    <xf numFmtId="0" fontId="3" fillId="3" borderId="0" xfId="0" applyFont="1" applyFill="1"/>
    <xf numFmtId="165" fontId="0" fillId="3" borderId="0" xfId="1" applyNumberFormat="1" applyFont="1" applyFill="1" applyAlignment="1">
      <alignment horizontal="center"/>
    </xf>
    <xf numFmtId="165" fontId="0" fillId="3" borderId="0" xfId="1" applyNumberFormat="1" applyFont="1" applyFill="1"/>
    <xf numFmtId="166" fontId="2" fillId="0" borderId="1" xfId="1" applyNumberFormat="1" applyFont="1" applyBorder="1" applyAlignment="1">
      <alignment horizontal="center"/>
    </xf>
    <xf numFmtId="15" fontId="7" fillId="0" borderId="4" xfId="1" applyNumberFormat="1" applyFont="1" applyBorder="1"/>
    <xf numFmtId="0" fontId="0" fillId="0" borderId="42" xfId="0" applyBorder="1" applyAlignment="1">
      <alignment horizontal="center"/>
    </xf>
    <xf numFmtId="165" fontId="1" fillId="0" borderId="42" xfId="1" applyNumberFormat="1" applyBorder="1" applyAlignment="1">
      <alignment horizontal="center"/>
    </xf>
    <xf numFmtId="0" fontId="0" fillId="0" borderId="42" xfId="0" applyBorder="1"/>
    <xf numFmtId="165" fontId="0" fillId="0" borderId="42" xfId="1" applyNumberFormat="1" applyFont="1" applyBorder="1"/>
    <xf numFmtId="167" fontId="0" fillId="0" borderId="41" xfId="2" applyNumberFormat="1" applyFont="1" applyBorder="1"/>
    <xf numFmtId="166" fontId="0" fillId="0" borderId="0" xfId="1" applyNumberFormat="1" applyFont="1" applyAlignment="1">
      <alignment horizontal="center"/>
    </xf>
    <xf numFmtId="166" fontId="0" fillId="2" borderId="0" xfId="1" applyNumberFormat="1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165" fontId="0" fillId="0" borderId="0" xfId="1" applyNumberFormat="1" applyFont="1" applyBorder="1"/>
    <xf numFmtId="165" fontId="0" fillId="0" borderId="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31" xfId="0" applyFont="1" applyBorder="1"/>
    <xf numFmtId="0" fontId="8" fillId="0" borderId="31" xfId="0" applyFont="1" applyBorder="1"/>
    <xf numFmtId="0" fontId="2" fillId="0" borderId="31" xfId="0" applyFont="1" applyBorder="1" applyAlignment="1">
      <alignment horizontal="center"/>
    </xf>
    <xf numFmtId="43" fontId="0" fillId="0" borderId="0" xfId="0" applyNumberFormat="1"/>
    <xf numFmtId="0" fontId="0" fillId="2" borderId="0" xfId="0" applyFill="1" applyAlignment="1">
      <alignment horizontal="center"/>
    </xf>
    <xf numFmtId="0" fontId="0" fillId="0" borderId="43" xfId="0" applyBorder="1"/>
    <xf numFmtId="0" fontId="0" fillId="0" borderId="43" xfId="0" applyBorder="1" applyAlignment="1">
      <alignment horizontal="center"/>
    </xf>
    <xf numFmtId="0" fontId="7" fillId="0" borderId="0" xfId="0" applyFont="1" applyAlignment="1">
      <alignment horizontal="left" indent="1"/>
    </xf>
    <xf numFmtId="0" fontId="7" fillId="0" borderId="0" xfId="0" applyFont="1" applyAlignment="1">
      <alignment horizontal="left" indent="2"/>
    </xf>
    <xf numFmtId="0" fontId="0" fillId="0" borderId="0" xfId="0" applyAlignment="1">
      <alignment horizontal="left" indent="1"/>
    </xf>
    <xf numFmtId="0" fontId="1" fillId="3" borderId="5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4" borderId="15" xfId="0" applyFont="1" applyFill="1" applyBorder="1" applyAlignment="1">
      <alignment horizontal="centerContinuous"/>
    </xf>
    <xf numFmtId="0" fontId="3" fillId="0" borderId="43" xfId="0" applyFont="1" applyBorder="1" applyAlignment="1">
      <alignment horizontal="center"/>
    </xf>
    <xf numFmtId="165" fontId="3" fillId="0" borderId="43" xfId="1" applyNumberFormat="1" applyFont="1" applyBorder="1" applyAlignment="1">
      <alignment horizontal="center"/>
    </xf>
    <xf numFmtId="165" fontId="3" fillId="0" borderId="43" xfId="1" applyNumberFormat="1" applyFont="1" applyBorder="1" applyAlignment="1">
      <alignment horizontal="center" wrapText="1"/>
    </xf>
    <xf numFmtId="0" fontId="3" fillId="0" borderId="43" xfId="0" applyFont="1" applyBorder="1" applyAlignment="1">
      <alignment horizontal="center" wrapText="1"/>
    </xf>
    <xf numFmtId="165" fontId="3" fillId="0" borderId="43" xfId="1" applyNumberFormat="1" applyFont="1" applyFill="1" applyBorder="1" applyAlignment="1">
      <alignment horizontal="center" wrapText="1"/>
    </xf>
    <xf numFmtId="165" fontId="20" fillId="0" borderId="43" xfId="1" applyNumberFormat="1" applyFont="1" applyBorder="1" applyAlignment="1">
      <alignment horizontal="center"/>
    </xf>
    <xf numFmtId="164" fontId="20" fillId="0" borderId="44" xfId="1" applyNumberFormat="1" applyFont="1" applyBorder="1" applyAlignment="1">
      <alignment horizontal="center"/>
    </xf>
    <xf numFmtId="165" fontId="20" fillId="0" borderId="45" xfId="1" applyNumberFormat="1" applyFont="1" applyBorder="1" applyAlignment="1">
      <alignment horizontal="center"/>
    </xf>
    <xf numFmtId="165" fontId="3" fillId="0" borderId="45" xfId="1" applyNumberFormat="1" applyFont="1" applyBorder="1" applyAlignment="1">
      <alignment horizontal="center" wrapText="1"/>
    </xf>
    <xf numFmtId="164" fontId="3" fillId="0" borderId="44" xfId="1" applyNumberFormat="1" applyFont="1" applyBorder="1" applyAlignment="1">
      <alignment horizontal="center"/>
    </xf>
    <xf numFmtId="0" fontId="21" fillId="9" borderId="29" xfId="1" applyNumberFormat="1" applyFont="1" applyFill="1" applyBorder="1" applyAlignment="1">
      <alignment horizontal="center"/>
    </xf>
    <xf numFmtId="165" fontId="22" fillId="9" borderId="29" xfId="1" applyNumberFormat="1" applyFont="1" applyFill="1" applyBorder="1"/>
    <xf numFmtId="165" fontId="20" fillId="0" borderId="43" xfId="1" applyNumberFormat="1" applyFont="1" applyBorder="1" applyAlignment="1"/>
    <xf numFmtId="165" fontId="20" fillId="0" borderId="43" xfId="1" applyNumberFormat="1" applyFont="1" applyFill="1" applyBorder="1" applyAlignment="1"/>
    <xf numFmtId="165" fontId="20" fillId="0" borderId="43" xfId="1" applyNumberFormat="1" applyFont="1" applyBorder="1"/>
    <xf numFmtId="165" fontId="20" fillId="0" borderId="49" xfId="1" applyNumberFormat="1" applyFont="1" applyBorder="1" applyAlignment="1">
      <alignment horizontal="center"/>
    </xf>
    <xf numFmtId="165" fontId="20" fillId="0" borderId="49" xfId="1" applyNumberFormat="1" applyFont="1" applyBorder="1" applyAlignment="1"/>
    <xf numFmtId="164" fontId="20" fillId="0" borderId="50" xfId="1" applyNumberFormat="1" applyFont="1" applyBorder="1" applyAlignment="1">
      <alignment horizontal="center"/>
    </xf>
    <xf numFmtId="165" fontId="20" fillId="0" borderId="51" xfId="1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5" fontId="20" fillId="0" borderId="52" xfId="1" applyNumberFormat="1" applyFont="1" applyBorder="1" applyAlignment="1">
      <alignment horizontal="center"/>
    </xf>
    <xf numFmtId="0" fontId="0" fillId="0" borderId="54" xfId="0" applyBorder="1"/>
    <xf numFmtId="0" fontId="0" fillId="0" borderId="54" xfId="0" applyBorder="1" applyAlignment="1">
      <alignment horizontal="center"/>
    </xf>
    <xf numFmtId="0" fontId="0" fillId="0" borderId="55" xfId="0" applyBorder="1"/>
    <xf numFmtId="0" fontId="0" fillId="0" borderId="55" xfId="0" applyBorder="1" applyAlignment="1">
      <alignment horizontal="center"/>
    </xf>
    <xf numFmtId="166" fontId="0" fillId="0" borderId="55" xfId="0" applyNumberFormat="1" applyBorder="1" applyAlignment="1">
      <alignment horizontal="center"/>
    </xf>
    <xf numFmtId="166" fontId="0" fillId="0" borderId="54" xfId="0" applyNumberFormat="1" applyBorder="1" applyAlignment="1">
      <alignment horizontal="center"/>
    </xf>
    <xf numFmtId="166" fontId="6" fillId="0" borderId="0" xfId="0" applyNumberFormat="1" applyFont="1" applyBorder="1" applyAlignment="1">
      <alignment horizontal="center"/>
    </xf>
    <xf numFmtId="164" fontId="20" fillId="0" borderId="56" xfId="1" applyNumberFormat="1" applyFont="1" applyBorder="1" applyAlignment="1">
      <alignment horizontal="center"/>
    </xf>
    <xf numFmtId="44" fontId="12" fillId="0" borderId="0" xfId="0" applyNumberFormat="1" applyFont="1" applyBorder="1" applyAlignment="1">
      <alignment horizontal="center"/>
    </xf>
    <xf numFmtId="168" fontId="0" fillId="0" borderId="0" xfId="0" applyNumberFormat="1" applyProtection="1"/>
    <xf numFmtId="165" fontId="0" fillId="0" borderId="0" xfId="0" applyNumberFormat="1" applyAlignment="1">
      <alignment horizontal="center"/>
    </xf>
    <xf numFmtId="0" fontId="0" fillId="0" borderId="49" xfId="0" applyBorder="1"/>
    <xf numFmtId="165" fontId="2" fillId="0" borderId="29" xfId="1" quotePrefix="1" applyNumberFormat="1" applyFont="1" applyBorder="1" applyAlignment="1">
      <alignment horizontal="center"/>
    </xf>
    <xf numFmtId="37" fontId="0" fillId="0" borderId="0" xfId="1" applyNumberFormat="1" applyFont="1"/>
    <xf numFmtId="37" fontId="4" fillId="0" borderId="0" xfId="1" applyNumberFormat="1" applyFont="1"/>
    <xf numFmtId="37" fontId="20" fillId="0" borderId="47" xfId="1" applyNumberFormat="1" applyFont="1" applyBorder="1" applyAlignment="1">
      <alignment horizontal="center"/>
    </xf>
    <xf numFmtId="37" fontId="20" fillId="0" borderId="48" xfId="1" applyNumberFormat="1" applyFont="1" applyBorder="1" applyAlignment="1">
      <alignment horizontal="center"/>
    </xf>
    <xf numFmtId="165" fontId="3" fillId="0" borderId="59" xfId="1" applyNumberFormat="1" applyFont="1" applyBorder="1" applyAlignment="1">
      <alignment horizontal="center" wrapText="1"/>
    </xf>
    <xf numFmtId="165" fontId="20" fillId="0" borderId="59" xfId="1" applyNumberFormat="1" applyFont="1" applyBorder="1" applyAlignment="1">
      <alignment horizontal="center"/>
    </xf>
    <xf numFmtId="37" fontId="3" fillId="0" borderId="46" xfId="1" applyNumberFormat="1" applyFont="1" applyBorder="1" applyAlignment="1">
      <alignment horizontal="center" wrapText="1"/>
    </xf>
    <xf numFmtId="165" fontId="20" fillId="0" borderId="60" xfId="1" applyNumberFormat="1" applyFont="1" applyBorder="1" applyAlignment="1">
      <alignment horizontal="center"/>
    </xf>
    <xf numFmtId="165" fontId="20" fillId="0" borderId="61" xfId="1" applyNumberFormat="1" applyFont="1" applyBorder="1" applyAlignment="1">
      <alignment horizontal="center"/>
    </xf>
    <xf numFmtId="165" fontId="20" fillId="0" borderId="62" xfId="1" applyNumberFormat="1" applyFont="1" applyBorder="1" applyAlignment="1">
      <alignment horizontal="center"/>
    </xf>
    <xf numFmtId="165" fontId="20" fillId="0" borderId="63" xfId="1" applyNumberFormat="1" applyFont="1" applyBorder="1" applyAlignment="1">
      <alignment horizontal="center"/>
    </xf>
    <xf numFmtId="1" fontId="1" fillId="0" borderId="0" xfId="1" applyNumberFormat="1"/>
    <xf numFmtId="1" fontId="3" fillId="0" borderId="46" xfId="1" applyNumberFormat="1" applyFont="1" applyBorder="1" applyAlignment="1">
      <alignment horizontal="center" wrapText="1"/>
    </xf>
    <xf numFmtId="1" fontId="20" fillId="0" borderId="57" xfId="1" applyNumberFormat="1" applyFont="1" applyBorder="1" applyAlignment="1">
      <alignment horizontal="center"/>
    </xf>
    <xf numFmtId="1" fontId="20" fillId="0" borderId="47" xfId="1" applyNumberFormat="1" applyFont="1" applyBorder="1" applyAlignment="1">
      <alignment horizontal="center"/>
    </xf>
    <xf numFmtId="1" fontId="20" fillId="0" borderId="48" xfId="1" applyNumberFormat="1" applyFont="1" applyBorder="1" applyAlignment="1">
      <alignment horizontal="center"/>
    </xf>
    <xf numFmtId="1" fontId="20" fillId="0" borderId="58" xfId="1" applyNumberFormat="1" applyFont="1" applyBorder="1" applyAlignment="1">
      <alignment horizontal="center"/>
    </xf>
    <xf numFmtId="0" fontId="16" fillId="7" borderId="0" xfId="0" applyFont="1" applyFill="1" applyBorder="1" applyAlignment="1">
      <alignment horizontal="center"/>
    </xf>
    <xf numFmtId="0" fontId="1" fillId="0" borderId="0" xfId="0" applyFont="1"/>
    <xf numFmtId="166" fontId="0" fillId="0" borderId="0" xfId="0" applyNumberFormat="1" applyAlignment="1">
      <alignment horizontal="center"/>
    </xf>
    <xf numFmtId="0" fontId="0" fillId="0" borderId="52" xfId="0" applyBorder="1"/>
    <xf numFmtId="165" fontId="20" fillId="0" borderId="45" xfId="1" applyNumberFormat="1" applyFont="1" applyFill="1" applyBorder="1" applyAlignment="1">
      <alignment horizontal="center"/>
    </xf>
    <xf numFmtId="165" fontId="20" fillId="0" borderId="53" xfId="1" applyNumberFormat="1" applyFont="1" applyBorder="1" applyAlignment="1">
      <alignment horizontal="center"/>
    </xf>
    <xf numFmtId="165" fontId="20" fillId="0" borderId="52" xfId="1" applyNumberFormat="1" applyFont="1" applyBorder="1" applyAlignment="1"/>
    <xf numFmtId="165" fontId="20" fillId="0" borderId="43" xfId="1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1" fillId="0" borderId="43" xfId="0" applyFont="1" applyBorder="1"/>
    <xf numFmtId="1" fontId="20" fillId="0" borderId="43" xfId="1" applyNumberFormat="1" applyFont="1" applyBorder="1" applyAlignment="1">
      <alignment horizontal="center"/>
    </xf>
    <xf numFmtId="1" fontId="7" fillId="0" borderId="43" xfId="1" applyNumberFormat="1" applyFont="1" applyBorder="1" applyAlignment="1">
      <alignment horizontal="center"/>
    </xf>
    <xf numFmtId="0" fontId="7" fillId="0" borderId="43" xfId="0" applyFont="1" applyBorder="1"/>
    <xf numFmtId="166" fontId="0" fillId="0" borderId="54" xfId="1" applyNumberFormat="1" applyFont="1" applyBorder="1" applyAlignment="1">
      <alignment horizontal="center"/>
    </xf>
    <xf numFmtId="0" fontId="1" fillId="0" borderId="0" xfId="1" applyNumberFormat="1"/>
    <xf numFmtId="0" fontId="1" fillId="0" borderId="43" xfId="0" applyFont="1" applyBorder="1" applyAlignment="1">
      <alignment horizontal="center"/>
    </xf>
    <xf numFmtId="37" fontId="20" fillId="0" borderId="64" xfId="1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" fontId="20" fillId="0" borderId="49" xfId="1" applyNumberFormat="1" applyFont="1" applyBorder="1" applyAlignment="1">
      <alignment horizontal="center"/>
    </xf>
    <xf numFmtId="1" fontId="7" fillId="0" borderId="52" xfId="1" applyNumberFormat="1" applyFont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48"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35</xdr:row>
      <xdr:rowOff>85725</xdr:rowOff>
    </xdr:from>
    <xdr:to>
      <xdr:col>2</xdr:col>
      <xdr:colOff>561975</xdr:colOff>
      <xdr:row>42</xdr:row>
      <xdr:rowOff>85725</xdr:rowOff>
    </xdr:to>
    <xdr:sp macro="" textlink="">
      <xdr:nvSpPr>
        <xdr:cNvPr id="1027" name="Picture 1" hidden="1"/>
        <xdr:cNvSpPr>
          <a:spLocks noChangeArrowheads="1"/>
        </xdr:cNvSpPr>
      </xdr:nvSpPr>
      <xdr:spPr bwMode="auto">
        <a:xfrm>
          <a:off x="190500" y="6191250"/>
          <a:ext cx="981075" cy="1371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85725</xdr:rowOff>
    </xdr:from>
    <xdr:to>
      <xdr:col>8</xdr:col>
      <xdr:colOff>257175</xdr:colOff>
      <xdr:row>42</xdr:row>
      <xdr:rowOff>85725</xdr:rowOff>
    </xdr:to>
    <xdr:sp macro="" textlink="">
      <xdr:nvSpPr>
        <xdr:cNvPr id="1028" name="Picture 2" hidden="1"/>
        <xdr:cNvSpPr>
          <a:spLocks noChangeArrowheads="1"/>
        </xdr:cNvSpPr>
      </xdr:nvSpPr>
      <xdr:spPr bwMode="auto">
        <a:xfrm>
          <a:off x="4410075" y="6191250"/>
          <a:ext cx="981075" cy="1371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35</xdr:row>
      <xdr:rowOff>85725</xdr:rowOff>
    </xdr:from>
    <xdr:to>
      <xdr:col>2</xdr:col>
      <xdr:colOff>561975</xdr:colOff>
      <xdr:row>42</xdr:row>
      <xdr:rowOff>85725</xdr:rowOff>
    </xdr:to>
    <xdr:sp macro="" textlink="">
      <xdr:nvSpPr>
        <xdr:cNvPr id="1029" name="Picture 1" hidden="1"/>
        <xdr:cNvSpPr>
          <a:spLocks noChangeArrowheads="1"/>
        </xdr:cNvSpPr>
      </xdr:nvSpPr>
      <xdr:spPr bwMode="auto">
        <a:xfrm>
          <a:off x="190500" y="6191250"/>
          <a:ext cx="981075" cy="1371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85725</xdr:rowOff>
    </xdr:from>
    <xdr:to>
      <xdr:col>8</xdr:col>
      <xdr:colOff>257175</xdr:colOff>
      <xdr:row>42</xdr:row>
      <xdr:rowOff>85725</xdr:rowOff>
    </xdr:to>
    <xdr:sp macro="" textlink="">
      <xdr:nvSpPr>
        <xdr:cNvPr id="1030" name="Picture 2" hidden="1"/>
        <xdr:cNvSpPr>
          <a:spLocks noChangeArrowheads="1"/>
        </xdr:cNvSpPr>
      </xdr:nvSpPr>
      <xdr:spPr bwMode="auto">
        <a:xfrm>
          <a:off x="4410075" y="6191250"/>
          <a:ext cx="981075" cy="1371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85725</xdr:rowOff>
        </xdr:from>
        <xdr:to>
          <xdr:col>2</xdr:col>
          <xdr:colOff>561975</xdr:colOff>
          <xdr:row>42</xdr:row>
          <xdr:rowOff>85725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23813</xdr:colOff>
          <xdr:row>35</xdr:row>
          <xdr:rowOff>85725</xdr:rowOff>
        </xdr:from>
        <xdr:to>
          <xdr:col>8</xdr:col>
          <xdr:colOff>257175</xdr:colOff>
          <xdr:row>42</xdr:row>
          <xdr:rowOff>85725</xdr:rowOff>
        </xdr:to>
        <xdr:sp macro="" textlink="">
          <xdr:nvSpPr>
            <xdr:cNvPr id="1026" name="Picture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6"/>
  <sheetViews>
    <sheetView tabSelected="1" zoomScale="90" zoomScaleNormal="90" workbookViewId="0"/>
  </sheetViews>
  <sheetFormatPr defaultRowHeight="12.75" x14ac:dyDescent="0.35"/>
  <cols>
    <col min="1" max="1" width="2.46484375" customWidth="1"/>
    <col min="5" max="5" width="18.1328125" customWidth="1"/>
    <col min="9" max="9" width="14.53125" customWidth="1"/>
  </cols>
  <sheetData>
    <row r="1" spans="1:5" ht="13.15" x14ac:dyDescent="0.4">
      <c r="A1" s="1" t="s">
        <v>124</v>
      </c>
    </row>
    <row r="4" spans="1:5" ht="13.15" thickBot="1" x14ac:dyDescent="0.4"/>
    <row r="5" spans="1:5" ht="13.15" x14ac:dyDescent="0.4">
      <c r="A5" s="207" t="s">
        <v>126</v>
      </c>
      <c r="B5" s="208"/>
      <c r="C5" s="208"/>
      <c r="D5" s="6"/>
      <c r="E5" s="7"/>
    </row>
    <row r="6" spans="1:5" ht="13.15" x14ac:dyDescent="0.4">
      <c r="A6" s="46" t="s">
        <v>125</v>
      </c>
      <c r="B6" s="9"/>
      <c r="C6" s="9"/>
      <c r="D6" s="9"/>
      <c r="E6" s="209">
        <v>42648</v>
      </c>
    </row>
    <row r="7" spans="1:5" x14ac:dyDescent="0.35">
      <c r="A7" s="46"/>
      <c r="B7" s="9"/>
      <c r="C7" s="9"/>
      <c r="D7" s="9"/>
      <c r="E7" s="10"/>
    </row>
    <row r="8" spans="1:5" ht="13.5" thickBot="1" x14ac:dyDescent="0.45">
      <c r="A8" s="142" t="s">
        <v>141</v>
      </c>
      <c r="B8" s="12"/>
      <c r="C8" s="12"/>
      <c r="D8" s="12"/>
      <c r="E8" s="210" t="s">
        <v>309</v>
      </c>
    </row>
    <row r="12" spans="1:5" ht="13.15" x14ac:dyDescent="0.4">
      <c r="A12" s="1" t="s">
        <v>127</v>
      </c>
      <c r="B12" s="1"/>
      <c r="C12" s="1"/>
    </row>
    <row r="13" spans="1:5" x14ac:dyDescent="0.35">
      <c r="A13">
        <v>1</v>
      </c>
      <c r="B13" t="s">
        <v>128</v>
      </c>
    </row>
    <row r="15" spans="1:5" x14ac:dyDescent="0.35">
      <c r="A15">
        <v>2</v>
      </c>
      <c r="B15" t="s">
        <v>129</v>
      </c>
    </row>
    <row r="17" spans="1:2" x14ac:dyDescent="0.35">
      <c r="A17">
        <v>3</v>
      </c>
      <c r="B17" t="s">
        <v>190</v>
      </c>
    </row>
    <row r="18" spans="1:2" x14ac:dyDescent="0.35">
      <c r="B18" t="s">
        <v>151</v>
      </c>
    </row>
    <row r="19" spans="1:2" x14ac:dyDescent="0.35">
      <c r="B19" t="s">
        <v>171</v>
      </c>
    </row>
    <row r="20" spans="1:2" x14ac:dyDescent="0.35">
      <c r="B20" t="s">
        <v>172</v>
      </c>
    </row>
    <row r="21" spans="1:2" x14ac:dyDescent="0.35">
      <c r="A21">
        <v>3</v>
      </c>
      <c r="B21" t="s">
        <v>330</v>
      </c>
    </row>
    <row r="22" spans="1:2" x14ac:dyDescent="0.35">
      <c r="B22" t="s">
        <v>332</v>
      </c>
    </row>
    <row r="23" spans="1:2" x14ac:dyDescent="0.35">
      <c r="B23" t="s">
        <v>333</v>
      </c>
    </row>
    <row r="25" spans="1:2" x14ac:dyDescent="0.35">
      <c r="A25">
        <v>4</v>
      </c>
      <c r="B25" t="s">
        <v>130</v>
      </c>
    </row>
    <row r="27" spans="1:2" x14ac:dyDescent="0.35">
      <c r="A27">
        <v>5</v>
      </c>
      <c r="B27" t="s">
        <v>186</v>
      </c>
    </row>
    <row r="28" spans="1:2" x14ac:dyDescent="0.35">
      <c r="B28" t="s">
        <v>187</v>
      </c>
    </row>
    <row r="29" spans="1:2" x14ac:dyDescent="0.35">
      <c r="B29" t="s">
        <v>188</v>
      </c>
    </row>
    <row r="31" spans="1:2" x14ac:dyDescent="0.35">
      <c r="A31">
        <v>6</v>
      </c>
      <c r="B31" t="s">
        <v>162</v>
      </c>
    </row>
    <row r="33" spans="1:2" x14ac:dyDescent="0.35">
      <c r="A33">
        <v>7</v>
      </c>
      <c r="B33" t="s">
        <v>189</v>
      </c>
    </row>
    <row r="35" spans="1:2" ht="13.15" x14ac:dyDescent="0.4">
      <c r="A35" s="1" t="s">
        <v>131</v>
      </c>
    </row>
    <row r="36" spans="1:2" x14ac:dyDescent="0.35">
      <c r="B36" t="s">
        <v>132</v>
      </c>
    </row>
    <row r="37" spans="1:2" x14ac:dyDescent="0.35">
      <c r="B37" t="s">
        <v>133</v>
      </c>
    </row>
    <row r="38" spans="1:2" x14ac:dyDescent="0.35">
      <c r="B38" t="s">
        <v>134</v>
      </c>
    </row>
    <row r="39" spans="1:2" x14ac:dyDescent="0.35">
      <c r="B39" t="s">
        <v>135</v>
      </c>
    </row>
    <row r="40" spans="1:2" x14ac:dyDescent="0.35">
      <c r="B40" t="s">
        <v>136</v>
      </c>
    </row>
    <row r="42" spans="1:2" ht="13.15" x14ac:dyDescent="0.4">
      <c r="A42" s="1" t="s">
        <v>143</v>
      </c>
    </row>
    <row r="43" spans="1:2" x14ac:dyDescent="0.35">
      <c r="A43">
        <v>1</v>
      </c>
      <c r="B43" t="s">
        <v>149</v>
      </c>
    </row>
    <row r="44" spans="1:2" x14ac:dyDescent="0.35">
      <c r="A44">
        <v>2</v>
      </c>
      <c r="B44" t="s">
        <v>144</v>
      </c>
    </row>
    <row r="45" spans="1:2" x14ac:dyDescent="0.35">
      <c r="B45" t="s">
        <v>148</v>
      </c>
    </row>
    <row r="46" spans="1:2" x14ac:dyDescent="0.35">
      <c r="A46">
        <v>3</v>
      </c>
      <c r="B46" t="s">
        <v>145</v>
      </c>
    </row>
    <row r="47" spans="1:2" x14ac:dyDescent="0.35">
      <c r="B47" t="s">
        <v>148</v>
      </c>
    </row>
    <row r="48" spans="1:2" x14ac:dyDescent="0.35">
      <c r="A48">
        <v>4</v>
      </c>
      <c r="B48" t="s">
        <v>147</v>
      </c>
    </row>
    <row r="49" spans="1:2" x14ac:dyDescent="0.35">
      <c r="A49">
        <v>5</v>
      </c>
      <c r="B49" t="s">
        <v>146</v>
      </c>
    </row>
    <row r="50" spans="1:2" x14ac:dyDescent="0.35">
      <c r="A50">
        <v>6</v>
      </c>
      <c r="B50" t="s">
        <v>331</v>
      </c>
    </row>
    <row r="52" spans="1:2" ht="13.15" x14ac:dyDescent="0.4">
      <c r="A52" s="1" t="s">
        <v>137</v>
      </c>
    </row>
    <row r="53" spans="1:2" x14ac:dyDescent="0.35">
      <c r="B53" t="s">
        <v>183</v>
      </c>
    </row>
    <row r="54" spans="1:2" x14ac:dyDescent="0.35">
      <c r="B54" t="s">
        <v>138</v>
      </c>
    </row>
    <row r="55" spans="1:2" x14ac:dyDescent="0.35">
      <c r="B55" t="s">
        <v>139</v>
      </c>
    </row>
    <row r="56" spans="1:2" x14ac:dyDescent="0.35">
      <c r="B56" t="s">
        <v>140</v>
      </c>
    </row>
  </sheetData>
  <phoneticPr fontId="15" type="noConversion"/>
  <pageMargins left="0.75" right="0.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85"/>
  <sheetViews>
    <sheetView showGridLines="0" zoomScale="90" zoomScaleNormal="90" workbookViewId="0">
      <selection activeCell="J2" sqref="J2"/>
    </sheetView>
  </sheetViews>
  <sheetFormatPr defaultRowHeight="12.75" x14ac:dyDescent="0.35"/>
  <cols>
    <col min="1" max="1" width="12.53125" customWidth="1"/>
    <col min="2" max="2" width="10.1328125" bestFit="1" customWidth="1"/>
    <col min="3" max="4" width="9.1328125" style="101"/>
    <col min="5" max="5" width="9.1328125" style="23"/>
    <col min="6" max="6" width="9.1328125" style="276"/>
    <col min="7" max="8" width="9.1328125" style="101"/>
    <col min="9" max="9" width="9.1328125" style="13"/>
    <col min="10" max="10" width="10.33203125" style="13" bestFit="1" customWidth="1"/>
    <col min="11" max="11" width="9.1328125" style="13"/>
    <col min="12" max="12" width="10.86328125" customWidth="1"/>
    <col min="13" max="13" width="12.1328125" style="28" hidden="1" customWidth="1"/>
    <col min="14" max="14" width="16" customWidth="1"/>
  </cols>
  <sheetData>
    <row r="1" spans="1:16" ht="13.15" x14ac:dyDescent="0.4">
      <c r="A1" s="1" t="s">
        <v>0</v>
      </c>
      <c r="I1" s="104"/>
      <c r="J1" s="109">
        <f>HLOOKUP($J$2,dummy!Week,2)</f>
        <v>42802</v>
      </c>
    </row>
    <row r="2" spans="1:16" ht="15.4" thickBot="1" x14ac:dyDescent="0.45">
      <c r="A2" s="205" t="str">
        <f>+Instructions!E8</f>
        <v>2016/2017 Season</v>
      </c>
      <c r="I2" s="105" t="s">
        <v>169</v>
      </c>
      <c r="J2" s="252">
        <v>20</v>
      </c>
    </row>
    <row r="3" spans="1:16" ht="13.15" x14ac:dyDescent="0.4">
      <c r="A3" s="1" t="s">
        <v>36</v>
      </c>
    </row>
    <row r="5" spans="1:16" ht="13.15" x14ac:dyDescent="0.4">
      <c r="A5" s="1" t="s">
        <v>110</v>
      </c>
      <c r="B5" s="272">
        <f>+Instructions!E6</f>
        <v>42648</v>
      </c>
      <c r="N5" s="13"/>
    </row>
    <row r="6" spans="1:16" ht="13.15" thickBot="1" x14ac:dyDescent="0.4"/>
    <row r="7" spans="1:16" ht="39.4" x14ac:dyDescent="0.4">
      <c r="A7" s="242" t="s">
        <v>2</v>
      </c>
      <c r="B7" s="242" t="s">
        <v>3</v>
      </c>
      <c r="C7" s="243" t="s">
        <v>39</v>
      </c>
      <c r="D7" s="243" t="s">
        <v>165</v>
      </c>
      <c r="E7" s="251" t="s">
        <v>166</v>
      </c>
      <c r="F7" s="282" t="s">
        <v>235</v>
      </c>
      <c r="G7" s="280" t="s">
        <v>237</v>
      </c>
      <c r="H7" s="250" t="s">
        <v>44</v>
      </c>
      <c r="I7" s="244" t="s">
        <v>238</v>
      </c>
      <c r="J7" s="244" t="s">
        <v>46</v>
      </c>
      <c r="K7" s="244" t="s">
        <v>236</v>
      </c>
      <c r="L7" s="245" t="s">
        <v>239</v>
      </c>
      <c r="M7" s="246" t="s">
        <v>82</v>
      </c>
    </row>
    <row r="8" spans="1:16" x14ac:dyDescent="0.35">
      <c r="A8" s="234" t="s">
        <v>158</v>
      </c>
      <c r="B8" s="235">
        <v>3</v>
      </c>
      <c r="C8" s="247">
        <f>HLOOKUP($J$2,Albanese!Week,C$83)</f>
        <v>4856</v>
      </c>
      <c r="D8" s="247">
        <f>HLOOKUP($J$2,Albanese!Week,D$83)</f>
        <v>33</v>
      </c>
      <c r="E8" s="248">
        <f>HLOOKUP($J$2,Albanese!Week,E$83)</f>
        <v>147.15151515151516</v>
      </c>
      <c r="F8" s="278">
        <f>IF(OR(D8&gt;3,L8="n/a"),G8,L8)</f>
        <v>48</v>
      </c>
      <c r="G8" s="281">
        <f>HLOOKUP($J$2,Albanese!Week,G$83)</f>
        <v>48</v>
      </c>
      <c r="H8" s="249">
        <f>HLOOKUP($J$2,Albanese!Week,H$83)</f>
        <v>0</v>
      </c>
      <c r="I8" s="247">
        <f>HLOOKUP($J$2,Albanese!Week,I$83)</f>
        <v>48</v>
      </c>
      <c r="J8" s="247">
        <f>HLOOKUP($J$2,Albanese!Week,J$83)</f>
        <v>0</v>
      </c>
      <c r="K8" s="247">
        <f>HLOOKUP($J$2,Albanese!Week,K$83)</f>
        <v>144</v>
      </c>
      <c r="L8" s="235">
        <f>+'final handicap'!D8</f>
        <v>47</v>
      </c>
      <c r="M8" s="235">
        <f>Albanese!Y$24</f>
        <v>0</v>
      </c>
      <c r="N8" s="87"/>
      <c r="O8" s="206"/>
      <c r="P8" s="107"/>
    </row>
    <row r="9" spans="1:16" x14ac:dyDescent="0.35">
      <c r="A9" s="234" t="s">
        <v>180</v>
      </c>
      <c r="B9" s="235">
        <v>1</v>
      </c>
      <c r="C9" s="247">
        <f>HLOOKUP($J$2,Albergo!Week,C$83)</f>
        <v>4163</v>
      </c>
      <c r="D9" s="247">
        <f>HLOOKUP($J$2,Albergo!Week,D$83)</f>
        <v>28</v>
      </c>
      <c r="E9" s="248">
        <f>HLOOKUP($J$2,Albergo!Week,E$83)</f>
        <v>148.67857142857142</v>
      </c>
      <c r="F9" s="278">
        <f t="shared" ref="F9:F75" si="0">IF(OR(D9&gt;3,L9="n/a"),G9,L9)</f>
        <v>46</v>
      </c>
      <c r="G9" s="281">
        <f>HLOOKUP($J$2,Albergo!Week,G$83)</f>
        <v>46</v>
      </c>
      <c r="H9" s="249">
        <f>HLOOKUP($J$2,Albergo!Week,H$83)</f>
        <v>0</v>
      </c>
      <c r="I9" s="247">
        <f>HLOOKUP($J$2,Albergo!Week,I$83)</f>
        <v>46</v>
      </c>
      <c r="J9" s="247">
        <f>HLOOKUP($J$2,Albergo!Week,J$83)</f>
        <v>0</v>
      </c>
      <c r="K9" s="247">
        <f>HLOOKUP($J$2,Albergo!Week,K$83)</f>
        <v>138</v>
      </c>
      <c r="L9" s="235">
        <f>+'final handicap'!D9</f>
        <v>48</v>
      </c>
      <c r="M9" s="235">
        <f>Albergo!Y$24</f>
        <v>0</v>
      </c>
      <c r="N9" s="87"/>
      <c r="O9" s="206"/>
      <c r="P9" s="107"/>
    </row>
    <row r="10" spans="1:16" x14ac:dyDescent="0.35">
      <c r="A10" s="234" t="s">
        <v>268</v>
      </c>
      <c r="B10" s="235">
        <v>4</v>
      </c>
      <c r="C10" s="247">
        <f>HLOOKUP($J$2,Barbarisi!Week,C$83)</f>
        <v>3454</v>
      </c>
      <c r="D10" s="247">
        <f>HLOOKUP($J$2,Barbarisi!Week,D$83)</f>
        <v>26</v>
      </c>
      <c r="E10" s="248">
        <f>HLOOKUP($J$2,Barbarisi!Week,E$83)</f>
        <v>132.84615384615384</v>
      </c>
      <c r="F10" s="278">
        <f t="shared" ref="F10" si="1">IF(OR(D10&gt;3,L10="n/a"),G10,L10)</f>
        <v>60</v>
      </c>
      <c r="G10" s="281">
        <f>HLOOKUP($J$2,Barbarisi!Week,G$83)</f>
        <v>60</v>
      </c>
      <c r="H10" s="249">
        <f>HLOOKUP($J$2,Barbarisi!Week,H$83)</f>
        <v>0</v>
      </c>
      <c r="I10" s="247">
        <f>HLOOKUP($J$2,Barbarisi!Week,I$83)</f>
        <v>60</v>
      </c>
      <c r="J10" s="247">
        <f>HLOOKUP($J$2,Barbarisi!Week,J$83)</f>
        <v>0</v>
      </c>
      <c r="K10" s="247">
        <f>HLOOKUP($J$2,Barbarisi!Week,K$83)</f>
        <v>180</v>
      </c>
      <c r="L10" s="235">
        <f>+'final handicap'!D10</f>
        <v>65</v>
      </c>
      <c r="M10" s="235">
        <f>Barbarisi!Y$24</f>
        <v>0</v>
      </c>
      <c r="N10" s="87"/>
      <c r="O10" s="206"/>
      <c r="P10" s="107"/>
    </row>
    <row r="11" spans="1:16" x14ac:dyDescent="0.35">
      <c r="A11" s="234" t="s">
        <v>206</v>
      </c>
      <c r="B11" s="235">
        <v>4</v>
      </c>
      <c r="C11" s="247">
        <f>HLOOKUP($J$2,Barnett!Week,C$83)</f>
        <v>1509</v>
      </c>
      <c r="D11" s="247">
        <f>HLOOKUP($J$2,Barnett!Week,D$83)</f>
        <v>11</v>
      </c>
      <c r="E11" s="248">
        <f>HLOOKUP($J$2,Barnett!Week,E$83)</f>
        <v>137.18181818181819</v>
      </c>
      <c r="F11" s="278">
        <f t="shared" si="0"/>
        <v>57</v>
      </c>
      <c r="G11" s="281">
        <f>HLOOKUP($J$2,Barnett!Week,G$83)</f>
        <v>57</v>
      </c>
      <c r="H11" s="249">
        <f>HLOOKUP($J$2,Barnett!Week,H$83)</f>
        <v>0</v>
      </c>
      <c r="I11" s="247">
        <f>HLOOKUP($J$2,Barnett!Week,I$83)</f>
        <v>57</v>
      </c>
      <c r="J11" s="247">
        <f>HLOOKUP($J$2,Barnett!Week,J$83)</f>
        <v>0</v>
      </c>
      <c r="K11" s="247">
        <f>HLOOKUP($J$2,Barnett!Week,K$83)</f>
        <v>171</v>
      </c>
      <c r="L11" s="235">
        <f>+'final handicap'!D11</f>
        <v>61</v>
      </c>
      <c r="M11" s="235">
        <f>Barnett!Y$24</f>
        <v>0</v>
      </c>
      <c r="N11" s="87"/>
      <c r="O11" s="206"/>
      <c r="P11" s="107"/>
    </row>
    <row r="12" spans="1:16" x14ac:dyDescent="0.35">
      <c r="A12" s="234" t="s">
        <v>23</v>
      </c>
      <c r="B12" s="235">
        <v>3</v>
      </c>
      <c r="C12" s="247">
        <f>HLOOKUP($J$2,Belyea!Week,C$83)</f>
        <v>3571</v>
      </c>
      <c r="D12" s="247">
        <f>HLOOKUP($J$2,Belyea!Week,D$83)</f>
        <v>26</v>
      </c>
      <c r="E12" s="248">
        <f>HLOOKUP($J$2,Belyea!Week,E$83)</f>
        <v>137.34615384615384</v>
      </c>
      <c r="F12" s="278">
        <f t="shared" si="0"/>
        <v>56</v>
      </c>
      <c r="G12" s="281">
        <f>HLOOKUP($J$2,Belyea!Week,G$83)</f>
        <v>56</v>
      </c>
      <c r="H12" s="249">
        <f>HLOOKUP($J$2,Belyea!Week,H$83)</f>
        <v>0</v>
      </c>
      <c r="I12" s="247">
        <f>HLOOKUP($J$2,Belyea!Week,I$83)</f>
        <v>56</v>
      </c>
      <c r="J12" s="247">
        <f>HLOOKUP($J$2,Belyea!Week,J$83)</f>
        <v>0</v>
      </c>
      <c r="K12" s="247">
        <f>HLOOKUP($J$2,Belyea!Week,K$83)</f>
        <v>168</v>
      </c>
      <c r="L12" s="235">
        <f>+'final handicap'!D12</f>
        <v>59</v>
      </c>
      <c r="M12" s="235">
        <f>Belyea!Y$24</f>
        <v>0</v>
      </c>
      <c r="N12" s="87"/>
      <c r="O12" s="206"/>
      <c r="P12" s="107"/>
    </row>
    <row r="13" spans="1:16" x14ac:dyDescent="0.35">
      <c r="A13" s="234" t="s">
        <v>230</v>
      </c>
      <c r="B13" s="235">
        <v>2</v>
      </c>
      <c r="C13" s="247">
        <f>HLOOKUP($J$2,Bigelsen!Week,C$83)</f>
        <v>1970</v>
      </c>
      <c r="D13" s="247">
        <f>HLOOKUP($J$2,Bigelsen!Week,D$83)</f>
        <v>16</v>
      </c>
      <c r="E13" s="248">
        <f>HLOOKUP($J$2,Bigelsen!Week,E$83)</f>
        <v>123.125</v>
      </c>
      <c r="F13" s="278">
        <f t="shared" si="0"/>
        <v>69</v>
      </c>
      <c r="G13" s="281">
        <f>HLOOKUP($J$2,Bigelsen!Week,G$83)</f>
        <v>69</v>
      </c>
      <c r="H13" s="249">
        <f>HLOOKUP($J$2,Bigelsen!Week,H$83)</f>
        <v>0</v>
      </c>
      <c r="I13" s="247">
        <f>HLOOKUP($J$2,Bigelsen!Week,I$83)</f>
        <v>69</v>
      </c>
      <c r="J13" s="247">
        <f>HLOOKUP($J$2,Bigelsen!Week,J$83)</f>
        <v>0</v>
      </c>
      <c r="K13" s="247">
        <f>HLOOKUP($J$2,Bigelsen!Week,K$83)</f>
        <v>207</v>
      </c>
      <c r="L13" s="235">
        <f>+'final handicap'!D13</f>
        <v>67</v>
      </c>
      <c r="M13" s="235">
        <f>Bigelsen!Y$24</f>
        <v>0</v>
      </c>
      <c r="O13" s="206"/>
      <c r="P13" s="107"/>
    </row>
    <row r="14" spans="1:16" x14ac:dyDescent="0.35">
      <c r="A14" s="234" t="s">
        <v>240</v>
      </c>
      <c r="B14" s="235">
        <v>2</v>
      </c>
      <c r="C14" s="247">
        <f>HLOOKUP($J$2,Breslauer!Week,C$83)</f>
        <v>0</v>
      </c>
      <c r="D14" s="247">
        <f>HLOOKUP($J$2,Breslauer!Week,D$83)</f>
        <v>0</v>
      </c>
      <c r="E14" s="248" t="e">
        <f>HLOOKUP($J$2,Breslauer!Week,E$83)</f>
        <v>#DIV/0!</v>
      </c>
      <c r="F14" s="278">
        <f>IF(OR(D14&gt;3,L14="n/a"),G14,L14)</f>
        <v>66</v>
      </c>
      <c r="G14" s="281" t="e">
        <f>HLOOKUP($J$2,Breslauer!Week,G$83)</f>
        <v>#DIV/0!</v>
      </c>
      <c r="H14" s="249">
        <f>HLOOKUP($J$2,Breslauer!Week,H$83)</f>
        <v>0</v>
      </c>
      <c r="I14" s="247">
        <f>HLOOKUP($J$2,Breslauer!Week,I$83)</f>
        <v>66</v>
      </c>
      <c r="J14" s="247">
        <f>HLOOKUP($J$2,Breslauer!Week,J$83)</f>
        <v>0</v>
      </c>
      <c r="K14" s="247">
        <f>HLOOKUP($J$2,Breslauer!Week,K$83)</f>
        <v>198</v>
      </c>
      <c r="L14" s="235">
        <f>+'final handicap'!D14</f>
        <v>66</v>
      </c>
      <c r="M14" s="235">
        <f>Breslauer!Y$24</f>
        <v>0</v>
      </c>
      <c r="O14" s="206"/>
      <c r="P14" s="107"/>
    </row>
    <row r="15" spans="1:16" x14ac:dyDescent="0.35">
      <c r="A15" s="234" t="s">
        <v>27</v>
      </c>
      <c r="B15" s="235">
        <v>3</v>
      </c>
      <c r="C15" s="247">
        <f>HLOOKUP($J$2,Brylawski!Week,C$83)</f>
        <v>6038</v>
      </c>
      <c r="D15" s="247">
        <f>HLOOKUP($J$2,Brylawski!Week,D$83)</f>
        <v>45</v>
      </c>
      <c r="E15" s="248">
        <f>HLOOKUP($J$2,Brylawski!Week,E$83)</f>
        <v>134.17777777777778</v>
      </c>
      <c r="F15" s="278">
        <f t="shared" si="0"/>
        <v>59</v>
      </c>
      <c r="G15" s="281">
        <f>HLOOKUP($J$2,Brylawski!Week,G$83)</f>
        <v>59</v>
      </c>
      <c r="H15" s="249">
        <f>HLOOKUP($J$2,Brylawski!Week,H$83)</f>
        <v>122</v>
      </c>
      <c r="I15" s="247">
        <f>HLOOKUP($J$2,Brylawski!Week,I$83)</f>
        <v>180</v>
      </c>
      <c r="J15" s="247">
        <f>HLOOKUP($J$2,Brylawski!Week,J$83)</f>
        <v>342</v>
      </c>
      <c r="K15" s="247">
        <f>HLOOKUP($J$2,Brylawski!Week,K$83)</f>
        <v>516</v>
      </c>
      <c r="L15" s="235">
        <f>+'final handicap'!D15</f>
        <v>67</v>
      </c>
      <c r="M15" s="235">
        <f>Brylawski!Y$24</f>
        <v>0</v>
      </c>
      <c r="O15" s="206"/>
      <c r="P15" s="107"/>
    </row>
    <row r="16" spans="1:16" x14ac:dyDescent="0.35">
      <c r="A16" s="234" t="s">
        <v>276</v>
      </c>
      <c r="B16" s="235">
        <v>2</v>
      </c>
      <c r="C16" s="247">
        <f>HLOOKUP($J$2,Campanaro!Week,C$83)</f>
        <v>843</v>
      </c>
      <c r="D16" s="247">
        <f>HLOOKUP($J$2,Campanaro!Week,D$83)</f>
        <v>7</v>
      </c>
      <c r="E16" s="248">
        <f>HLOOKUP($J$2,Campanaro!Week,E$83)</f>
        <v>120.42857142857143</v>
      </c>
      <c r="F16" s="278">
        <f t="shared" ref="F16" si="2">IF(OR(D16&gt;3,L16="n/a"),G16,L16)</f>
        <v>72</v>
      </c>
      <c r="G16" s="281">
        <f>HLOOKUP($J$2,Campanaro!Week,G$83)</f>
        <v>72</v>
      </c>
      <c r="H16" s="249">
        <f>HLOOKUP($J$2,Campanaro!Week,H$83)</f>
        <v>127</v>
      </c>
      <c r="I16" s="247">
        <f>HLOOKUP($J$2,Campanaro!Week,I$83)</f>
        <v>195</v>
      </c>
      <c r="J16" s="247">
        <f>HLOOKUP($J$2,Campanaro!Week,J$83)</f>
        <v>347</v>
      </c>
      <c r="K16" s="247">
        <f>HLOOKUP($J$2,Campanaro!Week,K$83)</f>
        <v>551</v>
      </c>
      <c r="L16" s="235">
        <f>+'final handicap'!D16</f>
        <v>66</v>
      </c>
      <c r="M16" s="235">
        <f>Campanaro!Y$24</f>
        <v>0</v>
      </c>
      <c r="O16" s="206"/>
      <c r="P16" s="107"/>
    </row>
    <row r="17" spans="1:16" x14ac:dyDescent="0.35">
      <c r="A17" s="234" t="s">
        <v>150</v>
      </c>
      <c r="B17" s="235">
        <v>1</v>
      </c>
      <c r="C17" s="247">
        <f>HLOOKUP($J$2,Cassidy!Week,C$83)</f>
        <v>3911</v>
      </c>
      <c r="D17" s="247">
        <f>HLOOKUP($J$2,Cassidy!Week,D$83)</f>
        <v>28</v>
      </c>
      <c r="E17" s="248">
        <f>HLOOKUP($J$2,Cassidy!Week,E$83)</f>
        <v>139.67857142857142</v>
      </c>
      <c r="F17" s="278">
        <f t="shared" si="0"/>
        <v>54</v>
      </c>
      <c r="G17" s="281">
        <f>HLOOKUP($J$2,Cassidy!Week,G$83)</f>
        <v>54</v>
      </c>
      <c r="H17" s="249">
        <f>HLOOKUP($J$2,Cassidy!Week,H$83)</f>
        <v>179</v>
      </c>
      <c r="I17" s="247">
        <f>HLOOKUP($J$2,Cassidy!Week,I$83)</f>
        <v>235</v>
      </c>
      <c r="J17" s="247">
        <f>HLOOKUP($J$2,Cassidy!Week,J$83)</f>
        <v>335</v>
      </c>
      <c r="K17" s="247">
        <f>HLOOKUP($J$2,Cassidy!Week,K$83)</f>
        <v>503</v>
      </c>
      <c r="L17" s="235">
        <f>+'final handicap'!D17</f>
        <v>59</v>
      </c>
      <c r="M17" s="235">
        <f>Cassidy!Y$24</f>
        <v>0</v>
      </c>
      <c r="O17" s="206"/>
      <c r="P17" s="107"/>
    </row>
    <row r="18" spans="1:16" x14ac:dyDescent="0.35">
      <c r="A18" s="234" t="s">
        <v>220</v>
      </c>
      <c r="B18" s="235">
        <v>4</v>
      </c>
      <c r="C18" s="247">
        <f>HLOOKUP($J$2,Dages!Week,C$83)</f>
        <v>0</v>
      </c>
      <c r="D18" s="247">
        <f>HLOOKUP($J$2,Dages!Week,D$83)</f>
        <v>0</v>
      </c>
      <c r="E18" s="248" t="e">
        <f>HLOOKUP($J$2,Dages!Week,E$83)</f>
        <v>#DIV/0!</v>
      </c>
      <c r="F18" s="278">
        <f t="shared" si="0"/>
        <v>64</v>
      </c>
      <c r="G18" s="281" t="e">
        <f>HLOOKUP($J$2,Dages!Week,G$83)</f>
        <v>#DIV/0!</v>
      </c>
      <c r="H18" s="249">
        <f>HLOOKUP($J$2,Dages!Week,H$83)</f>
        <v>0</v>
      </c>
      <c r="I18" s="247">
        <f>HLOOKUP($J$2,Dages!Week,I$83)</f>
        <v>64</v>
      </c>
      <c r="J18" s="247">
        <f>HLOOKUP($J$2,Dages!Week,J$83)</f>
        <v>0</v>
      </c>
      <c r="K18" s="247">
        <f>HLOOKUP($J$2,Dages!Week,K$83)</f>
        <v>192</v>
      </c>
      <c r="L18" s="235">
        <f>+'final handicap'!D18</f>
        <v>64</v>
      </c>
      <c r="M18" s="235">
        <f>Dages!Y$24</f>
        <v>0</v>
      </c>
      <c r="O18" s="206"/>
      <c r="P18" s="107"/>
    </row>
    <row r="19" spans="1:16" x14ac:dyDescent="0.35">
      <c r="A19" s="234" t="s">
        <v>267</v>
      </c>
      <c r="B19" s="235">
        <v>1</v>
      </c>
      <c r="C19" s="247">
        <f>HLOOKUP($J$2,Dagger!Week,C$83)</f>
        <v>4297</v>
      </c>
      <c r="D19" s="247">
        <f>HLOOKUP($J$2,Dagger!Week,D$83)</f>
        <v>40</v>
      </c>
      <c r="E19" s="248">
        <f>HLOOKUP($J$2,Dagger!Week,E$83)</f>
        <v>107.425</v>
      </c>
      <c r="F19" s="278">
        <f t="shared" ref="F19:F20" si="3">IF(OR(D19&gt;3,L19="n/a"),G19,L19)</f>
        <v>83</v>
      </c>
      <c r="G19" s="281">
        <f>HLOOKUP($J$2,Dagger!Week,G$83)</f>
        <v>83</v>
      </c>
      <c r="H19" s="249">
        <f>HLOOKUP($J$2,Dagger!Week,H$83)</f>
        <v>109</v>
      </c>
      <c r="I19" s="247">
        <f>HLOOKUP($J$2,Dagger!Week,I$83)</f>
        <v>192</v>
      </c>
      <c r="J19" s="247">
        <f>HLOOKUP($J$2,Dagger!Week,J$83)</f>
        <v>308</v>
      </c>
      <c r="K19" s="247">
        <f>HLOOKUP($J$2,Dagger!Week,K$83)</f>
        <v>557</v>
      </c>
      <c r="L19" s="235">
        <f>+'final handicap'!D19</f>
        <v>91</v>
      </c>
      <c r="M19" s="235">
        <f>Dagger!Y$24</f>
        <v>0</v>
      </c>
      <c r="O19" s="206"/>
      <c r="P19" s="107"/>
    </row>
    <row r="20" spans="1:16" x14ac:dyDescent="0.35">
      <c r="A20" s="234" t="s">
        <v>318</v>
      </c>
      <c r="B20" s="235">
        <v>4</v>
      </c>
      <c r="C20" s="247">
        <f>HLOOKUP($J$2,Driscoll!Week,C$83)</f>
        <v>4844</v>
      </c>
      <c r="D20" s="247">
        <f>HLOOKUP($J$2,Driscoll!Week,D$83)</f>
        <v>39</v>
      </c>
      <c r="E20" s="248">
        <f>HLOOKUP($J$2,Driscoll!Week,E$83)</f>
        <v>124.2051282051282</v>
      </c>
      <c r="F20" s="278">
        <f t="shared" si="3"/>
        <v>68</v>
      </c>
      <c r="G20" s="281">
        <f>HLOOKUP($J$2,Driscoll!Week,G$83)</f>
        <v>68</v>
      </c>
      <c r="H20" s="249">
        <f>HLOOKUP($J$2,Driscoll!Week,H$83)</f>
        <v>154</v>
      </c>
      <c r="I20" s="247">
        <f>HLOOKUP($J$2,Driscoll!Week,I$83)</f>
        <v>223</v>
      </c>
      <c r="J20" s="247">
        <f>HLOOKUP($J$2,Driscoll!Week,J$83)</f>
        <v>398</v>
      </c>
      <c r="K20" s="247">
        <f>HLOOKUP($J$2,Driscoll!Week,K$83)</f>
        <v>605</v>
      </c>
      <c r="L20" s="235" t="s">
        <v>244</v>
      </c>
      <c r="M20" s="235">
        <f>Driscoll!Y$24</f>
        <v>0</v>
      </c>
      <c r="O20" s="206"/>
      <c r="P20" s="107"/>
    </row>
    <row r="21" spans="1:16" x14ac:dyDescent="0.35">
      <c r="A21" s="234" t="s">
        <v>34</v>
      </c>
      <c r="B21" s="235">
        <v>4</v>
      </c>
      <c r="C21" s="247">
        <f>HLOOKUP($J$2,Emr!Week,C$83)</f>
        <v>0</v>
      </c>
      <c r="D21" s="247">
        <f>HLOOKUP($J$2,Emr!Week,D$83)</f>
        <v>0</v>
      </c>
      <c r="E21" s="248" t="e">
        <f>HLOOKUP($J$2,Emr!Week,E$83)</f>
        <v>#DIV/0!</v>
      </c>
      <c r="F21" s="278">
        <f t="shared" si="0"/>
        <v>46</v>
      </c>
      <c r="G21" s="281" t="e">
        <f>HLOOKUP($J$2,Emr!Week,G$83)</f>
        <v>#DIV/0!</v>
      </c>
      <c r="H21" s="249">
        <f>HLOOKUP($J$2,Emr!Week,H$83)</f>
        <v>0</v>
      </c>
      <c r="I21" s="247">
        <f>HLOOKUP($J$2,Emr!Week,I$83)</f>
        <v>46</v>
      </c>
      <c r="J21" s="247">
        <f>HLOOKUP($J$2,Emr!Week,J$83)</f>
        <v>0</v>
      </c>
      <c r="K21" s="247">
        <f>HLOOKUP($J$2,Emr!Week,K$83)</f>
        <v>138</v>
      </c>
      <c r="L21" s="235">
        <f>+'final handicap'!D20</f>
        <v>46</v>
      </c>
      <c r="M21" s="235">
        <f>Emr!Y$24</f>
        <v>0</v>
      </c>
      <c r="O21" s="206"/>
      <c r="P21" s="107"/>
    </row>
    <row r="22" spans="1:16" x14ac:dyDescent="0.35">
      <c r="A22" s="234" t="s">
        <v>280</v>
      </c>
      <c r="B22" s="235">
        <v>4</v>
      </c>
      <c r="C22" s="247">
        <f>HLOOKUP($J$2,Fricke!Week,C$83)</f>
        <v>0</v>
      </c>
      <c r="D22" s="247">
        <f>HLOOKUP($J$2,Fricke!Week,D$83)</f>
        <v>0</v>
      </c>
      <c r="E22" s="248" t="e">
        <f>HLOOKUP($J$2,Fricke!Week,E$83)</f>
        <v>#DIV/0!</v>
      </c>
      <c r="F22" s="278">
        <f t="shared" ref="F22" si="4">IF(OR(D22&gt;3,L22="n/a"),G22,L22)</f>
        <v>93</v>
      </c>
      <c r="G22" s="281" t="e">
        <f>HLOOKUP($J$2,Fricke!Week,G$83)</f>
        <v>#DIV/0!</v>
      </c>
      <c r="H22" s="249">
        <f>HLOOKUP($J$2,Fricke!Week,H$83)</f>
        <v>0</v>
      </c>
      <c r="I22" s="247">
        <f>HLOOKUP($J$2,Fricke!Week,I$83)</f>
        <v>93</v>
      </c>
      <c r="J22" s="247">
        <f>HLOOKUP($J$2,Fricke!Week,J$83)</f>
        <v>0</v>
      </c>
      <c r="K22" s="247">
        <f>HLOOKUP($J$2,Fricke!Week,K$83)</f>
        <v>279</v>
      </c>
      <c r="L22" s="235">
        <f>+'final handicap'!D21</f>
        <v>93</v>
      </c>
      <c r="M22" s="235">
        <f>Fricke!Y$24</f>
        <v>0</v>
      </c>
      <c r="O22" s="206"/>
      <c r="P22" s="107"/>
    </row>
    <row r="23" spans="1:16" x14ac:dyDescent="0.35">
      <c r="A23" s="234" t="s">
        <v>221</v>
      </c>
      <c r="B23" s="235">
        <v>4</v>
      </c>
      <c r="C23" s="247">
        <f>HLOOKUP($J$2,Gellert!Week,C$83)</f>
        <v>0</v>
      </c>
      <c r="D23" s="247">
        <f>HLOOKUP($J$2,Gellert!Week,D$83)</f>
        <v>0</v>
      </c>
      <c r="E23" s="248" t="e">
        <f>HLOOKUP($J$2,Gellert!Week,E$83)</f>
        <v>#DIV/0!</v>
      </c>
      <c r="F23" s="278">
        <f t="shared" si="0"/>
        <v>73</v>
      </c>
      <c r="G23" s="281" t="e">
        <f>HLOOKUP($J$2,Gellert!Week,G$83)</f>
        <v>#DIV/0!</v>
      </c>
      <c r="H23" s="249">
        <f>HLOOKUP($J$2,Gellert!Week,H$83)</f>
        <v>0</v>
      </c>
      <c r="I23" s="247">
        <f>HLOOKUP($J$2,Gellert!Week,I$83)</f>
        <v>86</v>
      </c>
      <c r="J23" s="247">
        <f>HLOOKUP($J$2,Gellert!Week,J$83)</f>
        <v>0</v>
      </c>
      <c r="K23" s="247">
        <f>HLOOKUP($J$2,Gellert!Week,K$83)</f>
        <v>258</v>
      </c>
      <c r="L23" s="235">
        <f>+'final handicap'!D22</f>
        <v>73</v>
      </c>
      <c r="M23" s="235">
        <f>Gellert!Y$24</f>
        <v>0</v>
      </c>
      <c r="O23" s="206"/>
      <c r="P23" s="107"/>
    </row>
    <row r="24" spans="1:16" x14ac:dyDescent="0.35">
      <c r="A24" s="234" t="s">
        <v>326</v>
      </c>
      <c r="B24" s="235">
        <v>3</v>
      </c>
      <c r="C24" s="247">
        <f>HLOOKUP($J$2,Gerity!Week,C$83)</f>
        <v>5971</v>
      </c>
      <c r="D24" s="247">
        <f>HLOOKUP($J$2,Gerity!Week,D$83)</f>
        <v>47</v>
      </c>
      <c r="E24" s="248">
        <f>HLOOKUP($J$2,Gerity!Week,E$83)</f>
        <v>127.04255319148936</v>
      </c>
      <c r="F24" s="278">
        <f t="shared" ref="F24" si="5">IF(OR(D24&gt;3,L24="n/a"),G24,L24)</f>
        <v>66</v>
      </c>
      <c r="G24" s="281">
        <f>HLOOKUP($J$2,Gerity!Week,G$83)</f>
        <v>66</v>
      </c>
      <c r="H24" s="249">
        <f>HLOOKUP($J$2,Gerity!Week,H$83)</f>
        <v>145</v>
      </c>
      <c r="I24" s="247">
        <f>HLOOKUP($J$2,Gerity!Week,I$83)</f>
        <v>211</v>
      </c>
      <c r="J24" s="247">
        <f>HLOOKUP($J$2,Gerity!Week,J$83)</f>
        <v>395</v>
      </c>
      <c r="K24" s="247">
        <f>HLOOKUP($J$2,Gerity!Week,K$83)</f>
        <v>593</v>
      </c>
      <c r="L24" s="235" t="s">
        <v>244</v>
      </c>
      <c r="M24" s="235">
        <f>Gerity!Y$24</f>
        <v>0</v>
      </c>
      <c r="O24" s="206"/>
      <c r="P24" s="107"/>
    </row>
    <row r="25" spans="1:16" x14ac:dyDescent="0.35">
      <c r="A25" s="234" t="s">
        <v>265</v>
      </c>
      <c r="B25" s="235">
        <v>1</v>
      </c>
      <c r="C25" s="247">
        <f>HLOOKUP($J$2,Gittle!Week,C$83)</f>
        <v>0</v>
      </c>
      <c r="D25" s="247">
        <f>HLOOKUP($J$2,Gittle!Week,D$83)</f>
        <v>0</v>
      </c>
      <c r="E25" s="248" t="e">
        <f>HLOOKUP($J$2,Gittle!Week,E$83)</f>
        <v>#DIV/0!</v>
      </c>
      <c r="F25" s="278">
        <f t="shared" ref="F25" si="6">IF(OR(D25&gt;3,L25="n/a"),G25,L25)</f>
        <v>49</v>
      </c>
      <c r="G25" s="281" t="e">
        <f>HLOOKUP($J$2,Gittle!Week,G$83)</f>
        <v>#DIV/0!</v>
      </c>
      <c r="H25" s="249">
        <f>HLOOKUP($J$2,Gittle!Week,H$83)</f>
        <v>0</v>
      </c>
      <c r="I25" s="247">
        <f>HLOOKUP($J$2,Gittle!Week,I$83)</f>
        <v>49</v>
      </c>
      <c r="J25" s="247">
        <f>HLOOKUP($J$2,Gittle!Week,J$83)</f>
        <v>0</v>
      </c>
      <c r="K25" s="247">
        <f>HLOOKUP($J$2,Gittle!Week,K$83)</f>
        <v>147</v>
      </c>
      <c r="L25" s="235">
        <f>+'final handicap'!D23</f>
        <v>49</v>
      </c>
      <c r="M25" s="235">
        <f>Gittle!Y$24</f>
        <v>0</v>
      </c>
      <c r="O25" s="206"/>
      <c r="P25" s="107"/>
    </row>
    <row r="26" spans="1:16" x14ac:dyDescent="0.35">
      <c r="A26" s="234" t="s">
        <v>270</v>
      </c>
      <c r="B26" s="235">
        <v>3</v>
      </c>
      <c r="C26" s="247">
        <f>HLOOKUP($J$2,Gorman!Week,C$83)</f>
        <v>0</v>
      </c>
      <c r="D26" s="247">
        <f>HLOOKUP($J$2,Gorman!Week,D$83)</f>
        <v>0</v>
      </c>
      <c r="E26" s="248" t="e">
        <f>HLOOKUP($J$2,Gorman!Week,E$83)</f>
        <v>#DIV/0!</v>
      </c>
      <c r="F26" s="278">
        <f t="shared" ref="F26:F27" si="7">IF(OR(D26&gt;3,L26="n/a"),G26,L26)</f>
        <v>107</v>
      </c>
      <c r="G26" s="281" t="e">
        <f>HLOOKUP($J$2,Gorman!Week,G$83)</f>
        <v>#DIV/0!</v>
      </c>
      <c r="H26" s="249">
        <f>HLOOKUP($J$2,Gorman!Week,H$83)</f>
        <v>0</v>
      </c>
      <c r="I26" s="247">
        <f>HLOOKUP($J$2,Gorman!Week,I$83)</f>
        <v>107</v>
      </c>
      <c r="J26" s="247">
        <f>HLOOKUP($J$2,Gorman!Week,J$83)</f>
        <v>0</v>
      </c>
      <c r="K26" s="247">
        <f>HLOOKUP($J$2,Gorman!Week,K$83)</f>
        <v>321</v>
      </c>
      <c r="L26" s="235">
        <f>+'final handicap'!D24</f>
        <v>107</v>
      </c>
      <c r="M26" s="235">
        <f>Gorman!Y$24</f>
        <v>0</v>
      </c>
      <c r="O26" s="206"/>
      <c r="P26" s="107"/>
    </row>
    <row r="27" spans="1:16" x14ac:dyDescent="0.35">
      <c r="A27" s="234" t="s">
        <v>282</v>
      </c>
      <c r="B27" s="235">
        <v>2</v>
      </c>
      <c r="C27" s="247">
        <f>HLOOKUP($J$2,Gotthelf!Week,C$83)</f>
        <v>0</v>
      </c>
      <c r="D27" s="247">
        <f>HLOOKUP($J$2,Gotthelf!Week,D$83)</f>
        <v>0</v>
      </c>
      <c r="E27" s="248" t="e">
        <f>HLOOKUP($J$2,Gotthelf!Week,E$83)</f>
        <v>#DIV/0!</v>
      </c>
      <c r="F27" s="278">
        <f t="shared" si="7"/>
        <v>93</v>
      </c>
      <c r="G27" s="281" t="e">
        <f>HLOOKUP($J$2,Gotthelf!Week,G$83)</f>
        <v>#DIV/0!</v>
      </c>
      <c r="H27" s="249">
        <f>HLOOKUP($J$2,Gotthelf!Week,H$83)</f>
        <v>0</v>
      </c>
      <c r="I27" s="247">
        <f>HLOOKUP($J$2,Gotthelf!Week,I$83)</f>
        <v>93</v>
      </c>
      <c r="J27" s="247">
        <f>HLOOKUP($J$2,Gotthelf!Week,J$83)</f>
        <v>0</v>
      </c>
      <c r="K27" s="247">
        <f>HLOOKUP($J$2,Gotthelf!Week,K$83)</f>
        <v>279</v>
      </c>
      <c r="L27" s="235">
        <f>+'final handicap'!D25</f>
        <v>93</v>
      </c>
      <c r="M27" s="235">
        <f>Gotthelf!Y$24</f>
        <v>0</v>
      </c>
      <c r="O27" s="206"/>
      <c r="P27" s="107"/>
    </row>
    <row r="28" spans="1:16" x14ac:dyDescent="0.35">
      <c r="A28" s="234" t="s">
        <v>57</v>
      </c>
      <c r="B28" s="235">
        <v>2</v>
      </c>
      <c r="C28" s="247">
        <f>HLOOKUP($J$2,Grodofsky!Week,C$83)</f>
        <v>1454</v>
      </c>
      <c r="D28" s="247">
        <f>HLOOKUP($J$2,Grodofsky!Week,D$83)</f>
        <v>12</v>
      </c>
      <c r="E28" s="248">
        <f>HLOOKUP($J$2,Grodofsky!Week,E$83)</f>
        <v>121.16666666666667</v>
      </c>
      <c r="F28" s="278">
        <f t="shared" si="0"/>
        <v>71</v>
      </c>
      <c r="G28" s="281">
        <f>HLOOKUP($J$2,Grodofsky!Week,G$83)</f>
        <v>71</v>
      </c>
      <c r="H28" s="249">
        <f>HLOOKUP($J$2,Grodofsky!Week,H$83)</f>
        <v>0</v>
      </c>
      <c r="I28" s="247">
        <f>HLOOKUP($J$2,Grodofsky!Week,I$83)</f>
        <v>71</v>
      </c>
      <c r="J28" s="247">
        <f>HLOOKUP($J$2,Grodofsky!Week,J$83)</f>
        <v>0</v>
      </c>
      <c r="K28" s="247">
        <f>HLOOKUP($J$2,Grodofsky!Week,K$83)</f>
        <v>213</v>
      </c>
      <c r="L28" s="235">
        <f>+'final handicap'!D26</f>
        <v>73</v>
      </c>
      <c r="M28" s="235">
        <f>Grodofsky!Y$24</f>
        <v>0</v>
      </c>
      <c r="O28" s="206"/>
      <c r="P28" s="107"/>
    </row>
    <row r="29" spans="1:16" x14ac:dyDescent="0.35">
      <c r="A29" s="234" t="s">
        <v>31</v>
      </c>
      <c r="B29" s="235">
        <v>3</v>
      </c>
      <c r="C29" s="247">
        <f>HLOOKUP($J$2,Happer!Week,C$83)</f>
        <v>6915</v>
      </c>
      <c r="D29" s="247">
        <f>HLOOKUP($J$2,Happer!Week,D$83)</f>
        <v>49</v>
      </c>
      <c r="E29" s="248">
        <f>HLOOKUP($J$2,Happer!Week,E$83)</f>
        <v>141.12244897959184</v>
      </c>
      <c r="F29" s="278">
        <f t="shared" si="0"/>
        <v>53</v>
      </c>
      <c r="G29" s="281">
        <f>HLOOKUP($J$2,Happer!Week,G$83)</f>
        <v>53</v>
      </c>
      <c r="H29" s="249">
        <f>HLOOKUP($J$2,Happer!Week,H$83)</f>
        <v>153</v>
      </c>
      <c r="I29" s="247">
        <f>HLOOKUP($J$2,Happer!Week,I$83)</f>
        <v>206</v>
      </c>
      <c r="J29" s="247">
        <f>HLOOKUP($J$2,Happer!Week,J$83)</f>
        <v>418</v>
      </c>
      <c r="K29" s="247">
        <f>HLOOKUP($J$2,Happer!Week,K$83)</f>
        <v>577</v>
      </c>
      <c r="L29" s="235">
        <f>+'final handicap'!D27</f>
        <v>45</v>
      </c>
      <c r="M29" s="235">
        <f>Happer!Y$24</f>
        <v>0</v>
      </c>
      <c r="O29" s="226"/>
      <c r="P29" s="107"/>
    </row>
    <row r="30" spans="1:16" x14ac:dyDescent="0.35">
      <c r="A30" s="234" t="s">
        <v>226</v>
      </c>
      <c r="B30" s="235">
        <v>4</v>
      </c>
      <c r="C30" s="247">
        <f>HLOOKUP($J$2,Harris!Week,C$83)</f>
        <v>5003</v>
      </c>
      <c r="D30" s="247">
        <f>HLOOKUP($J$2,Harris!Week,D$83)</f>
        <v>37</v>
      </c>
      <c r="E30" s="248">
        <f>HLOOKUP($J$2,Harris!Week,E$83)</f>
        <v>135.21621621621622</v>
      </c>
      <c r="F30" s="278">
        <f t="shared" si="0"/>
        <v>58</v>
      </c>
      <c r="G30" s="281">
        <f>HLOOKUP($J$2,Harris!Week,G$83)</f>
        <v>58</v>
      </c>
      <c r="H30" s="249">
        <f>HLOOKUP($J$2,Harris!Week,H$83)</f>
        <v>145</v>
      </c>
      <c r="I30" s="247">
        <f>HLOOKUP($J$2,Harris!Week,I$83)</f>
        <v>203</v>
      </c>
      <c r="J30" s="247">
        <f>HLOOKUP($J$2,Harris!Week,J$83)</f>
        <v>412</v>
      </c>
      <c r="K30" s="247">
        <f>HLOOKUP($J$2,Harris!Week,K$83)</f>
        <v>586</v>
      </c>
      <c r="L30" s="235">
        <f>+'final handicap'!D28</f>
        <v>66</v>
      </c>
      <c r="M30" s="235">
        <f>Harris!Y$24</f>
        <v>0</v>
      </c>
      <c r="O30" s="206"/>
      <c r="P30" s="107"/>
    </row>
    <row r="31" spans="1:16" x14ac:dyDescent="0.35">
      <c r="A31" s="234" t="s">
        <v>256</v>
      </c>
      <c r="B31" s="235">
        <v>1</v>
      </c>
      <c r="C31" s="247">
        <f>HLOOKUP($J$2,Harvey!Week,C$83)</f>
        <v>3315</v>
      </c>
      <c r="D31" s="247">
        <f>HLOOKUP($J$2,Harvey!Week,D$83)</f>
        <v>24</v>
      </c>
      <c r="E31" s="248">
        <f>HLOOKUP($J$2,Harvey!Week,E$83)</f>
        <v>138.125</v>
      </c>
      <c r="F31" s="278">
        <f t="shared" ref="F31" si="8">IF(OR(D31&gt;3,L31="n/a"),G31,L31)</f>
        <v>56</v>
      </c>
      <c r="G31" s="281">
        <f>HLOOKUP($J$2,Harvey!Week,G$83)</f>
        <v>56</v>
      </c>
      <c r="H31" s="249">
        <f>HLOOKUP($J$2,Harvey!Week,H$83)</f>
        <v>170</v>
      </c>
      <c r="I31" s="247">
        <f>HLOOKUP($J$2,Harvey!Week,I$83)</f>
        <v>226</v>
      </c>
      <c r="J31" s="247">
        <f>HLOOKUP($J$2,Harvey!Week,J$83)</f>
        <v>428</v>
      </c>
      <c r="K31" s="247">
        <f>HLOOKUP($J$2,Harvey!Week,K$83)</f>
        <v>596</v>
      </c>
      <c r="L31" s="235">
        <f>+'final handicap'!D29</f>
        <v>66</v>
      </c>
      <c r="M31" s="235">
        <f>Harvey!Y$24</f>
        <v>0</v>
      </c>
      <c r="O31" s="206"/>
      <c r="P31" s="107"/>
    </row>
    <row r="32" spans="1:16" x14ac:dyDescent="0.35">
      <c r="A32" s="234" t="s">
        <v>156</v>
      </c>
      <c r="B32" s="235">
        <v>4</v>
      </c>
      <c r="C32" s="247">
        <f>HLOOKUP($J$2,Hatton!Week,C$83)</f>
        <v>2367</v>
      </c>
      <c r="D32" s="247">
        <f>HLOOKUP($J$2,Hatton!Week,D$83)</f>
        <v>16</v>
      </c>
      <c r="E32" s="248">
        <f>HLOOKUP($J$2,Hatton!Week,E$83)</f>
        <v>147.9375</v>
      </c>
      <c r="F32" s="278">
        <f t="shared" si="0"/>
        <v>47</v>
      </c>
      <c r="G32" s="281">
        <f>HLOOKUP($J$2,Hatton!Week,G$83)</f>
        <v>47</v>
      </c>
      <c r="H32" s="249">
        <f>HLOOKUP($J$2,Hatton!Week,H$83)</f>
        <v>0</v>
      </c>
      <c r="I32" s="247">
        <f>HLOOKUP($J$2,Hatton!Week,I$83)</f>
        <v>47</v>
      </c>
      <c r="J32" s="247">
        <f>HLOOKUP($J$2,Hatton!Week,J$83)</f>
        <v>0</v>
      </c>
      <c r="K32" s="247">
        <f>HLOOKUP($J$2,Hatton!Week,K$83)</f>
        <v>141</v>
      </c>
      <c r="L32" s="235">
        <f>+'final handicap'!D30</f>
        <v>49</v>
      </c>
      <c r="M32" s="235">
        <f>Hatton!Y$24</f>
        <v>0</v>
      </c>
      <c r="O32" s="206"/>
      <c r="P32" s="107"/>
    </row>
    <row r="33" spans="1:16" x14ac:dyDescent="0.35">
      <c r="A33" s="234" t="s">
        <v>320</v>
      </c>
      <c r="B33" s="235">
        <v>2</v>
      </c>
      <c r="C33" s="247">
        <f>HLOOKUP($J$2,Hilton!Week,C$83)</f>
        <v>4210</v>
      </c>
      <c r="D33" s="247">
        <f>HLOOKUP($J$2,Hilton!Week,D$83)</f>
        <v>34</v>
      </c>
      <c r="E33" s="248">
        <f>HLOOKUP($J$2,Hilton!Week,E$83)</f>
        <v>123.82352941176471</v>
      </c>
      <c r="F33" s="278">
        <f t="shared" ref="F33" si="9">IF(OR(D33&gt;3,L33="n/a"),G33,L33)</f>
        <v>69</v>
      </c>
      <c r="G33" s="281">
        <f>HLOOKUP($J$2,Hilton!Week,G$83)</f>
        <v>69</v>
      </c>
      <c r="H33" s="249">
        <f>HLOOKUP($J$2,Hilton!Week,H$83)</f>
        <v>0</v>
      </c>
      <c r="I33" s="247">
        <f>HLOOKUP($J$2,Hilton!Week,I$83)</f>
        <v>69</v>
      </c>
      <c r="J33" s="247">
        <f>HLOOKUP($J$2,Hilton!Week,J$83)</f>
        <v>0</v>
      </c>
      <c r="K33" s="247">
        <f>HLOOKUP($J$2,Hilton!Week,K$83)</f>
        <v>207</v>
      </c>
      <c r="L33" s="309" t="s">
        <v>244</v>
      </c>
      <c r="M33" s="235">
        <f>Hilton!Y$24</f>
        <v>0</v>
      </c>
      <c r="O33" s="206"/>
      <c r="P33" s="107"/>
    </row>
    <row r="34" spans="1:16" x14ac:dyDescent="0.35">
      <c r="A34" s="234" t="s">
        <v>152</v>
      </c>
      <c r="B34" s="235">
        <v>2</v>
      </c>
      <c r="C34" s="247">
        <f>HLOOKUP($J$2,Hornyak!Week,C$83)</f>
        <v>3348</v>
      </c>
      <c r="D34" s="247">
        <f>HLOOKUP($J$2,Hornyak!Week,D$83)</f>
        <v>24</v>
      </c>
      <c r="E34" s="248">
        <f>HLOOKUP($J$2,Hornyak!Week,E$83)</f>
        <v>139.5</v>
      </c>
      <c r="F34" s="278">
        <f t="shared" si="0"/>
        <v>54</v>
      </c>
      <c r="G34" s="281">
        <f>HLOOKUP($J$2,Hornyak!Week,G$83)</f>
        <v>54</v>
      </c>
      <c r="H34" s="249">
        <f>HLOOKUP($J$2,Hornyak!Week,H$83)</f>
        <v>158</v>
      </c>
      <c r="I34" s="247">
        <f>HLOOKUP($J$2,Hornyak!Week,I$83)</f>
        <v>213</v>
      </c>
      <c r="J34" s="247">
        <f>HLOOKUP($J$2,Hornyak!Week,J$83)</f>
        <v>158</v>
      </c>
      <c r="K34" s="247">
        <f>HLOOKUP($J$2,Hornyak!Week,K$83)</f>
        <v>323</v>
      </c>
      <c r="L34" s="235">
        <f>+'final handicap'!D31</f>
        <v>56</v>
      </c>
      <c r="M34" s="235">
        <f>Hornyak!Y$24</f>
        <v>0</v>
      </c>
      <c r="O34" s="206"/>
      <c r="P34" s="107"/>
    </row>
    <row r="35" spans="1:16" x14ac:dyDescent="0.35">
      <c r="A35" s="234" t="s">
        <v>311</v>
      </c>
      <c r="B35" s="235">
        <v>2</v>
      </c>
      <c r="C35" s="247">
        <f>HLOOKUP($J$2,Horowitz!Week,C$83)</f>
        <v>4859</v>
      </c>
      <c r="D35" s="247">
        <f>HLOOKUP($J$2,Horowitz!Week,D$83)</f>
        <v>43</v>
      </c>
      <c r="E35" s="248">
        <f>HLOOKUP($J$2,Horowitz!Week,E$83)</f>
        <v>113</v>
      </c>
      <c r="F35" s="278">
        <f t="shared" ref="F35" si="10">IF(OR(D35&gt;3,L35="n/a"),G35,L35)</f>
        <v>78</v>
      </c>
      <c r="G35" s="281">
        <f>HLOOKUP($J$2,Horowitz!Week,G$83)</f>
        <v>78</v>
      </c>
      <c r="H35" s="249">
        <f>HLOOKUP($J$2,Horowitz!Week,H$83)</f>
        <v>0</v>
      </c>
      <c r="I35" s="247">
        <f>HLOOKUP($J$2,Horowitz!Week,I$83)</f>
        <v>78</v>
      </c>
      <c r="J35" s="247">
        <f>HLOOKUP($J$2,Horowitz!Week,J$83)</f>
        <v>0</v>
      </c>
      <c r="K35" s="247">
        <f>HLOOKUP($J$2,Horowitz!Week,K$83)</f>
        <v>234</v>
      </c>
      <c r="L35" s="235" t="s">
        <v>244</v>
      </c>
      <c r="M35" s="235">
        <f>Horowitz!Y$24</f>
        <v>0</v>
      </c>
      <c r="O35" s="206"/>
      <c r="P35" s="107"/>
    </row>
    <row r="36" spans="1:16" x14ac:dyDescent="0.35">
      <c r="A36" s="234" t="s">
        <v>279</v>
      </c>
      <c r="B36" s="235">
        <v>1</v>
      </c>
      <c r="C36" s="247">
        <f>HLOOKUP($J$2,Jordan!Week,C$83)</f>
        <v>0</v>
      </c>
      <c r="D36" s="247">
        <f>HLOOKUP($J$2,Jordan!Week,D$83)</f>
        <v>0</v>
      </c>
      <c r="E36" s="248" t="e">
        <f>HLOOKUP($J$2,Jordan!Week,E$83)</f>
        <v>#DIV/0!</v>
      </c>
      <c r="F36" s="278">
        <f t="shared" ref="F36" si="11">IF(OR(D36&gt;3,L36="n/a"),G36,L36)</f>
        <v>83</v>
      </c>
      <c r="G36" s="281" t="e">
        <f>HLOOKUP($J$2,Jordan!Week,G$83)</f>
        <v>#DIV/0!</v>
      </c>
      <c r="H36" s="249">
        <f>HLOOKUP($J$2,Jordan!Week,H$83)</f>
        <v>0</v>
      </c>
      <c r="I36" s="247">
        <f>HLOOKUP($J$2,Jordan!Week,I$83)</f>
        <v>83</v>
      </c>
      <c r="J36" s="247">
        <f>HLOOKUP($J$2,Jordan!Week,J$83)</f>
        <v>0</v>
      </c>
      <c r="K36" s="247">
        <f>HLOOKUP($J$2,Jordan!Week,K$83)</f>
        <v>249</v>
      </c>
      <c r="L36" s="235">
        <f>+'final handicap'!D32</f>
        <v>83</v>
      </c>
      <c r="M36" s="235">
        <f>Jordan!Y$24</f>
        <v>0</v>
      </c>
      <c r="O36" s="206"/>
      <c r="P36" s="107"/>
    </row>
    <row r="37" spans="1:16" x14ac:dyDescent="0.35">
      <c r="A37" s="234" t="s">
        <v>327</v>
      </c>
      <c r="B37" s="235">
        <v>1</v>
      </c>
      <c r="C37" s="247">
        <f>HLOOKUP($J$2,Kanaris!Week,C$83)</f>
        <v>1417</v>
      </c>
      <c r="D37" s="247">
        <f>HLOOKUP($J$2,Kanaris!Week,D$83)</f>
        <v>12</v>
      </c>
      <c r="E37" s="248">
        <f>HLOOKUP($J$2,Kanaris!Week,E$83)</f>
        <v>118.08333333333333</v>
      </c>
      <c r="F37" s="278">
        <f t="shared" ref="F37" si="12">IF(OR(D37&gt;3,L37="n/a"),G37,L37)</f>
        <v>74</v>
      </c>
      <c r="G37" s="281">
        <f>HLOOKUP($J$2,Kanaris!Week,G$83)</f>
        <v>74</v>
      </c>
      <c r="H37" s="249">
        <f>HLOOKUP($J$2,Kanaris!Week,H$83)</f>
        <v>0</v>
      </c>
      <c r="I37" s="247">
        <f>HLOOKUP($J$2,Kanaris!Week,I$83)</f>
        <v>74</v>
      </c>
      <c r="J37" s="247">
        <f>HLOOKUP($J$2,Kanaris!Week,J$83)</f>
        <v>0</v>
      </c>
      <c r="K37" s="247">
        <f>HLOOKUP($J$2,Kanaris!Week,K$83)</f>
        <v>222</v>
      </c>
      <c r="L37" s="309" t="s">
        <v>244</v>
      </c>
      <c r="M37" s="235">
        <f>Kanaris!Y$24</f>
        <v>0</v>
      </c>
      <c r="O37" s="206"/>
      <c r="P37" s="107"/>
    </row>
    <row r="38" spans="1:16" x14ac:dyDescent="0.35">
      <c r="A38" s="234" t="s">
        <v>231</v>
      </c>
      <c r="B38" s="235">
        <v>2</v>
      </c>
      <c r="C38" s="247">
        <f>HLOOKUP($J$2,Karczewski!Week,C$83)</f>
        <v>6842</v>
      </c>
      <c r="D38" s="247">
        <f>HLOOKUP($J$2,Karczewski!Week,D$83)</f>
        <v>52</v>
      </c>
      <c r="E38" s="248">
        <f>HLOOKUP($J$2,Karczewski!Week,E$83)</f>
        <v>131.57692307692307</v>
      </c>
      <c r="F38" s="278">
        <f t="shared" si="0"/>
        <v>62</v>
      </c>
      <c r="G38" s="281">
        <f>HLOOKUP($J$2,Karczewski!Week,G$83)</f>
        <v>62</v>
      </c>
      <c r="H38" s="249">
        <f>HLOOKUP($J$2,Karczewski!Week,H$83)</f>
        <v>161</v>
      </c>
      <c r="I38" s="247">
        <f>HLOOKUP($J$2,Karczewski!Week,I$83)</f>
        <v>223</v>
      </c>
      <c r="J38" s="247">
        <f>HLOOKUP($J$2,Karczewski!Week,J$83)</f>
        <v>404</v>
      </c>
      <c r="K38" s="247">
        <f>HLOOKUP($J$2,Karczewski!Week,K$83)</f>
        <v>590</v>
      </c>
      <c r="L38" s="235">
        <f>+'final handicap'!D33</f>
        <v>60</v>
      </c>
      <c r="M38" s="235">
        <f>Karczewski!Y$24</f>
        <v>0</v>
      </c>
      <c r="O38" s="206"/>
      <c r="P38" s="107"/>
    </row>
    <row r="39" spans="1:16" x14ac:dyDescent="0.35">
      <c r="A39" s="234" t="s">
        <v>33</v>
      </c>
      <c r="B39" s="235">
        <v>3</v>
      </c>
      <c r="C39" s="247">
        <f>HLOOKUP($J$2,Kennedy!Week,C$83)</f>
        <v>3595</v>
      </c>
      <c r="D39" s="247">
        <f>HLOOKUP($J$2,Kennedy!Week,D$83)</f>
        <v>24</v>
      </c>
      <c r="E39" s="248">
        <f>HLOOKUP($J$2,Kennedy!Week,E$83)</f>
        <v>149.79166666666666</v>
      </c>
      <c r="F39" s="278">
        <f t="shared" si="0"/>
        <v>45</v>
      </c>
      <c r="G39" s="281">
        <f>HLOOKUP($J$2,Kennedy!Week,G$83)</f>
        <v>45</v>
      </c>
      <c r="H39" s="249">
        <f>HLOOKUP($J$2,Kennedy!Week,H$83)</f>
        <v>132</v>
      </c>
      <c r="I39" s="247">
        <f>HLOOKUP($J$2,Kennedy!Week,I$83)</f>
        <v>176</v>
      </c>
      <c r="J39" s="247">
        <f>HLOOKUP($J$2,Kennedy!Week,J$83)</f>
        <v>132</v>
      </c>
      <c r="K39" s="247">
        <f>HLOOKUP($J$2,Kennedy!Week,K$83)</f>
        <v>264</v>
      </c>
      <c r="L39" s="235">
        <f>+'final handicap'!D34</f>
        <v>47</v>
      </c>
      <c r="M39" s="235">
        <f>Kennedy!Y$24</f>
        <v>0</v>
      </c>
      <c r="O39" s="206"/>
      <c r="P39" s="107"/>
    </row>
    <row r="40" spans="1:16" x14ac:dyDescent="0.35">
      <c r="A40" s="234" t="s">
        <v>252</v>
      </c>
      <c r="B40" s="235">
        <v>1</v>
      </c>
      <c r="C40" s="247">
        <f>HLOOKUP($J$2,Keyt!Week,C$83)</f>
        <v>3413</v>
      </c>
      <c r="D40" s="247">
        <f>HLOOKUP($J$2,Keyt!Week,D$83)</f>
        <v>27</v>
      </c>
      <c r="E40" s="248">
        <f>HLOOKUP($J$2,Keyt!Week,E$83)</f>
        <v>126.4074074074074</v>
      </c>
      <c r="F40" s="278">
        <f t="shared" ref="F40" si="13">IF(OR(D40&gt;3,L40="n/a"),G40,L40)</f>
        <v>66</v>
      </c>
      <c r="G40" s="281">
        <f>HLOOKUP($J$2,Keyt!Week,G$83)</f>
        <v>66</v>
      </c>
      <c r="H40" s="249">
        <f>HLOOKUP($J$2,Keyt!Week,H$83)</f>
        <v>0</v>
      </c>
      <c r="I40" s="247">
        <f>HLOOKUP($J$2,Keyt!Week,I$83)</f>
        <v>66</v>
      </c>
      <c r="J40" s="247">
        <f>HLOOKUP($J$2,Keyt!Week,J$83)</f>
        <v>0</v>
      </c>
      <c r="K40" s="247">
        <f>HLOOKUP($J$2,Keyt!Week,K$83)</f>
        <v>198</v>
      </c>
      <c r="L40" s="235">
        <f>+'final handicap'!D35</f>
        <v>53</v>
      </c>
      <c r="M40" s="235">
        <f>Keyt!Y$24</f>
        <v>0</v>
      </c>
      <c r="O40" s="206"/>
      <c r="P40" s="107"/>
    </row>
    <row r="41" spans="1:16" x14ac:dyDescent="0.35">
      <c r="A41" s="234" t="s">
        <v>153</v>
      </c>
      <c r="B41" s="235">
        <v>3</v>
      </c>
      <c r="C41" s="247">
        <f>HLOOKUP($J$2,Kincey!Week,C$83)</f>
        <v>1124</v>
      </c>
      <c r="D41" s="247">
        <f>HLOOKUP($J$2,Kincey!Week,D$83)</f>
        <v>10</v>
      </c>
      <c r="E41" s="248">
        <f>HLOOKUP($J$2,Kincey!Week,E$83)</f>
        <v>112.4</v>
      </c>
      <c r="F41" s="278">
        <f t="shared" si="0"/>
        <v>79</v>
      </c>
      <c r="G41" s="281">
        <f>HLOOKUP($J$2,Kincey!Week,G$83)</f>
        <v>79</v>
      </c>
      <c r="H41" s="249">
        <f>HLOOKUP($J$2,Kincey!Week,H$83)</f>
        <v>0</v>
      </c>
      <c r="I41" s="247">
        <f>HLOOKUP($J$2,Kincey!Week,I$83)</f>
        <v>79</v>
      </c>
      <c r="J41" s="247">
        <f>HLOOKUP($J$2,Kincey!Week,J$83)</f>
        <v>0</v>
      </c>
      <c r="K41" s="247">
        <f>HLOOKUP($J$2,Kincey!Week,K$83)</f>
        <v>237</v>
      </c>
      <c r="L41" s="235">
        <f>+'final handicap'!D36</f>
        <v>77</v>
      </c>
      <c r="M41" s="235">
        <f>Kincey!Y$24</f>
        <v>0</v>
      </c>
      <c r="O41" s="206"/>
      <c r="P41" s="107"/>
    </row>
    <row r="42" spans="1:16" x14ac:dyDescent="0.35">
      <c r="A42" s="234" t="s">
        <v>35</v>
      </c>
      <c r="B42" s="235">
        <v>3</v>
      </c>
      <c r="C42" s="247">
        <f>HLOOKUP($J$2,Kinney!Week,C$83)</f>
        <v>5116</v>
      </c>
      <c r="D42" s="247">
        <f>HLOOKUP($J$2,Kinney!Week,D$83)</f>
        <v>35</v>
      </c>
      <c r="E42" s="248">
        <f>HLOOKUP($J$2,Kinney!Week,E$83)</f>
        <v>146.17142857142858</v>
      </c>
      <c r="F42" s="278">
        <f t="shared" si="0"/>
        <v>48</v>
      </c>
      <c r="G42" s="281">
        <f>HLOOKUP($J$2,Kinney!Week,G$83)</f>
        <v>48</v>
      </c>
      <c r="H42" s="249">
        <f>HLOOKUP($J$2,Kinney!Week,H$83)</f>
        <v>177</v>
      </c>
      <c r="I42" s="247">
        <f>HLOOKUP($J$2,Kinney!Week,I$83)</f>
        <v>228</v>
      </c>
      <c r="J42" s="247">
        <f>HLOOKUP($J$2,Kinney!Week,J$83)</f>
        <v>490</v>
      </c>
      <c r="K42" s="247">
        <f>HLOOKUP($J$2,Kinney!Week,K$83)</f>
        <v>643</v>
      </c>
      <c r="L42" s="235">
        <f>+'final handicap'!D37</f>
        <v>42</v>
      </c>
      <c r="M42" s="235">
        <f>Kinney!Y$24</f>
        <v>0</v>
      </c>
      <c r="O42" s="206"/>
      <c r="P42" s="107"/>
    </row>
    <row r="43" spans="1:16" x14ac:dyDescent="0.35">
      <c r="A43" s="234" t="s">
        <v>228</v>
      </c>
      <c r="B43" s="235">
        <v>4</v>
      </c>
      <c r="C43" s="247">
        <f>HLOOKUP($J$2,Koy!Week,C$83)</f>
        <v>698</v>
      </c>
      <c r="D43" s="247">
        <f>HLOOKUP($J$2,Koy!Week,D$83)</f>
        <v>6</v>
      </c>
      <c r="E43" s="248">
        <f>HLOOKUP($J$2,Koy!Week,E$83)</f>
        <v>116.33333333333333</v>
      </c>
      <c r="F43" s="278">
        <f t="shared" si="0"/>
        <v>75</v>
      </c>
      <c r="G43" s="281">
        <f>HLOOKUP($J$2,Koy!Week,G$83)</f>
        <v>75</v>
      </c>
      <c r="H43" s="249">
        <f>HLOOKUP($J$2,Koy!Week,H$83)</f>
        <v>0</v>
      </c>
      <c r="I43" s="247">
        <f>HLOOKUP($J$2,Koy!Week,I$83)</f>
        <v>75</v>
      </c>
      <c r="J43" s="247">
        <f>HLOOKUP($J$2,Koy!Week,J$83)</f>
        <v>0</v>
      </c>
      <c r="K43" s="247">
        <f>HLOOKUP($J$2,Koy!Week,K$83)</f>
        <v>225</v>
      </c>
      <c r="L43" s="235">
        <f>+'final handicap'!D38</f>
        <v>78</v>
      </c>
      <c r="M43" s="235">
        <f>Koy!Y$24</f>
        <v>0</v>
      </c>
      <c r="O43" s="206"/>
      <c r="P43" s="107"/>
    </row>
    <row r="44" spans="1:16" x14ac:dyDescent="0.35">
      <c r="A44" s="234" t="s">
        <v>181</v>
      </c>
      <c r="B44" s="235">
        <v>2</v>
      </c>
      <c r="C44" s="247">
        <f>HLOOKUP($J$2,Kuehm!Week,C$83)</f>
        <v>4945</v>
      </c>
      <c r="D44" s="247">
        <f>HLOOKUP($J$2,Kuehm!Week,D$83)</f>
        <v>40</v>
      </c>
      <c r="E44" s="248">
        <f>HLOOKUP($J$2,Kuehm!Week,E$83)</f>
        <v>123.625</v>
      </c>
      <c r="F44" s="278">
        <f t="shared" si="0"/>
        <v>69</v>
      </c>
      <c r="G44" s="281">
        <f>HLOOKUP($J$2,Kuehm!Week,G$83)</f>
        <v>69</v>
      </c>
      <c r="H44" s="249">
        <f>HLOOKUP($J$2,Kuehm!Week,H$83)</f>
        <v>150</v>
      </c>
      <c r="I44" s="247">
        <f>HLOOKUP($J$2,Kuehm!Week,I$83)</f>
        <v>220</v>
      </c>
      <c r="J44" s="247">
        <f>HLOOKUP($J$2,Kuehm!Week,J$83)</f>
        <v>411</v>
      </c>
      <c r="K44" s="247">
        <f>HLOOKUP($J$2,Kuehm!Week,K$83)</f>
        <v>621</v>
      </c>
      <c r="L44" s="235">
        <f>+'final handicap'!D39</f>
        <v>67</v>
      </c>
      <c r="M44" s="235">
        <f>Kuehm!Y$24</f>
        <v>0</v>
      </c>
      <c r="O44" s="206"/>
      <c r="P44" s="107"/>
    </row>
    <row r="45" spans="1:16" x14ac:dyDescent="0.35">
      <c r="A45" s="234" t="s">
        <v>154</v>
      </c>
      <c r="B45" s="235">
        <v>1</v>
      </c>
      <c r="C45" s="247">
        <f>HLOOKUP($J$2,Lalin!Week,C$83)</f>
        <v>521</v>
      </c>
      <c r="D45" s="247">
        <f>HLOOKUP($J$2,Lalin!Week,D$83)</f>
        <v>4</v>
      </c>
      <c r="E45" s="248">
        <f>HLOOKUP($J$2,Lalin!Week,E$83)</f>
        <v>130.25</v>
      </c>
      <c r="F45" s="278">
        <f t="shared" si="0"/>
        <v>63</v>
      </c>
      <c r="G45" s="281">
        <f>HLOOKUP($J$2,Lalin!Week,G$83)</f>
        <v>63</v>
      </c>
      <c r="H45" s="249">
        <f>HLOOKUP($J$2,Lalin!Week,H$83)</f>
        <v>0</v>
      </c>
      <c r="I45" s="247">
        <f>HLOOKUP($J$2,Lalin!Week,I$83)</f>
        <v>63</v>
      </c>
      <c r="J45" s="247">
        <f>HLOOKUP($J$2,Lalin!Week,J$83)</f>
        <v>0</v>
      </c>
      <c r="K45" s="247">
        <f>HLOOKUP($J$2,Lalin!Week,K$83)</f>
        <v>189</v>
      </c>
      <c r="L45" s="235">
        <f>+'final handicap'!D40</f>
        <v>53</v>
      </c>
      <c r="M45" s="235">
        <f>Lalin!Y$24</f>
        <v>0</v>
      </c>
      <c r="O45" s="206"/>
      <c r="P45" s="107"/>
    </row>
    <row r="46" spans="1:16" x14ac:dyDescent="0.35">
      <c r="A46" s="234" t="s">
        <v>322</v>
      </c>
      <c r="B46" s="235">
        <v>4</v>
      </c>
      <c r="C46" s="247">
        <f>HLOOKUP($J$2,Lamb!Week,C$83)</f>
        <v>3270</v>
      </c>
      <c r="D46" s="247">
        <f>HLOOKUP($J$2,Lamb!Week,D$83)</f>
        <v>25</v>
      </c>
      <c r="E46" s="248">
        <f>HLOOKUP($J$2,Lamb!Week,E$83)</f>
        <v>130.80000000000001</v>
      </c>
      <c r="F46" s="278">
        <f t="shared" ref="F46" si="14">IF(OR(D46&gt;3,L46="n/a"),G46,L46)</f>
        <v>62</v>
      </c>
      <c r="G46" s="281">
        <f>HLOOKUP($J$2,Lamb!Week,G$83)</f>
        <v>62</v>
      </c>
      <c r="H46" s="249">
        <f>HLOOKUP($J$2,Lamb!Week,H$83)</f>
        <v>0</v>
      </c>
      <c r="I46" s="247">
        <f>HLOOKUP($J$2,Lamb!Week,I$83)</f>
        <v>62</v>
      </c>
      <c r="J46" s="247">
        <f>HLOOKUP($J$2,Lamb!Week,J$83)</f>
        <v>0</v>
      </c>
      <c r="K46" s="247">
        <f>HLOOKUP($J$2,Lamb!Week,K$83)</f>
        <v>186</v>
      </c>
      <c r="L46" s="309" t="s">
        <v>244</v>
      </c>
      <c r="M46" s="235">
        <f>Lamb!Y$24</f>
        <v>0</v>
      </c>
      <c r="O46" s="206"/>
      <c r="P46" s="107"/>
    </row>
    <row r="47" spans="1:16" x14ac:dyDescent="0.35">
      <c r="A47" s="234" t="s">
        <v>285</v>
      </c>
      <c r="B47" s="235">
        <v>1</v>
      </c>
      <c r="C47" s="247">
        <f>HLOOKUP($J$2,LewisB!Week,C$83)</f>
        <v>5413</v>
      </c>
      <c r="D47" s="247">
        <f>HLOOKUP($J$2,LewisB!Week,D$83)</f>
        <v>42</v>
      </c>
      <c r="E47" s="248">
        <f>HLOOKUP($J$2,LewisB!Week,E$83)</f>
        <v>128.88095238095238</v>
      </c>
      <c r="F47" s="278">
        <f t="shared" ref="F47" si="15">IF(OR(D47&gt;3,L47="n/a"),G47,L47)</f>
        <v>64</v>
      </c>
      <c r="G47" s="281">
        <f>HLOOKUP($J$2,LewisB!Week,G$83)</f>
        <v>64</v>
      </c>
      <c r="H47" s="249">
        <f>HLOOKUP($J$2,LewisB!Week,H$83)</f>
        <v>159</v>
      </c>
      <c r="I47" s="247">
        <f>HLOOKUP($J$2,LewisB!Week,I$83)</f>
        <v>224</v>
      </c>
      <c r="J47" s="247">
        <f>HLOOKUP($J$2,LewisB!Week,J$83)</f>
        <v>435</v>
      </c>
      <c r="K47" s="247">
        <f>HLOOKUP($J$2,LewisB!Week,K$83)</f>
        <v>630</v>
      </c>
      <c r="L47" s="235">
        <f>+'final handicap'!D41</f>
        <v>75</v>
      </c>
      <c r="M47" s="235">
        <f>LewisB!Y$24</f>
        <v>0</v>
      </c>
      <c r="O47" s="206"/>
      <c r="P47" s="107"/>
    </row>
    <row r="48" spans="1:16" x14ac:dyDescent="0.35">
      <c r="A48" s="234" t="s">
        <v>284</v>
      </c>
      <c r="B48" s="235">
        <v>1</v>
      </c>
      <c r="C48" s="247">
        <f>HLOOKUP($J$2,LewisD!Week,C$83)</f>
        <v>8417</v>
      </c>
      <c r="D48" s="247">
        <f>HLOOKUP($J$2,LewisD!Week,D$83)</f>
        <v>61</v>
      </c>
      <c r="E48" s="248">
        <f>HLOOKUP($J$2,LewisD!Week,E$83)</f>
        <v>137.98360655737704</v>
      </c>
      <c r="F48" s="278">
        <f t="shared" si="0"/>
        <v>56</v>
      </c>
      <c r="G48" s="281">
        <f>HLOOKUP($J$2,LewisD!Week,G$83)</f>
        <v>56</v>
      </c>
      <c r="H48" s="249">
        <f>HLOOKUP($J$2,LewisD!Week,H$83)</f>
        <v>172</v>
      </c>
      <c r="I48" s="247">
        <f>HLOOKUP($J$2,LewisD!Week,I$83)</f>
        <v>228</v>
      </c>
      <c r="J48" s="247">
        <f>HLOOKUP($J$2,LewisD!Week,J$83)</f>
        <v>433</v>
      </c>
      <c r="K48" s="247">
        <f>HLOOKUP($J$2,LewisD!Week,K$83)</f>
        <v>601</v>
      </c>
      <c r="L48" s="235">
        <f>+'final handicap'!D42</f>
        <v>59</v>
      </c>
      <c r="M48" s="235">
        <f>LewisD!Y$24</f>
        <v>0</v>
      </c>
      <c r="O48" s="206"/>
      <c r="P48" s="107"/>
    </row>
    <row r="49" spans="1:16" x14ac:dyDescent="0.35">
      <c r="A49" s="234" t="s">
        <v>281</v>
      </c>
      <c r="B49" s="235">
        <v>2</v>
      </c>
      <c r="C49" s="247">
        <f>HLOOKUP($J$2,Lowell!Week,C$83)</f>
        <v>0</v>
      </c>
      <c r="D49" s="247">
        <f>HLOOKUP($J$2,Lowell!Week,D$83)</f>
        <v>0</v>
      </c>
      <c r="E49" s="248" t="e">
        <f>HLOOKUP($J$2,Lowell!Week,E$83)</f>
        <v>#DIV/0!</v>
      </c>
      <c r="F49" s="278">
        <f t="shared" si="0"/>
        <v>75</v>
      </c>
      <c r="G49" s="281" t="e">
        <f>HLOOKUP($J$2,Lowell!Week,G$83)</f>
        <v>#DIV/0!</v>
      </c>
      <c r="H49" s="249">
        <f>HLOOKUP($J$2,Lowell!Week,H$83)</f>
        <v>0</v>
      </c>
      <c r="I49" s="247">
        <f>HLOOKUP($J$2,Lowell!Week,I$83)</f>
        <v>75</v>
      </c>
      <c r="J49" s="247">
        <f>HLOOKUP($J$2,Lowell!Week,J$83)</f>
        <v>0</v>
      </c>
      <c r="K49" s="247">
        <f>HLOOKUP($J$2,Lowell!Week,K$83)</f>
        <v>225</v>
      </c>
      <c r="L49" s="235">
        <f>+'final handicap'!D43</f>
        <v>75</v>
      </c>
      <c r="M49" s="235">
        <f>Lowell!Y$24</f>
        <v>0</v>
      </c>
      <c r="O49" s="206"/>
      <c r="P49" s="107"/>
    </row>
    <row r="50" spans="1:16" x14ac:dyDescent="0.35">
      <c r="A50" s="234" t="s">
        <v>253</v>
      </c>
      <c r="B50" s="235">
        <v>2</v>
      </c>
      <c r="C50" s="247">
        <f>HLOOKUP($J$2,Luzzi!Week,C$83)</f>
        <v>402</v>
      </c>
      <c r="D50" s="247">
        <f>HLOOKUP($J$2,Luzzi!Week,D$83)</f>
        <v>3</v>
      </c>
      <c r="E50" s="248">
        <f>HLOOKUP($J$2,Luzzi!Week,E$83)</f>
        <v>134</v>
      </c>
      <c r="F50" s="278">
        <f t="shared" ref="F50" si="16">IF(OR(D50&gt;3,L50="n/a"),G50,L50)</f>
        <v>63</v>
      </c>
      <c r="G50" s="281">
        <f>HLOOKUP($J$2,Luzzi!Week,G$83)</f>
        <v>59</v>
      </c>
      <c r="H50" s="249">
        <f>HLOOKUP($J$2,Luzzi!Week,H$83)</f>
        <v>0</v>
      </c>
      <c r="I50" s="247">
        <f>HLOOKUP($J$2,Luzzi!Week,I$83)</f>
        <v>63</v>
      </c>
      <c r="J50" s="247">
        <f>HLOOKUP($J$2,Luzzi!Week,J$83)</f>
        <v>0</v>
      </c>
      <c r="K50" s="247">
        <f>HLOOKUP($J$2,Luzzi!Week,K$83)</f>
        <v>189</v>
      </c>
      <c r="L50" s="235">
        <f>+'final handicap'!D44</f>
        <v>63</v>
      </c>
      <c r="M50" s="235">
        <f>Luzzi!Y$24</f>
        <v>0</v>
      </c>
      <c r="O50" s="206"/>
      <c r="P50" s="107"/>
    </row>
    <row r="51" spans="1:16" x14ac:dyDescent="0.35">
      <c r="A51" s="234" t="s">
        <v>313</v>
      </c>
      <c r="B51" s="235">
        <v>1</v>
      </c>
      <c r="C51" s="247">
        <f>HLOOKUP($J$2,Maione!Week,C$83)</f>
        <v>4956</v>
      </c>
      <c r="D51" s="247">
        <f>HLOOKUP($J$2,Maione!Week,D$83)</f>
        <v>38</v>
      </c>
      <c r="E51" s="248">
        <f>HLOOKUP($J$2,Maione!Week,E$83)</f>
        <v>130.42105263157896</v>
      </c>
      <c r="F51" s="278">
        <f t="shared" ref="F51" si="17">IF(OR(D51&gt;3,L51="n/a"),G51,L51)</f>
        <v>63</v>
      </c>
      <c r="G51" s="281">
        <f>HLOOKUP($J$2,Maione!Week,G$83)</f>
        <v>63</v>
      </c>
      <c r="H51" s="249">
        <f>HLOOKUP($J$2,Maione!Week,H$83)</f>
        <v>0</v>
      </c>
      <c r="I51" s="247">
        <f>HLOOKUP($J$2,Maione!Week,I$83)</f>
        <v>63</v>
      </c>
      <c r="J51" s="247">
        <f>HLOOKUP($J$2,Maione!Week,J$83)</f>
        <v>0</v>
      </c>
      <c r="K51" s="247">
        <f>HLOOKUP($J$2,Maione!Week,K$83)</f>
        <v>189</v>
      </c>
      <c r="L51" s="235" t="s">
        <v>244</v>
      </c>
      <c r="M51" s="235">
        <f>Maione!Y$24</f>
        <v>0</v>
      </c>
      <c r="O51" s="206"/>
      <c r="P51" s="107"/>
    </row>
    <row r="52" spans="1:16" x14ac:dyDescent="0.35">
      <c r="A52" s="234" t="s">
        <v>184</v>
      </c>
      <c r="B52" s="235">
        <v>4</v>
      </c>
      <c r="C52" s="247">
        <f>HLOOKUP($J$2,Malady!Week,C$83)</f>
        <v>1197</v>
      </c>
      <c r="D52" s="247">
        <f>HLOOKUP($J$2,Malady!Week,D$83)</f>
        <v>9</v>
      </c>
      <c r="E52" s="248">
        <f>HLOOKUP($J$2,Malady!Week,E$83)</f>
        <v>133</v>
      </c>
      <c r="F52" s="278">
        <f t="shared" si="0"/>
        <v>60</v>
      </c>
      <c r="G52" s="281">
        <f>HLOOKUP($J$2,Malady!Week,G$83)</f>
        <v>60</v>
      </c>
      <c r="H52" s="249">
        <f>HLOOKUP($J$2,Malady!Week,H$83)</f>
        <v>140</v>
      </c>
      <c r="I52" s="247">
        <f>HLOOKUP($J$2,Malady!Week,I$83)</f>
        <v>193</v>
      </c>
      <c r="J52" s="247">
        <f>HLOOKUP($J$2,Malady!Week,J$83)</f>
        <v>350</v>
      </c>
      <c r="K52" s="247">
        <f>HLOOKUP($J$2,Malady!Week,K$83)</f>
        <v>509</v>
      </c>
      <c r="L52" s="235">
        <f>+'final handicap'!D45</f>
        <v>60</v>
      </c>
      <c r="M52" s="235">
        <f>Malady!Y$24</f>
        <v>0</v>
      </c>
      <c r="O52" s="206"/>
      <c r="P52" s="107"/>
    </row>
    <row r="53" spans="1:16" x14ac:dyDescent="0.35">
      <c r="A53" s="303" t="s">
        <v>218</v>
      </c>
      <c r="B53" s="235">
        <v>3</v>
      </c>
      <c r="C53" s="247">
        <f>HLOOKUP($J$2,Martorana!Week,C$83)</f>
        <v>0</v>
      </c>
      <c r="D53" s="247">
        <f>HLOOKUP($J$2,Martorana!Week,D$83)</f>
        <v>0</v>
      </c>
      <c r="E53" s="248" t="e">
        <f>HLOOKUP($J$2,Martorana!Week,E$83)</f>
        <v>#DIV/0!</v>
      </c>
      <c r="F53" s="278">
        <f t="shared" si="0"/>
        <v>53</v>
      </c>
      <c r="G53" s="281" t="e">
        <f>HLOOKUP($J$2,Martorana!Week,G$83)</f>
        <v>#DIV/0!</v>
      </c>
      <c r="H53" s="249">
        <f>HLOOKUP($J$2,Martorana!Week,H$83)</f>
        <v>0</v>
      </c>
      <c r="I53" s="247">
        <f>HLOOKUP($J$2,Martorana!Week,I$83)</f>
        <v>53</v>
      </c>
      <c r="J53" s="247">
        <f>HLOOKUP($J$2,Martorana!Week,J$83)</f>
        <v>0</v>
      </c>
      <c r="K53" s="247">
        <f>HLOOKUP($J$2,Martorana!Week,K$83)</f>
        <v>159</v>
      </c>
      <c r="L53" s="235">
        <f>+'final handicap'!D46</f>
        <v>53</v>
      </c>
      <c r="M53" s="235">
        <f>Martorana!Y$24</f>
        <v>0</v>
      </c>
      <c r="O53" s="206"/>
      <c r="P53" s="107"/>
    </row>
    <row r="54" spans="1:16" x14ac:dyDescent="0.35">
      <c r="A54" s="234" t="s">
        <v>212</v>
      </c>
      <c r="B54" s="235">
        <v>4</v>
      </c>
      <c r="C54" s="247">
        <f>HLOOKUP($J$2,Maute!Week,C$83)</f>
        <v>2126</v>
      </c>
      <c r="D54" s="247">
        <f>HLOOKUP($J$2,Maute!Week,D$83)</f>
        <v>18</v>
      </c>
      <c r="E54" s="248">
        <f>HLOOKUP($J$2,Maute!Week,E$83)</f>
        <v>118.11111111111111</v>
      </c>
      <c r="F54" s="278">
        <f t="shared" si="0"/>
        <v>74</v>
      </c>
      <c r="G54" s="281">
        <f>HLOOKUP($J$2,Maute!Week,G$83)</f>
        <v>74</v>
      </c>
      <c r="H54" s="249">
        <f>HLOOKUP($J$2,Maute!Week,H$83)</f>
        <v>0</v>
      </c>
      <c r="I54" s="247">
        <f>HLOOKUP($J$2,Maute!Week,I$83)</f>
        <v>74</v>
      </c>
      <c r="J54" s="247">
        <f>HLOOKUP($J$2,Maute!Week,J$83)</f>
        <v>0</v>
      </c>
      <c r="K54" s="247">
        <f>HLOOKUP($J$2,Maute!Week,K$83)</f>
        <v>222</v>
      </c>
      <c r="L54" s="235">
        <f>+'final handicap'!D47</f>
        <v>50</v>
      </c>
      <c r="M54" s="235">
        <f>Maute!Y$24</f>
        <v>0</v>
      </c>
      <c r="O54" s="206"/>
      <c r="P54" s="107"/>
    </row>
    <row r="55" spans="1:16" x14ac:dyDescent="0.35">
      <c r="A55" s="234" t="s">
        <v>174</v>
      </c>
      <c r="B55" s="235">
        <v>4</v>
      </c>
      <c r="C55" s="247">
        <f>HLOOKUP($J$2,Moran!Week,C$83)</f>
        <v>5181</v>
      </c>
      <c r="D55" s="247">
        <f>HLOOKUP($J$2,Moran!Week,D$83)</f>
        <v>33</v>
      </c>
      <c r="E55" s="248">
        <f>HLOOKUP($J$2,Moran!Week,E$83)</f>
        <v>157</v>
      </c>
      <c r="F55" s="278">
        <f t="shared" si="0"/>
        <v>39</v>
      </c>
      <c r="G55" s="281">
        <f>HLOOKUP($J$2,Moran!Week,G$83)</f>
        <v>39</v>
      </c>
      <c r="H55" s="249">
        <f>HLOOKUP($J$2,Moran!Week,H$83)</f>
        <v>0</v>
      </c>
      <c r="I55" s="247">
        <f>HLOOKUP($J$2,Moran!Week,I$83)</f>
        <v>39</v>
      </c>
      <c r="J55" s="247">
        <f>HLOOKUP($J$2,Moran!Week,J$83)</f>
        <v>0</v>
      </c>
      <c r="K55" s="247">
        <f>HLOOKUP($J$2,Moran!Week,K$83)</f>
        <v>117</v>
      </c>
      <c r="L55" s="235">
        <f>+'final handicap'!D48</f>
        <v>36</v>
      </c>
      <c r="M55" s="235">
        <f>Moran!Y$24</f>
        <v>0</v>
      </c>
      <c r="O55" s="206"/>
      <c r="P55" s="107"/>
    </row>
    <row r="56" spans="1:16" x14ac:dyDescent="0.35">
      <c r="A56" s="234" t="s">
        <v>26</v>
      </c>
      <c r="B56" s="235">
        <v>1</v>
      </c>
      <c r="C56" s="247">
        <f>HLOOKUP($J$2,Nix!Week,C$83)</f>
        <v>4828</v>
      </c>
      <c r="D56" s="247">
        <f>HLOOKUP($J$2,Nix!Week,D$83)</f>
        <v>39</v>
      </c>
      <c r="E56" s="248">
        <f>HLOOKUP($J$2,Nix!Week,E$83)</f>
        <v>123.7948717948718</v>
      </c>
      <c r="F56" s="278">
        <f t="shared" si="0"/>
        <v>69</v>
      </c>
      <c r="G56" s="281">
        <f>HLOOKUP($J$2,Nix!Week,G$83)</f>
        <v>69</v>
      </c>
      <c r="H56" s="249">
        <f>HLOOKUP($J$2,Nix!Week,H$83)</f>
        <v>158</v>
      </c>
      <c r="I56" s="247">
        <f>HLOOKUP($J$2,Nix!Week,I$83)</f>
        <v>227</v>
      </c>
      <c r="J56" s="247">
        <f>HLOOKUP($J$2,Nix!Week,J$83)</f>
        <v>390</v>
      </c>
      <c r="K56" s="247">
        <f>HLOOKUP($J$2,Nix!Week,K$83)</f>
        <v>597</v>
      </c>
      <c r="L56" s="235">
        <f>+'final handicap'!D49</f>
        <v>62</v>
      </c>
      <c r="M56" s="235">
        <f>Nix!Y$24</f>
        <v>0</v>
      </c>
      <c r="O56" s="227"/>
      <c r="P56" s="107"/>
    </row>
    <row r="57" spans="1:16" x14ac:dyDescent="0.35">
      <c r="A57" s="303" t="s">
        <v>216</v>
      </c>
      <c r="B57" s="235">
        <v>2</v>
      </c>
      <c r="C57" s="247">
        <f>HLOOKUP($J$2,Pond!Week,C$83)</f>
        <v>4544</v>
      </c>
      <c r="D57" s="247">
        <f>HLOOKUP($J$2,Pond!Week,D$83)</f>
        <v>30</v>
      </c>
      <c r="E57" s="248">
        <f>HLOOKUP($J$2,Pond!Week,E$83)</f>
        <v>151.46666666666667</v>
      </c>
      <c r="F57" s="278">
        <f t="shared" si="0"/>
        <v>44</v>
      </c>
      <c r="G57" s="281">
        <f>HLOOKUP($J$2,Pond!Week,G$83)</f>
        <v>44</v>
      </c>
      <c r="H57" s="249">
        <f>HLOOKUP($J$2,Pond!Week,H$83)</f>
        <v>0</v>
      </c>
      <c r="I57" s="247">
        <f>HLOOKUP($J$2,Pond!Week,I$83)</f>
        <v>44</v>
      </c>
      <c r="J57" s="247">
        <f>HLOOKUP($J$2,Pond!Week,J$83)</f>
        <v>0</v>
      </c>
      <c r="K57" s="247">
        <f>HLOOKUP($J$2,Pond!Week,K$83)</f>
        <v>132</v>
      </c>
      <c r="L57" s="235">
        <f>+'final handicap'!D50</f>
        <v>43</v>
      </c>
      <c r="M57" s="235">
        <f>Pond!Y$24</f>
        <v>0</v>
      </c>
      <c r="O57" s="206"/>
      <c r="P57" s="107"/>
    </row>
    <row r="58" spans="1:16" x14ac:dyDescent="0.35">
      <c r="A58" s="234" t="s">
        <v>225</v>
      </c>
      <c r="B58" s="235">
        <v>1</v>
      </c>
      <c r="C58" s="247">
        <f>HLOOKUP($J$2,Proudlove!Week,C$83)</f>
        <v>0</v>
      </c>
      <c r="D58" s="247">
        <f>HLOOKUP($J$2,Proudlove!Week,D$83)</f>
        <v>0</v>
      </c>
      <c r="E58" s="248" t="e">
        <f>HLOOKUP($J$2,Proudlove!Week,E$83)</f>
        <v>#DIV/0!</v>
      </c>
      <c r="F58" s="278">
        <f t="shared" si="0"/>
        <v>88</v>
      </c>
      <c r="G58" s="281" t="e">
        <f>HLOOKUP($J$2,Proudlove!Week,G$83)</f>
        <v>#DIV/0!</v>
      </c>
      <c r="H58" s="249">
        <f>HLOOKUP($J$2,Proudlove!Week,H$83)</f>
        <v>0</v>
      </c>
      <c r="I58" s="247">
        <f>HLOOKUP($J$2,Proudlove!Week,I$83)</f>
        <v>88</v>
      </c>
      <c r="J58" s="247">
        <f>HLOOKUP($J$2,Proudlove!Week,J$83)</f>
        <v>0</v>
      </c>
      <c r="K58" s="247">
        <f>HLOOKUP($J$2,Proudlove!Week,K$83)</f>
        <v>264</v>
      </c>
      <c r="L58" s="235">
        <f>+'final handicap'!D51</f>
        <v>88</v>
      </c>
      <c r="M58" s="235">
        <f>Proudlove!Y$24</f>
        <v>0</v>
      </c>
      <c r="O58" s="206"/>
      <c r="P58" s="107"/>
    </row>
    <row r="59" spans="1:16" x14ac:dyDescent="0.35">
      <c r="A59" s="234" t="s">
        <v>30</v>
      </c>
      <c r="B59" s="235">
        <v>3</v>
      </c>
      <c r="C59" s="247">
        <f>HLOOKUP($J$2,Ramich!Week,C$83)</f>
        <v>4966</v>
      </c>
      <c r="D59" s="247">
        <f>HLOOKUP($J$2,Ramich!Week,D$83)</f>
        <v>39</v>
      </c>
      <c r="E59" s="248">
        <f>HLOOKUP($J$2,Ramich!Week,E$83)</f>
        <v>127.33333333333333</v>
      </c>
      <c r="F59" s="278">
        <f t="shared" si="0"/>
        <v>65</v>
      </c>
      <c r="G59" s="281">
        <f>HLOOKUP($J$2,Ramich!Week,G$83)</f>
        <v>65</v>
      </c>
      <c r="H59" s="249">
        <f>HLOOKUP($J$2,Ramich!Week,H$83)</f>
        <v>167</v>
      </c>
      <c r="I59" s="247">
        <f>HLOOKUP($J$2,Ramich!Week,I$83)</f>
        <v>234</v>
      </c>
      <c r="J59" s="247">
        <f>HLOOKUP($J$2,Ramich!Week,J$83)</f>
        <v>447</v>
      </c>
      <c r="K59" s="247">
        <f>HLOOKUP($J$2,Ramich!Week,K$83)</f>
        <v>648</v>
      </c>
      <c r="L59" s="235">
        <f>+'final handicap'!D52</f>
        <v>59</v>
      </c>
      <c r="M59" s="235">
        <f>Ramich!Y$24</f>
        <v>0</v>
      </c>
      <c r="O59" s="206"/>
      <c r="P59" s="107"/>
    </row>
    <row r="60" spans="1:16" x14ac:dyDescent="0.35">
      <c r="A60" s="234" t="s">
        <v>178</v>
      </c>
      <c r="B60" s="235">
        <v>1</v>
      </c>
      <c r="C60" s="247">
        <f>HLOOKUP($J$2,Renahan!Week,C$83)</f>
        <v>1081</v>
      </c>
      <c r="D60" s="247">
        <f>HLOOKUP($J$2,Renahan!Week,D$83)</f>
        <v>9</v>
      </c>
      <c r="E60" s="248">
        <f>HLOOKUP($J$2,Renahan!Week,E$83)</f>
        <v>120.11111111111111</v>
      </c>
      <c r="F60" s="278">
        <f t="shared" si="0"/>
        <v>72</v>
      </c>
      <c r="G60" s="281">
        <f>HLOOKUP($J$2,Renahan!Week,G$83)</f>
        <v>72</v>
      </c>
      <c r="H60" s="249">
        <f>HLOOKUP($J$2,Renahan!Week,H$83)</f>
        <v>0</v>
      </c>
      <c r="I60" s="247">
        <f>HLOOKUP($J$2,Renahan!Week,I$83)</f>
        <v>72</v>
      </c>
      <c r="J60" s="247">
        <f>HLOOKUP($J$2,Renahan!Week,J$83)</f>
        <v>0</v>
      </c>
      <c r="K60" s="247">
        <f>HLOOKUP($J$2,Renahan!Week,K$83)</f>
        <v>216</v>
      </c>
      <c r="L60" s="235">
        <f>+'final handicap'!D53</f>
        <v>62</v>
      </c>
      <c r="M60" s="235">
        <f>Renahan!Y$24</f>
        <v>0</v>
      </c>
      <c r="O60" s="206"/>
      <c r="P60" s="107"/>
    </row>
    <row r="61" spans="1:16" x14ac:dyDescent="0.35">
      <c r="A61" s="234" t="s">
        <v>275</v>
      </c>
      <c r="B61" s="235">
        <v>2</v>
      </c>
      <c r="C61" s="247">
        <f>HLOOKUP($J$2,Rioux!Week,C$83)</f>
        <v>0</v>
      </c>
      <c r="D61" s="247">
        <f>HLOOKUP($J$2,Rioux!Week,D$83)</f>
        <v>0</v>
      </c>
      <c r="E61" s="248" t="e">
        <f>HLOOKUP($J$2,Rioux!Week,E$83)</f>
        <v>#DIV/0!</v>
      </c>
      <c r="F61" s="278">
        <f t="shared" ref="F61" si="18">IF(OR(D61&gt;3,L61="n/a"),G61,L61)</f>
        <v>70</v>
      </c>
      <c r="G61" s="281" t="e">
        <f>HLOOKUP($J$2,Rioux!Week,G$83)</f>
        <v>#DIV/0!</v>
      </c>
      <c r="H61" s="249">
        <f>HLOOKUP($J$2,Rioux!Week,H$83)</f>
        <v>0</v>
      </c>
      <c r="I61" s="247">
        <f>HLOOKUP($J$2,Rioux!Week,I$83)</f>
        <v>70</v>
      </c>
      <c r="J61" s="247">
        <f>HLOOKUP($J$2,Rioux!Week,J$83)</f>
        <v>0</v>
      </c>
      <c r="K61" s="247">
        <f>HLOOKUP($J$2,Rioux!Week,K$83)</f>
        <v>210</v>
      </c>
      <c r="L61" s="235">
        <f>+'final handicap'!D54</f>
        <v>70</v>
      </c>
      <c r="M61" s="235">
        <f>Rioux!Y$24</f>
        <v>0</v>
      </c>
      <c r="O61" s="206"/>
      <c r="P61" s="107"/>
    </row>
    <row r="62" spans="1:16" x14ac:dyDescent="0.35">
      <c r="A62" s="234" t="s">
        <v>208</v>
      </c>
      <c r="B62" s="235">
        <v>1</v>
      </c>
      <c r="C62" s="247">
        <f>HLOOKUP($J$2,Rogers!Week,C$83)</f>
        <v>0</v>
      </c>
      <c r="D62" s="247">
        <f>HLOOKUP($J$2,Rogers!Week,D$83)</f>
        <v>0</v>
      </c>
      <c r="E62" s="248" t="e">
        <f>HLOOKUP($J$2,Rogers!Week,E$83)</f>
        <v>#DIV/0!</v>
      </c>
      <c r="F62" s="278">
        <f t="shared" si="0"/>
        <v>55</v>
      </c>
      <c r="G62" s="281" t="e">
        <f>HLOOKUP($J$2,Rogers!Week,G$83)</f>
        <v>#DIV/0!</v>
      </c>
      <c r="H62" s="249">
        <f>HLOOKUP($J$2,Rogers!Week,H$83)</f>
        <v>0</v>
      </c>
      <c r="I62" s="247">
        <f>HLOOKUP($J$2,Rogers!Week,I$83)</f>
        <v>55</v>
      </c>
      <c r="J62" s="247">
        <f>HLOOKUP($J$2,Rogers!Week,J$83)</f>
        <v>0</v>
      </c>
      <c r="K62" s="247">
        <f>HLOOKUP($J$2,Rogers!Week,K$83)</f>
        <v>165</v>
      </c>
      <c r="L62" s="235">
        <f>+'final handicap'!D55</f>
        <v>55</v>
      </c>
      <c r="M62" s="235">
        <f>Rogers!Y$24</f>
        <v>0</v>
      </c>
      <c r="O62" s="206"/>
      <c r="P62" s="107"/>
    </row>
    <row r="63" spans="1:16" x14ac:dyDescent="0.35">
      <c r="A63" s="234" t="s">
        <v>286</v>
      </c>
      <c r="B63" s="235">
        <v>2</v>
      </c>
      <c r="C63" s="247">
        <f>HLOOKUP($J$2,Rose!Week,C$83)</f>
        <v>7549</v>
      </c>
      <c r="D63" s="247">
        <f>HLOOKUP($J$2,Rose!Week,D$83)</f>
        <v>49</v>
      </c>
      <c r="E63" s="248">
        <f>HLOOKUP($J$2,Rose!Week,E$83)</f>
        <v>154.0612244897959</v>
      </c>
      <c r="F63" s="278">
        <f t="shared" ref="F63" si="19">IF(OR(D63&gt;3,L63="n/a"),G63,L63)</f>
        <v>41</v>
      </c>
      <c r="G63" s="281">
        <f>HLOOKUP($J$2,Rose!Week,G$83)</f>
        <v>41</v>
      </c>
      <c r="H63" s="249">
        <f>HLOOKUP($J$2,Rose!Week,H$83)</f>
        <v>169</v>
      </c>
      <c r="I63" s="247">
        <f>HLOOKUP($J$2,Rose!Week,I$83)</f>
        <v>211</v>
      </c>
      <c r="J63" s="247">
        <f>HLOOKUP($J$2,Rose!Week,J$83)</f>
        <v>487</v>
      </c>
      <c r="K63" s="247">
        <f>HLOOKUP($J$2,Rose!Week,K$83)</f>
        <v>613</v>
      </c>
      <c r="L63" s="235">
        <f>+'final handicap'!D56</f>
        <v>54</v>
      </c>
      <c r="M63" s="235">
        <f>Rose!Y$24</f>
        <v>0</v>
      </c>
      <c r="O63" s="206"/>
      <c r="P63" s="107"/>
    </row>
    <row r="64" spans="1:16" x14ac:dyDescent="0.35">
      <c r="A64" s="303" t="s">
        <v>315</v>
      </c>
      <c r="B64" s="235">
        <v>4</v>
      </c>
      <c r="C64" s="247">
        <f>HLOOKUP($J$2,Schneider!Week,C$83)</f>
        <v>5570</v>
      </c>
      <c r="D64" s="247">
        <f>HLOOKUP($J$2,Schneider!Week,D$83)</f>
        <v>43</v>
      </c>
      <c r="E64" s="248">
        <f>HLOOKUP($J$2,Schneider!Week,E$83)</f>
        <v>129.53488372093022</v>
      </c>
      <c r="F64" s="278">
        <f t="shared" ref="F64" si="20">IF(OR(D64&gt;3,L64="n/a"),G64,L64)</f>
        <v>63</v>
      </c>
      <c r="G64" s="281">
        <f>HLOOKUP($J$2,Schneider!Week,G$83)</f>
        <v>63</v>
      </c>
      <c r="H64" s="249">
        <f>HLOOKUP($J$2,Schneider!Week,H$83)</f>
        <v>139</v>
      </c>
      <c r="I64" s="247">
        <f>HLOOKUP($J$2,Schneider!Week,I$83)</f>
        <v>201</v>
      </c>
      <c r="J64" s="247">
        <f>HLOOKUP($J$2,Schneider!Week,J$83)</f>
        <v>345</v>
      </c>
      <c r="K64" s="247">
        <f>HLOOKUP($J$2,Schneider!Week,K$83)</f>
        <v>531</v>
      </c>
      <c r="L64" s="235" t="s">
        <v>244</v>
      </c>
      <c r="M64" s="235">
        <f>Schneider!Y$24</f>
        <v>0</v>
      </c>
      <c r="O64" s="206"/>
      <c r="P64" s="107"/>
    </row>
    <row r="65" spans="1:16" x14ac:dyDescent="0.35">
      <c r="A65" s="303" t="s">
        <v>204</v>
      </c>
      <c r="B65" s="235">
        <v>3</v>
      </c>
      <c r="C65" s="247">
        <f>HLOOKUP($J$2,Scolaro!Week,C$83)</f>
        <v>7106</v>
      </c>
      <c r="D65" s="247">
        <f>HLOOKUP($J$2,Scolaro!Week,D$83)</f>
        <v>46</v>
      </c>
      <c r="E65" s="248">
        <f>HLOOKUP($J$2,Scolaro!Week,E$83)</f>
        <v>154.47826086956522</v>
      </c>
      <c r="F65" s="278">
        <f t="shared" si="0"/>
        <v>41</v>
      </c>
      <c r="G65" s="281">
        <f>HLOOKUP($J$2,Scolaro!Week,G$83)</f>
        <v>41</v>
      </c>
      <c r="H65" s="249">
        <f>HLOOKUP($J$2,Scolaro!Week,H$83)</f>
        <v>0</v>
      </c>
      <c r="I65" s="247">
        <f>HLOOKUP($J$2,Scolaro!Week,I$83)</f>
        <v>41</v>
      </c>
      <c r="J65" s="247">
        <f>HLOOKUP($J$2,Scolaro!Week,J$83)</f>
        <v>0</v>
      </c>
      <c r="K65" s="247">
        <f>HLOOKUP($J$2,Scolaro!Week,K$83)</f>
        <v>123</v>
      </c>
      <c r="L65" s="235">
        <f>+'final handicap'!D57</f>
        <v>39</v>
      </c>
      <c r="M65" s="235">
        <f>Scolaro!Y$24</f>
        <v>0</v>
      </c>
      <c r="O65" s="206"/>
      <c r="P65" s="107"/>
    </row>
    <row r="66" spans="1:16" x14ac:dyDescent="0.35">
      <c r="A66" s="234" t="s">
        <v>272</v>
      </c>
      <c r="B66" s="235">
        <v>3</v>
      </c>
      <c r="C66" s="247">
        <f>HLOOKUP($J$2,ShawS!Week,C$83)</f>
        <v>5916</v>
      </c>
      <c r="D66" s="247">
        <f>HLOOKUP($J$2,ShawS!Week,D$83)</f>
        <v>48</v>
      </c>
      <c r="E66" s="248">
        <f>HLOOKUP($J$2,ShawS!Week,E$83)</f>
        <v>123.25</v>
      </c>
      <c r="F66" s="278">
        <f t="shared" ref="F66" si="21">IF(OR(D66&gt;3,L66="n/a"),G66,L66)</f>
        <v>69</v>
      </c>
      <c r="G66" s="281">
        <f>HLOOKUP($J$2,ShawS!Week,G$83)</f>
        <v>69</v>
      </c>
      <c r="H66" s="249">
        <f>HLOOKUP($J$2,ShawS!Week,H$83)</f>
        <v>150</v>
      </c>
      <c r="I66" s="247">
        <f>HLOOKUP($J$2,ShawS!Week,I$83)</f>
        <v>220</v>
      </c>
      <c r="J66" s="247">
        <f>HLOOKUP($J$2,ShawS!Week,J$83)</f>
        <v>423</v>
      </c>
      <c r="K66" s="247">
        <f>HLOOKUP($J$2,ShawS!Week,K$83)</f>
        <v>633</v>
      </c>
      <c r="L66" s="235">
        <f>+'final handicap'!D58</f>
        <v>75</v>
      </c>
      <c r="M66" s="235">
        <f>ShawS!Y$24</f>
        <v>0</v>
      </c>
      <c r="O66" s="206"/>
      <c r="P66" s="107"/>
    </row>
    <row r="67" spans="1:16" x14ac:dyDescent="0.35">
      <c r="A67" s="234" t="s">
        <v>248</v>
      </c>
      <c r="B67" s="235">
        <v>4</v>
      </c>
      <c r="C67" s="247">
        <f>HLOOKUP($J$2,Shepherd!Week,C$83)</f>
        <v>6604</v>
      </c>
      <c r="D67" s="247">
        <f>HLOOKUP($J$2,Shepherd!Week,D$83)</f>
        <v>50</v>
      </c>
      <c r="E67" s="248">
        <f>HLOOKUP($J$2,Shepherd!Week,E$83)</f>
        <v>132.08000000000001</v>
      </c>
      <c r="F67" s="278">
        <f t="shared" ref="F67" si="22">IF(OR(D67&gt;3,L67="n/a"),G67,L67)</f>
        <v>61</v>
      </c>
      <c r="G67" s="281">
        <f>HLOOKUP($J$2,Shepherd!Week,G$83)</f>
        <v>61</v>
      </c>
      <c r="H67" s="249">
        <f>HLOOKUP($J$2,Shepherd!Week,H$83)</f>
        <v>141</v>
      </c>
      <c r="I67" s="247">
        <f>HLOOKUP($J$2,Shepherd!Week,I$83)</f>
        <v>202</v>
      </c>
      <c r="J67" s="247">
        <f>HLOOKUP($J$2,Shepherd!Week,J$83)</f>
        <v>377</v>
      </c>
      <c r="K67" s="247">
        <f>HLOOKUP($J$2,Shepherd!Week,K$83)</f>
        <v>560</v>
      </c>
      <c r="L67" s="235">
        <f>+'final handicap'!D59</f>
        <v>51</v>
      </c>
      <c r="M67" s="235">
        <f>Shepherd!Y$24</f>
        <v>0</v>
      </c>
      <c r="O67" s="206"/>
      <c r="P67" s="107"/>
    </row>
    <row r="68" spans="1:16" x14ac:dyDescent="0.35">
      <c r="A68" s="234" t="s">
        <v>247</v>
      </c>
      <c r="B68" s="235">
        <v>2</v>
      </c>
      <c r="C68" s="247">
        <f>HLOOKUP($J$2,SmithM!Week,C$83)</f>
        <v>3342</v>
      </c>
      <c r="D68" s="247">
        <f>HLOOKUP($J$2,SmithM!Week,D$83)</f>
        <v>23</v>
      </c>
      <c r="E68" s="248">
        <f>HLOOKUP($J$2,SmithM!Week,E$83)</f>
        <v>145.30434782608697</v>
      </c>
      <c r="F68" s="278">
        <f t="shared" si="0"/>
        <v>49</v>
      </c>
      <c r="G68" s="281">
        <f>HLOOKUP($J$2,SmithM!Week,G$83)</f>
        <v>49</v>
      </c>
      <c r="H68" s="249">
        <f>HLOOKUP($J$2,SmithM!Week,H$83)</f>
        <v>0</v>
      </c>
      <c r="I68" s="247">
        <f>HLOOKUP($J$2,SmithM!Week,I$83)</f>
        <v>49</v>
      </c>
      <c r="J68" s="247">
        <f>HLOOKUP($J$2,SmithM!Week,J$83)</f>
        <v>0</v>
      </c>
      <c r="K68" s="247">
        <f>HLOOKUP($J$2,SmithM!Week,K$83)</f>
        <v>147</v>
      </c>
      <c r="L68" s="235">
        <f>+'final handicap'!D60</f>
        <v>53</v>
      </c>
      <c r="M68" s="235">
        <f>SmithM!Y$24</f>
        <v>0</v>
      </c>
      <c r="O68" s="206"/>
      <c r="P68" s="107"/>
    </row>
    <row r="69" spans="1:16" x14ac:dyDescent="0.35">
      <c r="A69" s="234" t="s">
        <v>324</v>
      </c>
      <c r="B69" s="235">
        <v>2</v>
      </c>
      <c r="C69" s="247">
        <f>HLOOKUP($J$2,Stanton!Week,C$83)</f>
        <v>2483</v>
      </c>
      <c r="D69" s="247">
        <f>HLOOKUP($J$2,Stanton!Week,D$83)</f>
        <v>18</v>
      </c>
      <c r="E69" s="248">
        <f>HLOOKUP($J$2,Stanton!Week,E$83)</f>
        <v>137.94444444444446</v>
      </c>
      <c r="F69" s="278">
        <f t="shared" ref="F69" si="23">IF(OR(D69&gt;3,L69="n/a"),G69,L69)</f>
        <v>56</v>
      </c>
      <c r="G69" s="281">
        <f>HLOOKUP($J$2,Stanton!Week,G$83)</f>
        <v>56</v>
      </c>
      <c r="H69" s="249">
        <f>HLOOKUP($J$2,Stanton!Week,H$83)</f>
        <v>162</v>
      </c>
      <c r="I69" s="247">
        <f>HLOOKUP($J$2,Stanton!Week,I$83)</f>
        <v>217</v>
      </c>
      <c r="J69" s="247">
        <f>HLOOKUP($J$2,Stanton!Week,J$83)</f>
        <v>406</v>
      </c>
      <c r="K69" s="247">
        <f>HLOOKUP($J$2,Stanton!Week,K$83)</f>
        <v>571</v>
      </c>
      <c r="L69" s="235" t="s">
        <v>244</v>
      </c>
      <c r="M69" s="235">
        <f>Stanton!Y$24</f>
        <v>0</v>
      </c>
      <c r="O69" s="206"/>
      <c r="P69" s="107"/>
    </row>
    <row r="70" spans="1:16" x14ac:dyDescent="0.35">
      <c r="A70" s="234" t="s">
        <v>273</v>
      </c>
      <c r="B70" s="235">
        <v>1</v>
      </c>
      <c r="C70" s="247">
        <f>HLOOKUP($J$2,Stuss!Week,C$83)</f>
        <v>3405</v>
      </c>
      <c r="D70" s="247">
        <f>HLOOKUP($J$2,Stuss!Week,D$83)</f>
        <v>30</v>
      </c>
      <c r="E70" s="248">
        <f>HLOOKUP($J$2,Stuss!Week,E$83)</f>
        <v>113.5</v>
      </c>
      <c r="F70" s="278">
        <f t="shared" ref="F70" si="24">IF(OR(D70&gt;3,L70="n/a"),G70,L70)</f>
        <v>78</v>
      </c>
      <c r="G70" s="281">
        <f>HLOOKUP($J$2,Stuss!Week,G$83)</f>
        <v>78</v>
      </c>
      <c r="H70" s="249">
        <f>HLOOKUP($J$2,Stuss!Week,H$83)</f>
        <v>181</v>
      </c>
      <c r="I70" s="247">
        <f>HLOOKUP($J$2,Stuss!Week,I$83)</f>
        <v>262</v>
      </c>
      <c r="J70" s="247">
        <f>HLOOKUP($J$2,Stuss!Week,J$83)</f>
        <v>440</v>
      </c>
      <c r="K70" s="247">
        <f>HLOOKUP($J$2,Stuss!Week,K$83)</f>
        <v>683</v>
      </c>
      <c r="L70" s="235">
        <f>+'final handicap'!D61</f>
        <v>84</v>
      </c>
      <c r="M70" s="235">
        <f>Stuss!Y$24</f>
        <v>0</v>
      </c>
      <c r="O70" s="206"/>
      <c r="P70" s="107"/>
    </row>
    <row r="71" spans="1:16" x14ac:dyDescent="0.35">
      <c r="A71" s="234" t="s">
        <v>55</v>
      </c>
      <c r="B71" s="235">
        <v>3</v>
      </c>
      <c r="C71" s="247">
        <f>HLOOKUP($J$2,Sullivan!Week,C$83)</f>
        <v>2613</v>
      </c>
      <c r="D71" s="247">
        <f>HLOOKUP($J$2,Sullivan!Week,D$83)</f>
        <v>19</v>
      </c>
      <c r="E71" s="248">
        <f>HLOOKUP($J$2,Sullivan!Week,E$83)</f>
        <v>137.52631578947367</v>
      </c>
      <c r="F71" s="278">
        <f t="shared" si="0"/>
        <v>56</v>
      </c>
      <c r="G71" s="281">
        <f>HLOOKUP($J$2,Sullivan!Week,G$83)</f>
        <v>56</v>
      </c>
      <c r="H71" s="249">
        <f>HLOOKUP($J$2,Sullivan!Week,H$83)</f>
        <v>0</v>
      </c>
      <c r="I71" s="247">
        <f>HLOOKUP($J$2,Sullivan!Week,I$83)</f>
        <v>56</v>
      </c>
      <c r="J71" s="247">
        <f>HLOOKUP($J$2,Sullivan!Week,J$83)</f>
        <v>0</v>
      </c>
      <c r="K71" s="247">
        <f>HLOOKUP($J$2,Sullivan!Week,K$83)</f>
        <v>168</v>
      </c>
      <c r="L71" s="235">
        <f>+'final handicap'!D62</f>
        <v>54</v>
      </c>
      <c r="M71" s="235">
        <f>Sullivan!Y$24</f>
        <v>0</v>
      </c>
      <c r="O71" s="206"/>
      <c r="P71" s="107"/>
    </row>
    <row r="72" spans="1:16" x14ac:dyDescent="0.35">
      <c r="A72" s="234" t="s">
        <v>245</v>
      </c>
      <c r="B72" s="235">
        <v>4</v>
      </c>
      <c r="C72" s="247">
        <f>HLOOKUP($J$2,Tellie!Week,C$83)</f>
        <v>310</v>
      </c>
      <c r="D72" s="247">
        <f>HLOOKUP($J$2,Tellie!Week,D$83)</f>
        <v>3</v>
      </c>
      <c r="E72" s="248">
        <f>HLOOKUP($J$2,Tellie!Week,E$83)</f>
        <v>103.33333333333333</v>
      </c>
      <c r="F72" s="278">
        <f t="shared" ref="F72" si="25">IF(OR(D72&gt;3,L72="n/a"),G72,L72)</f>
        <v>76</v>
      </c>
      <c r="G72" s="281">
        <f>HLOOKUP($J$2,Tellie!Week,G$83)</f>
        <v>87</v>
      </c>
      <c r="H72" s="249">
        <f>HLOOKUP($J$2,Tellie!Week,H$83)</f>
        <v>0</v>
      </c>
      <c r="I72" s="247">
        <f>HLOOKUP($J$2,Tellie!Week,I$83)</f>
        <v>76</v>
      </c>
      <c r="J72" s="247">
        <f>HLOOKUP($J$2,Tellie!Week,J$83)</f>
        <v>0</v>
      </c>
      <c r="K72" s="247">
        <f>HLOOKUP($J$2,Tellie!Week,K$83)</f>
        <v>228</v>
      </c>
      <c r="L72" s="235">
        <f>+'final handicap'!D63</f>
        <v>76</v>
      </c>
      <c r="M72" s="235">
        <f>Tellie!Y$24</f>
        <v>0</v>
      </c>
      <c r="O72" s="206"/>
      <c r="P72" s="107"/>
    </row>
    <row r="73" spans="1:16" x14ac:dyDescent="0.35">
      <c r="A73" s="234" t="s">
        <v>202</v>
      </c>
      <c r="B73" s="235">
        <v>1</v>
      </c>
      <c r="C73" s="247">
        <f>HLOOKUP($J$2,Terhune!Week,C$83)</f>
        <v>4964</v>
      </c>
      <c r="D73" s="247">
        <f>HLOOKUP($J$2,Terhune!Week,D$83)</f>
        <v>33</v>
      </c>
      <c r="E73" s="248">
        <f>HLOOKUP($J$2,Terhune!Week,E$83)</f>
        <v>150.42424242424244</v>
      </c>
      <c r="F73" s="278">
        <f t="shared" si="0"/>
        <v>45</v>
      </c>
      <c r="G73" s="281">
        <f>HLOOKUP($J$2,Terhune!Week,G$83)</f>
        <v>45</v>
      </c>
      <c r="H73" s="249">
        <f>HLOOKUP($J$2,Terhune!Week,H$83)</f>
        <v>0</v>
      </c>
      <c r="I73" s="247">
        <f>HLOOKUP($J$2,Terhune!Week,I$83)</f>
        <v>45</v>
      </c>
      <c r="J73" s="247">
        <f>HLOOKUP($J$2,Terhune!Week,J$83)</f>
        <v>0</v>
      </c>
      <c r="K73" s="247">
        <f>HLOOKUP($J$2,Terhune!Week,K$83)</f>
        <v>135</v>
      </c>
      <c r="L73" s="235">
        <f>+'final handicap'!D64</f>
        <v>42</v>
      </c>
      <c r="M73" s="235">
        <f>Terhune!Y$24</f>
        <v>0</v>
      </c>
      <c r="O73" s="206"/>
      <c r="P73" s="107"/>
    </row>
    <row r="74" spans="1:16" x14ac:dyDescent="0.35">
      <c r="A74" s="234" t="s">
        <v>249</v>
      </c>
      <c r="B74" s="235">
        <v>2</v>
      </c>
      <c r="C74" s="247">
        <f>HLOOKUP($J$2,Thompson!Week,C$83)</f>
        <v>3072</v>
      </c>
      <c r="D74" s="247">
        <f>HLOOKUP($J$2,Thompson!Week,D$83)</f>
        <v>23</v>
      </c>
      <c r="E74" s="248">
        <f>HLOOKUP($J$2,Thompson!Week,E$83)</f>
        <v>133.56521739130434</v>
      </c>
      <c r="F74" s="278">
        <f t="shared" ref="F74" si="26">IF(OR(D74&gt;3,L74="n/a"),G74,L74)</f>
        <v>60</v>
      </c>
      <c r="G74" s="281">
        <f>HLOOKUP($J$2,Thompson!Week,G$83)</f>
        <v>60</v>
      </c>
      <c r="H74" s="249">
        <f>HLOOKUP($J$2,Thompson!Week,H$83)</f>
        <v>120</v>
      </c>
      <c r="I74" s="247">
        <f>HLOOKUP($J$2,Thompson!Week,I$83)</f>
        <v>178</v>
      </c>
      <c r="J74" s="247">
        <f>HLOOKUP($J$2,Thompson!Week,J$83)</f>
        <v>234</v>
      </c>
      <c r="K74" s="247">
        <f>HLOOKUP($J$2,Thompson!Week,K$83)</f>
        <v>408</v>
      </c>
      <c r="L74" s="235">
        <f>+'final handicap'!D65</f>
        <v>55</v>
      </c>
      <c r="M74" s="235">
        <f>Thompson!Y$24</f>
        <v>0</v>
      </c>
      <c r="O74" s="206"/>
      <c r="P74" s="107"/>
    </row>
    <row r="75" spans="1:16" x14ac:dyDescent="0.35">
      <c r="A75" s="234" t="s">
        <v>223</v>
      </c>
      <c r="B75" s="235">
        <v>4</v>
      </c>
      <c r="C75" s="247">
        <f>HLOOKUP($J$2,Thomson!Week,C$83)</f>
        <v>7109</v>
      </c>
      <c r="D75" s="247">
        <f>HLOOKUP($J$2,Thomson!Week,D$83)</f>
        <v>48</v>
      </c>
      <c r="E75" s="248">
        <f>HLOOKUP($J$2,Thomson!Week,E$83)</f>
        <v>148.10416666666666</v>
      </c>
      <c r="F75" s="278">
        <f t="shared" si="0"/>
        <v>47</v>
      </c>
      <c r="G75" s="281">
        <f>HLOOKUP($J$2,Thomson!Week,G$83)</f>
        <v>47</v>
      </c>
      <c r="H75" s="249">
        <f>HLOOKUP($J$2,Thomson!Week,H$83)</f>
        <v>184</v>
      </c>
      <c r="I75" s="247">
        <f>HLOOKUP($J$2,Thomson!Week,I$83)</f>
        <v>231</v>
      </c>
      <c r="J75" s="247">
        <f>HLOOKUP($J$2,Thomson!Week,J$83)</f>
        <v>463</v>
      </c>
      <c r="K75" s="247">
        <f>HLOOKUP($J$2,Thomson!Week,K$83)</f>
        <v>604</v>
      </c>
      <c r="L75" s="235">
        <f>+'final handicap'!D66</f>
        <v>51</v>
      </c>
      <c r="M75" s="235">
        <f>Thomson!Y$24</f>
        <v>0</v>
      </c>
      <c r="O75" s="206"/>
      <c r="P75" s="107"/>
    </row>
    <row r="76" spans="1:16" x14ac:dyDescent="0.35">
      <c r="A76" s="234" t="s">
        <v>233</v>
      </c>
      <c r="B76" s="235">
        <v>2</v>
      </c>
      <c r="C76" s="247">
        <f>HLOOKUP($J$2,Walker!Week,C$83)</f>
        <v>3445</v>
      </c>
      <c r="D76" s="247">
        <f>HLOOKUP($J$2,Walker!Week,D$83)</f>
        <v>23</v>
      </c>
      <c r="E76" s="248">
        <f>HLOOKUP($J$2,Walker!Week,E$83)</f>
        <v>149.78260869565219</v>
      </c>
      <c r="F76" s="310">
        <f>IF(OR(D76&gt;3,L76="n/a"),G76,L76)</f>
        <v>45</v>
      </c>
      <c r="G76" s="281">
        <f>HLOOKUP($J$2,Walker!Week,G$83)</f>
        <v>45</v>
      </c>
      <c r="H76" s="249">
        <f>HLOOKUP($J$2,Walker!Week,H$83)</f>
        <v>0</v>
      </c>
      <c r="I76" s="247">
        <f>HLOOKUP($J$2,Walker!Week,I$83)</f>
        <v>45</v>
      </c>
      <c r="J76" s="247">
        <f>HLOOKUP($J$2,Walker!Week,J$83)</f>
        <v>0</v>
      </c>
      <c r="K76" s="247">
        <f>HLOOKUP($J$2,Walker!Week,K$83)</f>
        <v>135</v>
      </c>
      <c r="L76" s="235">
        <f>+'final handicap'!D67</f>
        <v>60</v>
      </c>
      <c r="M76" s="235">
        <f>Walker!Y$24</f>
        <v>0</v>
      </c>
      <c r="O76" s="206"/>
      <c r="P76" s="107"/>
    </row>
    <row r="77" spans="1:16" ht="13.15" thickBot="1" x14ac:dyDescent="0.4">
      <c r="A77" s="234" t="s">
        <v>316</v>
      </c>
      <c r="B77" s="235">
        <v>4</v>
      </c>
      <c r="C77" s="247">
        <f>HLOOKUP($J$2,Wolkenstein!Week,C$83)</f>
        <v>2544</v>
      </c>
      <c r="D77" s="247">
        <f>HLOOKUP($J$2,Wolkenstein!Week,D$83)</f>
        <v>25</v>
      </c>
      <c r="E77" s="248">
        <f>HLOOKUP($J$2,Wolkenstein!Week,E$83)</f>
        <v>101.76</v>
      </c>
      <c r="F77" s="279">
        <f>IF(OR(D77&gt;3,L77="n/a"),G77,L77)</f>
        <v>88</v>
      </c>
      <c r="G77" s="281">
        <f>HLOOKUP($J$2,Wolkenstein!Week,G$83)</f>
        <v>88</v>
      </c>
      <c r="H77" s="249">
        <f>HLOOKUP($J$2,Wolkenstein!Week,H$83)</f>
        <v>0</v>
      </c>
      <c r="I77" s="247">
        <f>HLOOKUP($J$2,Wolkenstein!Week,I$83)</f>
        <v>88</v>
      </c>
      <c r="J77" s="247">
        <f>HLOOKUP($J$2,Wolkenstein!Week,J$83)</f>
        <v>0</v>
      </c>
      <c r="K77" s="247">
        <f>HLOOKUP($J$2,Wolkenstein!Week,K$83)</f>
        <v>264</v>
      </c>
      <c r="L77" s="309" t="s">
        <v>244</v>
      </c>
      <c r="M77" s="235">
        <f>Wolkenstein!Y$24</f>
        <v>0</v>
      </c>
      <c r="O77" s="206"/>
      <c r="P77" s="107"/>
    </row>
    <row r="82" spans="1:11" x14ac:dyDescent="0.35">
      <c r="C82" s="102"/>
      <c r="D82" s="102"/>
      <c r="E82" s="99"/>
      <c r="F82" s="277"/>
      <c r="G82" s="102"/>
      <c r="H82" s="102"/>
      <c r="I82" s="26"/>
      <c r="J82" s="26"/>
      <c r="K82" s="26"/>
    </row>
    <row r="83" spans="1:11" x14ac:dyDescent="0.35">
      <c r="A83" t="s">
        <v>69</v>
      </c>
      <c r="C83" s="101">
        <v>10</v>
      </c>
      <c r="D83" s="101">
        <v>13</v>
      </c>
      <c r="E83" s="23">
        <v>11</v>
      </c>
      <c r="G83" s="273">
        <v>12</v>
      </c>
      <c r="H83" s="107">
        <v>14</v>
      </c>
      <c r="I83" s="107">
        <v>15</v>
      </c>
      <c r="J83" s="107">
        <v>16</v>
      </c>
      <c r="K83" s="107">
        <v>17</v>
      </c>
    </row>
    <row r="85" spans="1:11" x14ac:dyDescent="0.35">
      <c r="A85" t="s">
        <v>142</v>
      </c>
      <c r="H85" s="101">
        <f>MAX(H8:H77)</f>
        <v>184</v>
      </c>
      <c r="I85" s="101">
        <f>MAX(I8:I77)</f>
        <v>262</v>
      </c>
      <c r="J85" s="101">
        <f>MAX(J8:J77)</f>
        <v>490</v>
      </c>
      <c r="K85" s="101">
        <f>MAX(K8:K77)</f>
        <v>683</v>
      </c>
    </row>
  </sheetData>
  <phoneticPr fontId="0" type="noConversion"/>
  <conditionalFormatting sqref="H8:K9 H60:K60 H15:K15 H68:K68 H52:K52 H21:K21 H65:K65 H55:K56 H32:K32 H44:K45 H39:K39 H11:K12 H73:K73 H28:K29 H41:K42 H17:K17 H34:K34">
    <cfRule type="expression" dxfId="47" priority="113" stopIfTrue="1">
      <formula>IF(H8=H$85,1,0)=1</formula>
    </cfRule>
  </conditionalFormatting>
  <conditionalFormatting sqref="H62:K62">
    <cfRule type="expression" dxfId="46" priority="89" stopIfTrue="1">
      <formula>IF(H62=H$85,1,0)=1</formula>
    </cfRule>
  </conditionalFormatting>
  <conditionalFormatting sqref="H54:K54">
    <cfRule type="expression" dxfId="45" priority="74" stopIfTrue="1">
      <formula>IF(H54=H$85,1,0)=1</formula>
    </cfRule>
  </conditionalFormatting>
  <conditionalFormatting sqref="H48:K48">
    <cfRule type="expression" dxfId="44" priority="68" stopIfTrue="1">
      <formula>IF(H48=H$85,1,0)=1</formula>
    </cfRule>
  </conditionalFormatting>
  <conditionalFormatting sqref="H57:K57">
    <cfRule type="expression" dxfId="43" priority="67" stopIfTrue="1">
      <formula>IF(H57=H$85,1,0)=1</formula>
    </cfRule>
  </conditionalFormatting>
  <conditionalFormatting sqref="H75:K75">
    <cfRule type="expression" dxfId="42" priority="64" stopIfTrue="1">
      <formula>IF(H75=H$85,1,0)=1</formula>
    </cfRule>
  </conditionalFormatting>
  <conditionalFormatting sqref="H53:K53">
    <cfRule type="expression" dxfId="41" priority="63" stopIfTrue="1">
      <formula>IF(H53=H$85,1,0)=1</formula>
    </cfRule>
  </conditionalFormatting>
  <conditionalFormatting sqref="H18:K18">
    <cfRule type="expression" dxfId="40" priority="62" stopIfTrue="1">
      <formula>IF(H18=H$85,1,0)=1</formula>
    </cfRule>
  </conditionalFormatting>
  <conditionalFormatting sqref="H23:K23">
    <cfRule type="expression" dxfId="39" priority="60" stopIfTrue="1">
      <formula>IF(H23=H$85,1,0)=1</formula>
    </cfRule>
  </conditionalFormatting>
  <conditionalFormatting sqref="H58:K58">
    <cfRule type="expression" dxfId="38" priority="54" stopIfTrue="1">
      <formula>IF(H58=H$85,1,0)=1</formula>
    </cfRule>
  </conditionalFormatting>
  <conditionalFormatting sqref="H30:K30">
    <cfRule type="expression" dxfId="37" priority="52" stopIfTrue="1">
      <formula>IF(H30=H$85,1,0)=1</formula>
    </cfRule>
  </conditionalFormatting>
  <conditionalFormatting sqref="H43:K43">
    <cfRule type="expression" dxfId="36" priority="51" stopIfTrue="1">
      <formula>IF(H43=H$85,1,0)=1</formula>
    </cfRule>
  </conditionalFormatting>
  <conditionalFormatting sqref="H59:K59">
    <cfRule type="expression" dxfId="35" priority="50" stopIfTrue="1">
      <formula>IF(H59=H$85,1,0)=1</formula>
    </cfRule>
  </conditionalFormatting>
  <conditionalFormatting sqref="H38:K38">
    <cfRule type="expression" dxfId="34" priority="48" stopIfTrue="1">
      <formula>IF(H38=H$85,1,0)=1</formula>
    </cfRule>
  </conditionalFormatting>
  <conditionalFormatting sqref="H13:K13">
    <cfRule type="expression" dxfId="33" priority="47" stopIfTrue="1">
      <formula>IF(H13=H$85,1,0)=1</formula>
    </cfRule>
  </conditionalFormatting>
  <conditionalFormatting sqref="H77:K77">
    <cfRule type="expression" dxfId="32" priority="44" stopIfTrue="1">
      <formula>IF(H77=H$85,1,0)=1</formula>
    </cfRule>
  </conditionalFormatting>
  <conditionalFormatting sqref="H14:K14">
    <cfRule type="expression" dxfId="31" priority="42" stopIfTrue="1">
      <formula>IF(H14=H$85,1,0)=1</formula>
    </cfRule>
  </conditionalFormatting>
  <conditionalFormatting sqref="H72:K72">
    <cfRule type="expression" dxfId="30" priority="40" stopIfTrue="1">
      <formula>IF(H72=H$85,1,0)=1</formula>
    </cfRule>
  </conditionalFormatting>
  <conditionalFormatting sqref="H71:K71">
    <cfRule type="expression" dxfId="29" priority="39" stopIfTrue="1">
      <formula>IF(H71=H$85,1,0)=1</formula>
    </cfRule>
  </conditionalFormatting>
  <conditionalFormatting sqref="H67:K67">
    <cfRule type="expression" dxfId="28" priority="37" stopIfTrue="1">
      <formula>IF(H67=H$85,1,0)=1</formula>
    </cfRule>
  </conditionalFormatting>
  <conditionalFormatting sqref="H74:K74">
    <cfRule type="expression" dxfId="27" priority="36" stopIfTrue="1">
      <formula>IF(H74=H$85,1,0)=1</formula>
    </cfRule>
  </conditionalFormatting>
  <conditionalFormatting sqref="H40:K40">
    <cfRule type="expression" dxfId="26" priority="33" stopIfTrue="1">
      <formula>IF(H40=H$85,1,0)=1</formula>
    </cfRule>
  </conditionalFormatting>
  <conditionalFormatting sqref="H50:K50">
    <cfRule type="expression" dxfId="25" priority="31" stopIfTrue="1">
      <formula>IF(H50=H$85,1,0)=1</formula>
    </cfRule>
  </conditionalFormatting>
  <conditionalFormatting sqref="H31:K31">
    <cfRule type="expression" dxfId="24" priority="28" stopIfTrue="1">
      <formula>IF(H31=H$85,1,0)=1</formula>
    </cfRule>
  </conditionalFormatting>
  <conditionalFormatting sqref="H25:K25">
    <cfRule type="expression" dxfId="23" priority="26" stopIfTrue="1">
      <formula>IF(H25=H$85,1,0)=1</formula>
    </cfRule>
  </conditionalFormatting>
  <conditionalFormatting sqref="H19:K19">
    <cfRule type="expression" dxfId="22" priority="25" stopIfTrue="1">
      <formula>IF(H19=H$85,1,0)=1</formula>
    </cfRule>
  </conditionalFormatting>
  <conditionalFormatting sqref="H10:K10">
    <cfRule type="expression" dxfId="21" priority="24" stopIfTrue="1">
      <formula>IF(H10=H$85,1,0)=1</formula>
    </cfRule>
  </conditionalFormatting>
  <conditionalFormatting sqref="H22:K22">
    <cfRule type="expression" dxfId="20" priority="23" stopIfTrue="1">
      <formula>IF(H22=H$85,1,0)=1</formula>
    </cfRule>
  </conditionalFormatting>
  <conditionalFormatting sqref="H26:K26">
    <cfRule type="expression" dxfId="19" priority="22" stopIfTrue="1">
      <formula>IF(H26=H$85,1,0)=1</formula>
    </cfRule>
  </conditionalFormatting>
  <conditionalFormatting sqref="H66:K66">
    <cfRule type="expression" dxfId="18" priority="21" stopIfTrue="1">
      <formula>IF(H66=H$85,1,0)=1</formula>
    </cfRule>
  </conditionalFormatting>
  <conditionalFormatting sqref="H70:K70">
    <cfRule type="expression" dxfId="17" priority="20" stopIfTrue="1">
      <formula>IF(H70=H$85,1,0)=1</formula>
    </cfRule>
  </conditionalFormatting>
  <conditionalFormatting sqref="H61:K61">
    <cfRule type="expression" dxfId="16" priority="19" stopIfTrue="1">
      <formula>IF(H61=H$85,1,0)=1</formula>
    </cfRule>
  </conditionalFormatting>
  <conditionalFormatting sqref="H16:K16">
    <cfRule type="expression" dxfId="15" priority="17" stopIfTrue="1">
      <formula>IF(H16=H$85,1,0)=1</formula>
    </cfRule>
  </conditionalFormatting>
  <conditionalFormatting sqref="H36:K36">
    <cfRule type="expression" dxfId="14" priority="16" stopIfTrue="1">
      <formula>IF(H36=H$85,1,0)=1</formula>
    </cfRule>
  </conditionalFormatting>
  <conditionalFormatting sqref="H49:K49">
    <cfRule type="expression" dxfId="13" priority="15" stopIfTrue="1">
      <formula>IF(H49=H$85,1,0)=1</formula>
    </cfRule>
  </conditionalFormatting>
  <conditionalFormatting sqref="H27:K27">
    <cfRule type="expression" dxfId="12" priority="14" stopIfTrue="1">
      <formula>IF(H27=H$85,1,0)=1</formula>
    </cfRule>
  </conditionalFormatting>
  <conditionalFormatting sqref="H47:K47">
    <cfRule type="expression" dxfId="11" priority="13" stopIfTrue="1">
      <formula>IF(H47=H$85,1,0)=1</formula>
    </cfRule>
  </conditionalFormatting>
  <conditionalFormatting sqref="H63:K63">
    <cfRule type="expression" dxfId="10" priority="12" stopIfTrue="1">
      <formula>IF(H63=H$85,1,0)=1</formula>
    </cfRule>
  </conditionalFormatting>
  <conditionalFormatting sqref="H35:K35">
    <cfRule type="expression" dxfId="9" priority="11" stopIfTrue="1">
      <formula>IF(H35=H$85,1,0)=1</formula>
    </cfRule>
  </conditionalFormatting>
  <conditionalFormatting sqref="H64:K64">
    <cfRule type="expression" dxfId="8" priority="10" stopIfTrue="1">
      <formula>IF(H64=H$85,1,0)=1</formula>
    </cfRule>
  </conditionalFormatting>
  <conditionalFormatting sqref="H24:K24">
    <cfRule type="expression" dxfId="7" priority="9" stopIfTrue="1">
      <formula>IF(H24=H$85,1,0)=1</formula>
    </cfRule>
  </conditionalFormatting>
  <conditionalFormatting sqref="H76:K76">
    <cfRule type="expression" dxfId="6" priority="7" stopIfTrue="1">
      <formula>IF(H76=H$85,1,0)=1</formula>
    </cfRule>
  </conditionalFormatting>
  <conditionalFormatting sqref="H33:K33">
    <cfRule type="expression" dxfId="5" priority="6" stopIfTrue="1">
      <formula>IF(H33=H$85,1,0)=1</formula>
    </cfRule>
  </conditionalFormatting>
  <conditionalFormatting sqref="H46:K46">
    <cfRule type="expression" dxfId="4" priority="5" stopIfTrue="1">
      <formula>IF(H46=H$85,1,0)=1</formula>
    </cfRule>
  </conditionalFormatting>
  <conditionalFormatting sqref="H51:K51">
    <cfRule type="expression" dxfId="3" priority="4" stopIfTrue="1">
      <formula>IF(H51=H$85,1,0)=1</formula>
    </cfRule>
  </conditionalFormatting>
  <conditionalFormatting sqref="H69:K69">
    <cfRule type="expression" dxfId="2" priority="3" stopIfTrue="1">
      <formula>IF(H69=H$85,1,0)=1</formula>
    </cfRule>
  </conditionalFormatting>
  <conditionalFormatting sqref="H20:K20">
    <cfRule type="expression" dxfId="1" priority="2" stopIfTrue="1">
      <formula>IF(H20=H$85,1,0)=1</formula>
    </cfRule>
  </conditionalFormatting>
  <conditionalFormatting sqref="H37:K37">
    <cfRule type="expression" dxfId="0" priority="1" stopIfTrue="1">
      <formula>IF(H37=H$85,1,0)=1</formula>
    </cfRule>
  </conditionalFormatting>
  <pageMargins left="0.25" right="0.25" top="0.75" bottom="0.75" header="0.3" footer="0.3"/>
  <pageSetup paperSize="5" scale="88" orientation="portrait" errors="blank" r:id="rId1"/>
  <headerFooter alignWithMargins="0">
    <oddFooter>&amp;L&amp;F=&amp;A&amp;C&amp;D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N85"/>
  <sheetViews>
    <sheetView zoomScale="90" zoomScaleNormal="90" workbookViewId="0">
      <selection activeCell="I2" sqref="I2"/>
    </sheetView>
  </sheetViews>
  <sheetFormatPr defaultRowHeight="12.75" x14ac:dyDescent="0.35"/>
  <cols>
    <col min="1" max="1" width="12.6640625" customWidth="1"/>
    <col min="2" max="2" width="10.1328125" bestFit="1" customWidth="1"/>
    <col min="3" max="4" width="9.1328125" style="152"/>
    <col min="5" max="5" width="9.1328125" style="20"/>
    <col min="6" max="7" width="9.1328125" style="152"/>
    <col min="8" max="8" width="9.1328125" style="19"/>
    <col min="9" max="9" width="10.33203125" style="19" bestFit="1" customWidth="1"/>
    <col min="10" max="10" width="9.1328125" style="19"/>
    <col min="11" max="11" width="10.86328125" style="28" customWidth="1"/>
    <col min="12" max="12" width="8.46484375" customWidth="1"/>
    <col min="13" max="13" width="16" customWidth="1"/>
  </cols>
  <sheetData>
    <row r="1" spans="1:14" ht="13.15" x14ac:dyDescent="0.4">
      <c r="A1" s="1" t="s">
        <v>0</v>
      </c>
      <c r="H1" s="153"/>
      <c r="I1" s="216">
        <f>+'wkly alpha'!J1</f>
        <v>42802</v>
      </c>
    </row>
    <row r="2" spans="1:14" ht="13.5" thickBot="1" x14ac:dyDescent="0.45">
      <c r="A2" s="1" t="str">
        <f>+Season</f>
        <v>2016/2017 Season</v>
      </c>
      <c r="H2" s="105" t="s">
        <v>169</v>
      </c>
      <c r="I2" s="253">
        <f>'wkly alpha'!J2</f>
        <v>20</v>
      </c>
    </row>
    <row r="3" spans="1:14" ht="13.15" x14ac:dyDescent="0.4">
      <c r="A3" s="1" t="s">
        <v>36</v>
      </c>
    </row>
    <row r="5" spans="1:14" ht="13.5" thickBot="1" x14ac:dyDescent="0.45">
      <c r="A5" s="1" t="s">
        <v>110</v>
      </c>
      <c r="B5" s="272">
        <f>+Instructions!E6</f>
        <v>42648</v>
      </c>
      <c r="M5" s="19"/>
    </row>
    <row r="6" spans="1:14" ht="13.5" thickBot="1" x14ac:dyDescent="0.45">
      <c r="G6" s="195" t="s">
        <v>168</v>
      </c>
      <c r="H6" s="196"/>
      <c r="I6" s="196"/>
      <c r="J6" s="197"/>
    </row>
    <row r="7" spans="1:14" ht="53.25" customHeight="1" x14ac:dyDescent="0.4">
      <c r="A7" s="21" t="s">
        <v>2</v>
      </c>
      <c r="B7" s="21" t="s">
        <v>3</v>
      </c>
      <c r="C7" s="100" t="s">
        <v>39</v>
      </c>
      <c r="D7" s="100" t="s">
        <v>165</v>
      </c>
      <c r="E7" s="25" t="s">
        <v>166</v>
      </c>
      <c r="F7" s="194" t="s">
        <v>164</v>
      </c>
      <c r="G7" s="198" t="s">
        <v>44</v>
      </c>
      <c r="H7" s="198" t="s">
        <v>167</v>
      </c>
      <c r="I7" s="198" t="s">
        <v>46</v>
      </c>
      <c r="J7" s="198" t="s">
        <v>22</v>
      </c>
      <c r="K7" s="24" t="s">
        <v>163</v>
      </c>
      <c r="L7" s="167" t="s">
        <v>82</v>
      </c>
    </row>
    <row r="8" spans="1:14" x14ac:dyDescent="0.35">
      <c r="A8" t="str">
        <f>+'wkly alpha'!A8</f>
        <v>Albanese</v>
      </c>
      <c r="B8" s="28">
        <f>+'wkly alpha'!B8</f>
        <v>3</v>
      </c>
      <c r="C8" s="101">
        <f>+'wkly alpha'!C8</f>
        <v>4856</v>
      </c>
      <c r="D8" s="101">
        <f>+'wkly alpha'!D8</f>
        <v>33</v>
      </c>
      <c r="E8" s="206">
        <f>+'wkly alpha'!E8</f>
        <v>147.15151515151516</v>
      </c>
      <c r="F8" s="206">
        <f>HLOOKUP($I$2,Albanese!Week,F$83)</f>
        <v>0</v>
      </c>
      <c r="G8" s="206">
        <f>HLOOKUP($I$2,Albanese!Week,G$83)</f>
        <v>222</v>
      </c>
      <c r="H8" s="206">
        <f>HLOOKUP($I$2,Albanese!Week,H$83)</f>
        <v>271</v>
      </c>
      <c r="I8" s="206">
        <f>HLOOKUP($I$2,Albanese!Week,I$83)</f>
        <v>499</v>
      </c>
      <c r="J8" s="206">
        <f>HLOOKUP($I$2,Albanese!Week,J$83)</f>
        <v>646</v>
      </c>
      <c r="K8" s="28">
        <f>'final handicap'!D8</f>
        <v>47</v>
      </c>
      <c r="L8">
        <f>+'wkly alpha'!M8</f>
        <v>0</v>
      </c>
      <c r="M8" s="87"/>
      <c r="N8" s="166"/>
    </row>
    <row r="9" spans="1:14" x14ac:dyDescent="0.35">
      <c r="A9" t="str">
        <f>+'wkly alpha'!A9</f>
        <v>Albergo</v>
      </c>
      <c r="B9" s="28">
        <f>+'wkly alpha'!B9</f>
        <v>1</v>
      </c>
      <c r="C9" s="101">
        <f>+'wkly alpha'!C9</f>
        <v>4163</v>
      </c>
      <c r="D9" s="101">
        <f>+'wkly alpha'!D9</f>
        <v>28</v>
      </c>
      <c r="E9" s="206">
        <f>+'wkly alpha'!E9</f>
        <v>148.67857142857142</v>
      </c>
      <c r="F9" s="206">
        <f>HLOOKUP($I$2,Albergo!Week,F$83)</f>
        <v>0</v>
      </c>
      <c r="G9" s="206">
        <f>HLOOKUP($I$2,Albergo!Week,G$83)</f>
        <v>193</v>
      </c>
      <c r="H9" s="206">
        <f>HLOOKUP($I$2,Albergo!Week,H$83)</f>
        <v>242</v>
      </c>
      <c r="I9" s="206">
        <f>HLOOKUP($I$2,Albergo!Week,I$83)</f>
        <v>520</v>
      </c>
      <c r="J9" s="206">
        <f>HLOOKUP($I$2,Albergo!Week,J$83)</f>
        <v>664</v>
      </c>
      <c r="K9" s="28">
        <f>'final handicap'!D9</f>
        <v>48</v>
      </c>
      <c r="L9">
        <f>+'wkly alpha'!M9</f>
        <v>0</v>
      </c>
      <c r="M9" s="87"/>
      <c r="N9" s="166"/>
    </row>
    <row r="10" spans="1:14" x14ac:dyDescent="0.35">
      <c r="A10" t="str">
        <f>+'wkly alpha'!A10</f>
        <v>Barbarisi</v>
      </c>
      <c r="B10" s="28">
        <f>+'wkly alpha'!B10</f>
        <v>4</v>
      </c>
      <c r="C10" s="101">
        <f>+'wkly alpha'!C10</f>
        <v>3454</v>
      </c>
      <c r="D10" s="101">
        <f>+'wkly alpha'!D10</f>
        <v>26</v>
      </c>
      <c r="E10" s="206">
        <f>+'wkly alpha'!E10</f>
        <v>132.84615384615384</v>
      </c>
      <c r="F10" s="206">
        <f>HLOOKUP($I$2,Barbarisi!Week,F$83)</f>
        <v>0</v>
      </c>
      <c r="G10" s="206">
        <f>HLOOKUP($I$2,Barbarisi!Week,G$83)</f>
        <v>175</v>
      </c>
      <c r="H10" s="206">
        <f>HLOOKUP($I$2,Barbarisi!Week,H$83)</f>
        <v>240</v>
      </c>
      <c r="I10" s="206">
        <f>HLOOKUP($I$2,Barbarisi!Week,I$83)</f>
        <v>426</v>
      </c>
      <c r="J10" s="206">
        <f>HLOOKUP($I$2,Barbarisi!Week,J$83)</f>
        <v>612</v>
      </c>
      <c r="K10" s="28">
        <f>'final handicap'!D10</f>
        <v>65</v>
      </c>
      <c r="L10">
        <f>+'wkly alpha'!M10</f>
        <v>0</v>
      </c>
      <c r="M10" s="87"/>
      <c r="N10" s="166"/>
    </row>
    <row r="11" spans="1:14" x14ac:dyDescent="0.35">
      <c r="A11" t="str">
        <f>+'wkly alpha'!A11</f>
        <v>Barnett</v>
      </c>
      <c r="B11" s="28">
        <f>+'wkly alpha'!B11</f>
        <v>4</v>
      </c>
      <c r="C11" s="101">
        <f>+'wkly alpha'!C11</f>
        <v>1509</v>
      </c>
      <c r="D11" s="101">
        <f>+'wkly alpha'!D11</f>
        <v>11</v>
      </c>
      <c r="E11" s="206">
        <f>+'wkly alpha'!E11</f>
        <v>137.18181818181819</v>
      </c>
      <c r="F11" s="206">
        <f>HLOOKUP($I$2,Barnett!Week,F$83)</f>
        <v>0</v>
      </c>
      <c r="G11" s="206">
        <f>HLOOKUP($I$2,Barnett!Week,G$83)</f>
        <v>174</v>
      </c>
      <c r="H11" s="206">
        <f>HLOOKUP($I$2,Barnett!Week,H$83)</f>
        <v>235</v>
      </c>
      <c r="I11" s="206">
        <f>HLOOKUP($I$2,Barnett!Week,I$83)</f>
        <v>453</v>
      </c>
      <c r="J11" s="206">
        <f>HLOOKUP($I$2,Barnett!Week,J$83)</f>
        <v>636</v>
      </c>
      <c r="K11" s="28">
        <f>'final handicap'!D11</f>
        <v>61</v>
      </c>
      <c r="L11">
        <f>+'wkly alpha'!M11</f>
        <v>0</v>
      </c>
      <c r="M11" s="87"/>
      <c r="N11" s="166"/>
    </row>
    <row r="12" spans="1:14" x14ac:dyDescent="0.35">
      <c r="A12" t="str">
        <f>+'wkly alpha'!A12</f>
        <v>Belyea</v>
      </c>
      <c r="B12" s="28">
        <f>+'wkly alpha'!B12</f>
        <v>3</v>
      </c>
      <c r="C12" s="101">
        <f>+'wkly alpha'!C12</f>
        <v>3571</v>
      </c>
      <c r="D12" s="101">
        <f>+'wkly alpha'!D12</f>
        <v>26</v>
      </c>
      <c r="E12" s="206">
        <f>+'wkly alpha'!E12</f>
        <v>137.34615384615384</v>
      </c>
      <c r="F12" s="206">
        <f>HLOOKUP($I$2,Belyea!Week,F$83)</f>
        <v>0</v>
      </c>
      <c r="G12" s="206">
        <f>HLOOKUP($I$2,Belyea!Week,G$83)</f>
        <v>179</v>
      </c>
      <c r="H12" s="206">
        <f>HLOOKUP($I$2,Belyea!Week,H$83)</f>
        <v>238</v>
      </c>
      <c r="I12" s="206">
        <f>HLOOKUP($I$2,Belyea!Week,I$83)</f>
        <v>448</v>
      </c>
      <c r="J12" s="206">
        <f>HLOOKUP($I$2,Belyea!Week,J$83)</f>
        <v>625</v>
      </c>
      <c r="K12" s="28">
        <f>'final handicap'!D12</f>
        <v>59</v>
      </c>
      <c r="L12">
        <f>+'wkly alpha'!M12</f>
        <v>0</v>
      </c>
      <c r="M12" s="87"/>
      <c r="N12" s="166"/>
    </row>
    <row r="13" spans="1:14" x14ac:dyDescent="0.35">
      <c r="A13" t="str">
        <f>+'wkly alpha'!A13</f>
        <v>Bigelsen</v>
      </c>
      <c r="B13" s="28">
        <f>+'wkly alpha'!B13</f>
        <v>2</v>
      </c>
      <c r="C13" s="101">
        <f>+'wkly alpha'!C13</f>
        <v>1970</v>
      </c>
      <c r="D13" s="101">
        <f>+'wkly alpha'!D13</f>
        <v>16</v>
      </c>
      <c r="E13" s="101">
        <f>+'wkly alpha'!E13</f>
        <v>123.125</v>
      </c>
      <c r="F13" s="101">
        <f>HLOOKUP($I$2,Bigelsen!Week,F$83)</f>
        <v>0</v>
      </c>
      <c r="G13" s="101">
        <f>HLOOKUP($I$2,Bigelsen!Week,G$83)</f>
        <v>164</v>
      </c>
      <c r="H13" s="101">
        <f>HLOOKUP($I$2,Bigelsen!Week,H$83)</f>
        <v>234</v>
      </c>
      <c r="I13" s="101">
        <f>HLOOKUP($I$2,Bigelsen!Week,I$83)</f>
        <v>439</v>
      </c>
      <c r="J13" s="101">
        <f>HLOOKUP($I$2,Bigelsen!Week,J$83)</f>
        <v>649</v>
      </c>
      <c r="K13" s="28">
        <f>'final handicap'!D13</f>
        <v>67</v>
      </c>
      <c r="L13">
        <f>+'wkly alpha'!M13</f>
        <v>0</v>
      </c>
      <c r="N13" s="166"/>
    </row>
    <row r="14" spans="1:14" x14ac:dyDescent="0.35">
      <c r="A14" t="str">
        <f>+'wkly alpha'!A14</f>
        <v>Breslauer</v>
      </c>
      <c r="B14" s="28">
        <f>+'wkly alpha'!B14</f>
        <v>2</v>
      </c>
      <c r="C14" s="101">
        <f>+'wkly alpha'!C14</f>
        <v>0</v>
      </c>
      <c r="D14" s="101">
        <f>+'wkly alpha'!D14</f>
        <v>0</v>
      </c>
      <c r="E14" s="101" t="e">
        <f>+'wkly alpha'!E14</f>
        <v>#DIV/0!</v>
      </c>
      <c r="F14" s="101">
        <f>HLOOKUP($I$2,Breslauer!Week,F$83)</f>
        <v>0</v>
      </c>
      <c r="G14" s="101">
        <f>HLOOKUP($I$2,Breslauer!Week,G$83)</f>
        <v>0</v>
      </c>
      <c r="H14" s="101">
        <f>HLOOKUP($I$2,Breslauer!Week,H$83)</f>
        <v>66</v>
      </c>
      <c r="I14" s="101">
        <f>HLOOKUP($I$2,Breslauer!Week,I$83)</f>
        <v>0</v>
      </c>
      <c r="J14" s="101">
        <f>HLOOKUP($I$2,Breslauer!Week,J$83)</f>
        <v>198</v>
      </c>
      <c r="K14" s="28">
        <f>'final handicap'!D14</f>
        <v>66</v>
      </c>
      <c r="L14">
        <f>+'wkly alpha'!M14</f>
        <v>0</v>
      </c>
      <c r="N14" s="166"/>
    </row>
    <row r="15" spans="1:14" x14ac:dyDescent="0.35">
      <c r="A15" t="str">
        <f>+'wkly alpha'!A15</f>
        <v>Brylawski</v>
      </c>
      <c r="B15" s="28">
        <f>+'wkly alpha'!B15</f>
        <v>3</v>
      </c>
      <c r="C15" s="101">
        <f>+'wkly alpha'!C15</f>
        <v>6038</v>
      </c>
      <c r="D15" s="101">
        <f>+'wkly alpha'!D15</f>
        <v>45</v>
      </c>
      <c r="E15" s="101">
        <f>+'wkly alpha'!E15</f>
        <v>134.17777777777778</v>
      </c>
      <c r="F15" s="101">
        <f>HLOOKUP($I$2,Brylawski!Week,F$83)</f>
        <v>108</v>
      </c>
      <c r="G15" s="101">
        <f>HLOOKUP($I$2,Brylawski!Week,G$83)</f>
        <v>179</v>
      </c>
      <c r="H15" s="101">
        <f>HLOOKUP($I$2,Brylawski!Week,H$83)</f>
        <v>244</v>
      </c>
      <c r="I15" s="101">
        <f>HLOOKUP($I$2,Brylawski!Week,I$83)</f>
        <v>448</v>
      </c>
      <c r="J15" s="101">
        <f>HLOOKUP($I$2,Brylawski!Week,J$83)</f>
        <v>645</v>
      </c>
      <c r="K15" s="28">
        <f>'final handicap'!D15</f>
        <v>67</v>
      </c>
      <c r="L15">
        <f>+'wkly alpha'!M15</f>
        <v>0</v>
      </c>
      <c r="N15" s="166"/>
    </row>
    <row r="16" spans="1:14" x14ac:dyDescent="0.35">
      <c r="A16" t="str">
        <f>+'wkly alpha'!A16</f>
        <v>Campanaro</v>
      </c>
      <c r="B16" s="28">
        <f>+'wkly alpha'!B16</f>
        <v>2</v>
      </c>
      <c r="C16" s="101">
        <f>+'wkly alpha'!C16</f>
        <v>843</v>
      </c>
      <c r="D16" s="101">
        <f>+'wkly alpha'!D16</f>
        <v>7</v>
      </c>
      <c r="E16" s="101">
        <f>+'wkly alpha'!E16</f>
        <v>120.42857142857143</v>
      </c>
      <c r="F16" s="101">
        <f>HLOOKUP($I$2,Campanaro!Week,F$83)</f>
        <v>108</v>
      </c>
      <c r="G16" s="101">
        <f>HLOOKUP($I$2,Campanaro!Week,G$83)</f>
        <v>188</v>
      </c>
      <c r="H16" s="101">
        <f>HLOOKUP($I$2,Campanaro!Week,H$83)</f>
        <v>254</v>
      </c>
      <c r="I16" s="101">
        <f>HLOOKUP($I$2,Campanaro!Week,I$83)</f>
        <v>400</v>
      </c>
      <c r="J16" s="101">
        <f>HLOOKUP($I$2,Campanaro!Week,J$83)</f>
        <v>598</v>
      </c>
      <c r="K16" s="28">
        <f>'final handicap'!D16</f>
        <v>66</v>
      </c>
      <c r="L16">
        <f>+'wkly alpha'!M16</f>
        <v>0</v>
      </c>
      <c r="N16" s="166"/>
    </row>
    <row r="17" spans="1:14" x14ac:dyDescent="0.35">
      <c r="A17" t="str">
        <f>+'wkly alpha'!A17</f>
        <v>Cassidy</v>
      </c>
      <c r="B17" s="28">
        <f>+'wkly alpha'!B17</f>
        <v>1</v>
      </c>
      <c r="C17" s="101">
        <f>+'wkly alpha'!C17</f>
        <v>3911</v>
      </c>
      <c r="D17" s="101">
        <f>+'wkly alpha'!D17</f>
        <v>28</v>
      </c>
      <c r="E17" s="101">
        <f>+'wkly alpha'!E17</f>
        <v>139.67857142857142</v>
      </c>
      <c r="F17" s="101">
        <f>HLOOKUP($I$2,Cassidy!Week,F$83)</f>
        <v>179</v>
      </c>
      <c r="G17" s="101">
        <f>HLOOKUP($I$2,Cassidy!Week,G$83)</f>
        <v>179</v>
      </c>
      <c r="H17" s="101">
        <f>HLOOKUP($I$2,Cassidy!Week,H$83)</f>
        <v>235</v>
      </c>
      <c r="I17" s="101">
        <f>HLOOKUP($I$2,Cassidy!Week,I$83)</f>
        <v>461</v>
      </c>
      <c r="J17" s="101">
        <f>HLOOKUP($I$2,Cassidy!Week,J$83)</f>
        <v>629</v>
      </c>
      <c r="K17" s="28">
        <f>'final handicap'!D17</f>
        <v>59</v>
      </c>
      <c r="L17">
        <f>+'wkly alpha'!M17</f>
        <v>0</v>
      </c>
      <c r="N17" s="166"/>
    </row>
    <row r="18" spans="1:14" x14ac:dyDescent="0.35">
      <c r="A18" t="str">
        <f>+'wkly alpha'!A18</f>
        <v>Dages</v>
      </c>
      <c r="B18" s="28">
        <f>+'wkly alpha'!B18</f>
        <v>4</v>
      </c>
      <c r="C18" s="101">
        <f>+'wkly alpha'!C18</f>
        <v>0</v>
      </c>
      <c r="D18" s="101">
        <f>+'wkly alpha'!D18</f>
        <v>0</v>
      </c>
      <c r="E18" s="101" t="e">
        <f>+'wkly alpha'!E18</f>
        <v>#DIV/0!</v>
      </c>
      <c r="F18" s="101">
        <f>HLOOKUP($I$2,Dages!Week,F$83)</f>
        <v>0</v>
      </c>
      <c r="G18" s="101">
        <f>HLOOKUP($I$2,Dages!Week,G$83)</f>
        <v>0</v>
      </c>
      <c r="H18" s="101">
        <f>HLOOKUP($I$2,Dages!Week,H$83)</f>
        <v>64</v>
      </c>
      <c r="I18" s="101">
        <f>HLOOKUP($I$2,Dages!Week,I$83)</f>
        <v>0</v>
      </c>
      <c r="J18" s="101">
        <f>HLOOKUP($I$2,Dages!Week,J$83)</f>
        <v>192</v>
      </c>
      <c r="K18" s="28">
        <f>'final handicap'!D18</f>
        <v>64</v>
      </c>
      <c r="L18">
        <f>+'wkly alpha'!M18</f>
        <v>0</v>
      </c>
    </row>
    <row r="19" spans="1:14" x14ac:dyDescent="0.35">
      <c r="A19" t="str">
        <f>+'wkly alpha'!A19</f>
        <v>Dagger</v>
      </c>
      <c r="B19" s="28">
        <f>+'wkly alpha'!B19</f>
        <v>1</v>
      </c>
      <c r="C19" s="101">
        <f>+'wkly alpha'!C19</f>
        <v>4297</v>
      </c>
      <c r="D19" s="101">
        <f>+'wkly alpha'!D19</f>
        <v>40</v>
      </c>
      <c r="E19" s="101">
        <f>+'wkly alpha'!E19</f>
        <v>107.425</v>
      </c>
      <c r="F19" s="101">
        <f>HLOOKUP($I$2,Dagger!Week,F$83)</f>
        <v>95</v>
      </c>
      <c r="G19" s="101">
        <f>HLOOKUP($I$2,Dagger!Week,G$83)</f>
        <v>164</v>
      </c>
      <c r="H19" s="101">
        <f>HLOOKUP($I$2,Dagger!Week,H$83)</f>
        <v>253</v>
      </c>
      <c r="I19" s="101">
        <f>HLOOKUP($I$2,Dagger!Week,I$83)</f>
        <v>420</v>
      </c>
      <c r="J19" s="101">
        <f>HLOOKUP($I$2,Dagger!Week,J$83)</f>
        <v>687</v>
      </c>
      <c r="K19" s="28">
        <f>'final handicap'!D19</f>
        <v>91</v>
      </c>
      <c r="L19">
        <f>+'wkly alpha'!M19</f>
        <v>0</v>
      </c>
    </row>
    <row r="20" spans="1:14" x14ac:dyDescent="0.35">
      <c r="A20" t="str">
        <f>+'wkly alpha'!A20</f>
        <v>Driscoll</v>
      </c>
      <c r="B20" s="28">
        <f>+'wkly alpha'!B20</f>
        <v>4</v>
      </c>
      <c r="C20" s="101">
        <f>+'wkly alpha'!C20</f>
        <v>4844</v>
      </c>
      <c r="D20" s="101">
        <f>+'wkly alpha'!D20</f>
        <v>39</v>
      </c>
      <c r="E20" s="101">
        <f>+'wkly alpha'!E20</f>
        <v>124.2051282051282</v>
      </c>
      <c r="F20" s="101">
        <f>HLOOKUP($I$2,Driscoll!Week,F$83)</f>
        <v>129</v>
      </c>
      <c r="G20" s="101">
        <f>HLOOKUP($I$2,Driscoll!Week,G$83)</f>
        <v>162</v>
      </c>
      <c r="H20" s="101">
        <f>HLOOKUP($I$2,Driscoll!Week,H$83)</f>
        <v>236</v>
      </c>
      <c r="I20" s="101">
        <f>HLOOKUP($I$2,Driscoll!Week,I$83)</f>
        <v>415</v>
      </c>
      <c r="J20" s="101">
        <f>HLOOKUP($I$2,Driscoll!Week,J$83)</f>
        <v>646</v>
      </c>
      <c r="K20" s="28" t="s">
        <v>244</v>
      </c>
      <c r="L20">
        <f>+'wkly alpha'!M20</f>
        <v>0</v>
      </c>
    </row>
    <row r="21" spans="1:14" x14ac:dyDescent="0.35">
      <c r="A21" t="str">
        <f>+'wkly alpha'!A21</f>
        <v>Emr</v>
      </c>
      <c r="B21" s="28">
        <f>+'wkly alpha'!B21</f>
        <v>4</v>
      </c>
      <c r="C21" s="101">
        <f>+'wkly alpha'!C21</f>
        <v>0</v>
      </c>
      <c r="D21" s="101">
        <f>+'wkly alpha'!D21</f>
        <v>0</v>
      </c>
      <c r="E21" s="101" t="e">
        <f>+'wkly alpha'!E21</f>
        <v>#DIV/0!</v>
      </c>
      <c r="F21" s="101">
        <f>HLOOKUP($I$2,Emr!Week,F$83)</f>
        <v>0</v>
      </c>
      <c r="G21" s="101">
        <f>HLOOKUP($I$2,Emr!Week,G$83)</f>
        <v>0</v>
      </c>
      <c r="H21" s="101">
        <f>HLOOKUP($I$2,Emr!Week,H$83)</f>
        <v>46</v>
      </c>
      <c r="I21" s="101">
        <f>HLOOKUP($I$2,Emr!Week,I$83)</f>
        <v>0</v>
      </c>
      <c r="J21" s="101">
        <f>HLOOKUP($I$2,Emr!Week,J$83)</f>
        <v>138</v>
      </c>
      <c r="K21" s="28">
        <f>'final handicap'!D20</f>
        <v>46</v>
      </c>
      <c r="L21">
        <f>+'wkly alpha'!M21</f>
        <v>0</v>
      </c>
    </row>
    <row r="22" spans="1:14" x14ac:dyDescent="0.35">
      <c r="A22" t="str">
        <f>+'wkly alpha'!A22</f>
        <v>Fricke</v>
      </c>
      <c r="B22" s="28">
        <f>+'wkly alpha'!B22</f>
        <v>4</v>
      </c>
      <c r="C22" s="101">
        <f>+'wkly alpha'!C22</f>
        <v>0</v>
      </c>
      <c r="D22" s="101">
        <f>+'wkly alpha'!D22</f>
        <v>0</v>
      </c>
      <c r="E22" s="101" t="e">
        <f>+'wkly alpha'!E22</f>
        <v>#DIV/0!</v>
      </c>
      <c r="F22" s="101">
        <f>HLOOKUP($I$2,Fricke!Week,F$83)</f>
        <v>0</v>
      </c>
      <c r="G22" s="101">
        <f>HLOOKUP($I$2,Fricke!Week,G$83)</f>
        <v>0</v>
      </c>
      <c r="H22" s="101">
        <f>HLOOKUP($I$2,Fricke!Week,H$83)</f>
        <v>93</v>
      </c>
      <c r="I22" s="101">
        <f>HLOOKUP($I$2,Fricke!Week,I$83)</f>
        <v>0</v>
      </c>
      <c r="J22" s="101">
        <f>HLOOKUP($I$2,Fricke!Week,J$83)</f>
        <v>279</v>
      </c>
      <c r="K22" s="28">
        <f>'final handicap'!D21</f>
        <v>93</v>
      </c>
      <c r="L22">
        <f>+'wkly alpha'!M22</f>
        <v>0</v>
      </c>
    </row>
    <row r="23" spans="1:14" x14ac:dyDescent="0.35">
      <c r="A23" t="str">
        <f>+'wkly alpha'!A23</f>
        <v>Gellert</v>
      </c>
      <c r="B23" s="28">
        <f>+'wkly alpha'!B23</f>
        <v>4</v>
      </c>
      <c r="C23" s="101">
        <f>+'wkly alpha'!C23</f>
        <v>0</v>
      </c>
      <c r="D23" s="101">
        <f>+'wkly alpha'!D23</f>
        <v>0</v>
      </c>
      <c r="E23" s="101" t="e">
        <f>+'wkly alpha'!E23</f>
        <v>#DIV/0!</v>
      </c>
      <c r="F23" s="101">
        <f>HLOOKUP($I$2,Gellert!Week,F$83)</f>
        <v>0</v>
      </c>
      <c r="G23" s="101">
        <f>HLOOKUP($I$2,Gellert!Week,G$83)</f>
        <v>0</v>
      </c>
      <c r="H23" s="101">
        <f>HLOOKUP($I$2,Gellert!Week,H$83)</f>
        <v>86</v>
      </c>
      <c r="I23" s="101">
        <f>HLOOKUP($I$2,Gellert!Week,I$83)</f>
        <v>0</v>
      </c>
      <c r="J23" s="101">
        <f>HLOOKUP($I$2,Gellert!Week,J$83)</f>
        <v>258</v>
      </c>
      <c r="K23" s="28">
        <f>'final handicap'!D22</f>
        <v>73</v>
      </c>
      <c r="L23">
        <f>+'wkly alpha'!M23</f>
        <v>0</v>
      </c>
    </row>
    <row r="24" spans="1:14" x14ac:dyDescent="0.35">
      <c r="A24" t="str">
        <f>+'wkly alpha'!A24</f>
        <v>Gerity</v>
      </c>
      <c r="B24" s="28">
        <f>+'wkly alpha'!B24</f>
        <v>3</v>
      </c>
      <c r="C24" s="101">
        <f>+'wkly alpha'!C24</f>
        <v>5971</v>
      </c>
      <c r="D24" s="101">
        <f>+'wkly alpha'!D24</f>
        <v>47</v>
      </c>
      <c r="E24" s="101">
        <f>+'wkly alpha'!E24</f>
        <v>127.04255319148936</v>
      </c>
      <c r="F24" s="101">
        <f>HLOOKUP($I$2,Gellert!Week,F$83)</f>
        <v>0</v>
      </c>
      <c r="G24" s="101">
        <f>HLOOKUP($I$2,Gellert!Week,G$83)</f>
        <v>0</v>
      </c>
      <c r="H24" s="101">
        <f>HLOOKUP($I$2,Gellert!Week,H$83)</f>
        <v>86</v>
      </c>
      <c r="I24" s="101">
        <f>HLOOKUP($I$2,Gellert!Week,I$83)</f>
        <v>0</v>
      </c>
      <c r="J24" s="101">
        <f>HLOOKUP($I$2,Gellert!Week,J$83)</f>
        <v>258</v>
      </c>
      <c r="K24" s="28" t="s">
        <v>244</v>
      </c>
      <c r="L24">
        <f>+'wkly alpha'!M24</f>
        <v>0</v>
      </c>
    </row>
    <row r="25" spans="1:14" x14ac:dyDescent="0.35">
      <c r="A25" t="str">
        <f>+'wkly alpha'!A25</f>
        <v>Gittle</v>
      </c>
      <c r="B25" s="28">
        <f>+'wkly alpha'!B25</f>
        <v>1</v>
      </c>
      <c r="C25" s="101">
        <f>+'wkly alpha'!C25</f>
        <v>0</v>
      </c>
      <c r="D25" s="101">
        <f>+'wkly alpha'!D25</f>
        <v>0</v>
      </c>
      <c r="E25" s="101" t="e">
        <f>+'wkly alpha'!E25</f>
        <v>#DIV/0!</v>
      </c>
      <c r="F25" s="101">
        <f>HLOOKUP($I$2,Gittle!Week,F$83)</f>
        <v>0</v>
      </c>
      <c r="G25" s="101">
        <f>HLOOKUP($I$2,Gittle!Week,G$83)</f>
        <v>0</v>
      </c>
      <c r="H25" s="101">
        <f>HLOOKUP($I$2,Gittle!Week,H$83)</f>
        <v>49</v>
      </c>
      <c r="I25" s="101">
        <f>HLOOKUP($I$2,Gittle!Week,I$83)</f>
        <v>0</v>
      </c>
      <c r="J25" s="101">
        <f>HLOOKUP($I$2,Gittle!Week,J$83)</f>
        <v>147</v>
      </c>
      <c r="K25" s="28">
        <f>'final handicap'!D23</f>
        <v>49</v>
      </c>
      <c r="L25">
        <f>+'wkly alpha'!M25</f>
        <v>0</v>
      </c>
    </row>
    <row r="26" spans="1:14" x14ac:dyDescent="0.35">
      <c r="A26" t="str">
        <f>+'wkly alpha'!A26</f>
        <v>Gorman</v>
      </c>
      <c r="B26" s="28">
        <f>+'wkly alpha'!B26</f>
        <v>3</v>
      </c>
      <c r="C26" s="101">
        <f>+'wkly alpha'!C26</f>
        <v>0</v>
      </c>
      <c r="D26" s="101">
        <f>+'wkly alpha'!D26</f>
        <v>0</v>
      </c>
      <c r="E26" s="101" t="e">
        <f>+'wkly alpha'!E26</f>
        <v>#DIV/0!</v>
      </c>
      <c r="F26" s="101">
        <f>HLOOKUP($I$2,Gorman!Week,F$83)</f>
        <v>0</v>
      </c>
      <c r="G26" s="101">
        <f>HLOOKUP($I$2,Gorman!Week,G$83)</f>
        <v>0</v>
      </c>
      <c r="H26" s="101">
        <f>HLOOKUP($I$2,Gorman!Week,H$83)</f>
        <v>107</v>
      </c>
      <c r="I26" s="101">
        <f>HLOOKUP($I$2,Gorman!Week,I$83)</f>
        <v>0</v>
      </c>
      <c r="J26" s="101">
        <f>HLOOKUP($I$2,Gorman!Week,J$83)</f>
        <v>321</v>
      </c>
      <c r="K26" s="28">
        <f>'final handicap'!D24</f>
        <v>107</v>
      </c>
      <c r="L26">
        <f>+'wkly alpha'!M26</f>
        <v>0</v>
      </c>
    </row>
    <row r="27" spans="1:14" x14ac:dyDescent="0.35">
      <c r="A27" t="str">
        <f>+'wkly alpha'!A27</f>
        <v>Gotthelf</v>
      </c>
      <c r="B27" s="28">
        <f>+'wkly alpha'!B27</f>
        <v>2</v>
      </c>
      <c r="C27" s="101">
        <f>+'wkly alpha'!C27</f>
        <v>0</v>
      </c>
      <c r="D27" s="101">
        <f>+'wkly alpha'!D27</f>
        <v>0</v>
      </c>
      <c r="E27" s="101" t="e">
        <f>+'wkly alpha'!E27</f>
        <v>#DIV/0!</v>
      </c>
      <c r="F27" s="101">
        <f>HLOOKUP($I$2,Gotthelf!Week,F$83)</f>
        <v>0</v>
      </c>
      <c r="G27" s="101">
        <f>HLOOKUP($I$2,Gotthelf!Week,G$83)</f>
        <v>0</v>
      </c>
      <c r="H27" s="101">
        <f>HLOOKUP($I$2,Gotthelf!Week,H$83)</f>
        <v>93</v>
      </c>
      <c r="I27" s="101">
        <f>HLOOKUP($I$2,Gotthelf!Week,I$83)</f>
        <v>0</v>
      </c>
      <c r="J27" s="101">
        <f>HLOOKUP($I$2,Gotthelf!Week,J$83)</f>
        <v>279</v>
      </c>
      <c r="K27" s="28">
        <f>'final handicap'!D25</f>
        <v>93</v>
      </c>
      <c r="L27">
        <f>+'wkly alpha'!M27</f>
        <v>0</v>
      </c>
    </row>
    <row r="28" spans="1:14" x14ac:dyDescent="0.35">
      <c r="A28" t="str">
        <f>+'wkly alpha'!A28</f>
        <v>Grodofsky</v>
      </c>
      <c r="B28" s="28">
        <f>+'wkly alpha'!B28</f>
        <v>2</v>
      </c>
      <c r="C28" s="101">
        <f>+'wkly alpha'!C28</f>
        <v>1454</v>
      </c>
      <c r="D28" s="101">
        <f>+'wkly alpha'!D28</f>
        <v>12</v>
      </c>
      <c r="E28" s="101">
        <f>+'wkly alpha'!E28</f>
        <v>121.16666666666667</v>
      </c>
      <c r="F28" s="101">
        <f>HLOOKUP($I$2,Grodofsky!Week,F$83)</f>
        <v>0</v>
      </c>
      <c r="G28" s="101">
        <f>HLOOKUP($I$2,Grodofsky!Week,G$83)</f>
        <v>149</v>
      </c>
      <c r="H28" s="101">
        <f>HLOOKUP($I$2,Grodofsky!Week,H$83)</f>
        <v>224</v>
      </c>
      <c r="I28" s="101">
        <f>HLOOKUP($I$2,Grodofsky!Week,I$83)</f>
        <v>397</v>
      </c>
      <c r="J28" s="101">
        <f>HLOOKUP($I$2,Grodofsky!Week,J$83)</f>
        <v>616</v>
      </c>
      <c r="K28" s="28">
        <f>'final handicap'!D26</f>
        <v>73</v>
      </c>
      <c r="L28">
        <f>+'wkly alpha'!M28</f>
        <v>0</v>
      </c>
    </row>
    <row r="29" spans="1:14" x14ac:dyDescent="0.35">
      <c r="A29" t="str">
        <f>+'wkly alpha'!A29</f>
        <v>Happer</v>
      </c>
      <c r="B29" s="28">
        <f>+'wkly alpha'!B29</f>
        <v>3</v>
      </c>
      <c r="C29" s="101">
        <f>+'wkly alpha'!C29</f>
        <v>6915</v>
      </c>
      <c r="D29" s="101">
        <f>+'wkly alpha'!D29</f>
        <v>49</v>
      </c>
      <c r="E29" s="101">
        <f>+'wkly alpha'!E29</f>
        <v>141.12244897959184</v>
      </c>
      <c r="F29" s="101">
        <f>HLOOKUP($I$2,Happer!Week,F$83)</f>
        <v>137</v>
      </c>
      <c r="G29" s="101">
        <f>HLOOKUP($I$2,Happer!Week,G$83)</f>
        <v>201</v>
      </c>
      <c r="H29" s="101">
        <f>HLOOKUP($I$2,Happer!Week,H$83)</f>
        <v>256</v>
      </c>
      <c r="I29" s="101">
        <f>HLOOKUP($I$2,Happer!Week,I$83)</f>
        <v>505</v>
      </c>
      <c r="J29" s="101">
        <f>HLOOKUP($I$2,Happer!Week,J$83)</f>
        <v>670</v>
      </c>
      <c r="K29" s="28">
        <f>'final handicap'!D27</f>
        <v>45</v>
      </c>
      <c r="L29">
        <f>+'wkly alpha'!M29</f>
        <v>0</v>
      </c>
    </row>
    <row r="30" spans="1:14" x14ac:dyDescent="0.35">
      <c r="A30" t="str">
        <f>+'wkly alpha'!A30</f>
        <v>Harris</v>
      </c>
      <c r="B30" s="28">
        <f>+'wkly alpha'!B30</f>
        <v>4</v>
      </c>
      <c r="C30" s="101">
        <f>+'wkly alpha'!C30</f>
        <v>5003</v>
      </c>
      <c r="D30" s="101">
        <f>+'wkly alpha'!D30</f>
        <v>37</v>
      </c>
      <c r="E30" s="101">
        <f>+'wkly alpha'!E30</f>
        <v>135.21621621621622</v>
      </c>
      <c r="F30" s="101">
        <f>HLOOKUP($I$2,Harris!Week,F$83)</f>
        <v>135</v>
      </c>
      <c r="G30" s="101">
        <f>HLOOKUP($I$2,Harris!Week,G$83)</f>
        <v>174</v>
      </c>
      <c r="H30" s="101">
        <f>HLOOKUP($I$2,Harris!Week,H$83)</f>
        <v>238</v>
      </c>
      <c r="I30" s="101">
        <f>HLOOKUP($I$2,Harris!Week,I$83)</f>
        <v>433</v>
      </c>
      <c r="J30" s="101">
        <f>HLOOKUP($I$2,Harris!Week,J$83)</f>
        <v>618</v>
      </c>
      <c r="K30" s="28">
        <f>'final handicap'!D28</f>
        <v>66</v>
      </c>
      <c r="L30">
        <f>+'wkly alpha'!M30</f>
        <v>0</v>
      </c>
    </row>
    <row r="31" spans="1:14" x14ac:dyDescent="0.35">
      <c r="A31" t="str">
        <f>+'wkly alpha'!A31</f>
        <v>Harvey</v>
      </c>
      <c r="B31" s="28">
        <f>+'wkly alpha'!B31</f>
        <v>1</v>
      </c>
      <c r="C31" s="101">
        <f>+'wkly alpha'!C31</f>
        <v>3315</v>
      </c>
      <c r="D31" s="101">
        <f>+'wkly alpha'!D31</f>
        <v>24</v>
      </c>
      <c r="E31" s="101">
        <f>+'wkly alpha'!E31</f>
        <v>138.125</v>
      </c>
      <c r="F31" s="101">
        <f>HLOOKUP($I$2,Harvey!Week,F$83)</f>
        <v>170</v>
      </c>
      <c r="G31" s="101">
        <f>HLOOKUP($I$2,Harvey!Week,G$83)</f>
        <v>185</v>
      </c>
      <c r="H31" s="101">
        <f>HLOOKUP($I$2,Harvey!Week,H$83)</f>
        <v>235</v>
      </c>
      <c r="I31" s="101">
        <f>HLOOKUP($I$2,Harvey!Week,I$83)</f>
        <v>428</v>
      </c>
      <c r="J31" s="101">
        <f>HLOOKUP($I$2,Harvey!Week,J$83)</f>
        <v>599</v>
      </c>
      <c r="K31" s="28">
        <f>'final handicap'!D29</f>
        <v>66</v>
      </c>
      <c r="L31">
        <f>+'wkly alpha'!M31</f>
        <v>0</v>
      </c>
    </row>
    <row r="32" spans="1:14" x14ac:dyDescent="0.35">
      <c r="A32" t="str">
        <f>+'wkly alpha'!A32</f>
        <v>Hatton</v>
      </c>
      <c r="B32" s="28">
        <f>+'wkly alpha'!B32</f>
        <v>4</v>
      </c>
      <c r="C32" s="101">
        <f>+'wkly alpha'!C32</f>
        <v>2367</v>
      </c>
      <c r="D32" s="101">
        <f>+'wkly alpha'!D32</f>
        <v>16</v>
      </c>
      <c r="E32" s="101">
        <f>+'wkly alpha'!E32</f>
        <v>147.9375</v>
      </c>
      <c r="F32" s="101">
        <f>HLOOKUP($I$2,Hatton!Week,F$83)</f>
        <v>0</v>
      </c>
      <c r="G32" s="101">
        <f>HLOOKUP($I$2,Hatton!Week,G$83)</f>
        <v>203</v>
      </c>
      <c r="H32" s="101">
        <f>HLOOKUP($I$2,Hatton!Week,H$83)</f>
        <v>252</v>
      </c>
      <c r="I32" s="101">
        <f>HLOOKUP($I$2,Hatton!Week,I$83)</f>
        <v>550</v>
      </c>
      <c r="J32" s="101">
        <f>HLOOKUP($I$2,Hatton!Week,J$83)</f>
        <v>697</v>
      </c>
      <c r="K32" s="28">
        <f>'final handicap'!D30</f>
        <v>49</v>
      </c>
      <c r="L32">
        <f>+'wkly alpha'!M32</f>
        <v>0</v>
      </c>
    </row>
    <row r="33" spans="1:12" x14ac:dyDescent="0.35">
      <c r="A33" t="str">
        <f>+'wkly alpha'!A33</f>
        <v>Hilton</v>
      </c>
      <c r="B33" s="28">
        <f>+'wkly alpha'!B33</f>
        <v>2</v>
      </c>
      <c r="C33" s="101">
        <f>+'wkly alpha'!C33</f>
        <v>4210</v>
      </c>
      <c r="D33" s="101">
        <f>+'wkly alpha'!D33</f>
        <v>34</v>
      </c>
      <c r="E33" s="101">
        <f>+'wkly alpha'!E33</f>
        <v>123.82352941176471</v>
      </c>
      <c r="F33" s="101">
        <f>HLOOKUP($I$2,Hilton!Week,F$83)</f>
        <v>0</v>
      </c>
      <c r="G33" s="101">
        <f>HLOOKUP($I$2,Hilton!Week,G$83)</f>
        <v>154</v>
      </c>
      <c r="H33" s="101">
        <f>HLOOKUP($I$2,Hilton!Week,H$83)</f>
        <v>230</v>
      </c>
      <c r="I33" s="101">
        <f>HLOOKUP($I$2,Hilton!Week,I$83)</f>
        <v>413</v>
      </c>
      <c r="J33" s="101">
        <f>HLOOKUP($I$2,Hilton!Week,J$83)</f>
        <v>633</v>
      </c>
      <c r="K33" s="311" t="s">
        <v>244</v>
      </c>
      <c r="L33">
        <f>+'wkly alpha'!M33</f>
        <v>0</v>
      </c>
    </row>
    <row r="34" spans="1:12" x14ac:dyDescent="0.35">
      <c r="A34" t="str">
        <f>+'wkly alpha'!A34</f>
        <v>Hornyak</v>
      </c>
      <c r="B34" s="28">
        <f>+'wkly alpha'!B34</f>
        <v>2</v>
      </c>
      <c r="C34" s="101">
        <f>+'wkly alpha'!C34</f>
        <v>3348</v>
      </c>
      <c r="D34" s="101">
        <f>+'wkly alpha'!D34</f>
        <v>24</v>
      </c>
      <c r="E34" s="101">
        <f>+'wkly alpha'!E34</f>
        <v>139.5</v>
      </c>
      <c r="F34" s="101">
        <f>HLOOKUP($I$2,Hornyak!Week,F$83)</f>
        <v>158</v>
      </c>
      <c r="G34" s="101">
        <f>HLOOKUP($I$2,Hornyak!Week,G$83)</f>
        <v>202</v>
      </c>
      <c r="H34" s="101">
        <f>HLOOKUP($I$2,Hornyak!Week,H$83)</f>
        <v>248</v>
      </c>
      <c r="I34" s="101">
        <f>HLOOKUP($I$2,Hornyak!Week,I$83)</f>
        <v>479</v>
      </c>
      <c r="J34" s="101">
        <f>HLOOKUP($I$2,Hornyak!Week,J$83)</f>
        <v>647</v>
      </c>
      <c r="K34" s="28">
        <f>'final handicap'!D31</f>
        <v>56</v>
      </c>
      <c r="L34">
        <f>+'wkly alpha'!M34</f>
        <v>0</v>
      </c>
    </row>
    <row r="35" spans="1:12" x14ac:dyDescent="0.35">
      <c r="A35" t="str">
        <f>+'wkly alpha'!A35</f>
        <v>Horowitz</v>
      </c>
      <c r="B35" s="28">
        <f>+'wkly alpha'!B35</f>
        <v>2</v>
      </c>
      <c r="C35" s="101">
        <f>+'wkly alpha'!C35</f>
        <v>4859</v>
      </c>
      <c r="D35" s="101">
        <f>+'wkly alpha'!D35</f>
        <v>43</v>
      </c>
      <c r="E35" s="101">
        <f>+'wkly alpha'!E35</f>
        <v>113</v>
      </c>
      <c r="F35" s="101">
        <f>HLOOKUP($I$2,Horowitz!Week,F$83)</f>
        <v>0</v>
      </c>
      <c r="G35" s="101">
        <f>HLOOKUP($I$2,Horowitz!Week,G$83)</f>
        <v>157</v>
      </c>
      <c r="H35" s="101">
        <f>HLOOKUP($I$2,Horowitz!Week,H$83)</f>
        <v>237</v>
      </c>
      <c r="I35" s="101">
        <f>HLOOKUP($I$2,Horowitz!Week,I$83)</f>
        <v>408</v>
      </c>
      <c r="J35" s="101">
        <f>HLOOKUP($I$2,Horowitz!Week,J$83)</f>
        <v>648</v>
      </c>
      <c r="K35" s="28" t="s">
        <v>244</v>
      </c>
      <c r="L35">
        <f>+'wkly alpha'!M35</f>
        <v>0</v>
      </c>
    </row>
    <row r="36" spans="1:12" x14ac:dyDescent="0.35">
      <c r="A36" t="str">
        <f>+'wkly alpha'!A36</f>
        <v>Jordan</v>
      </c>
      <c r="B36" s="28">
        <f>+'wkly alpha'!B36</f>
        <v>1</v>
      </c>
      <c r="C36" s="101">
        <f>+'wkly alpha'!C36</f>
        <v>0</v>
      </c>
      <c r="D36" s="101">
        <f>+'wkly alpha'!D36</f>
        <v>0</v>
      </c>
      <c r="E36" s="101" t="e">
        <f>+'wkly alpha'!E36</f>
        <v>#DIV/0!</v>
      </c>
      <c r="F36" s="101">
        <f>HLOOKUP($I$2,Jordan!Week,F$83)</f>
        <v>0</v>
      </c>
      <c r="G36" s="101">
        <f>HLOOKUP($I$2,Jordan!Week,G$83)</f>
        <v>0</v>
      </c>
      <c r="H36" s="101">
        <f>HLOOKUP($I$2,Jordan!Week,H$83)</f>
        <v>83</v>
      </c>
      <c r="I36" s="101">
        <f>HLOOKUP($I$2,Jordan!Week,I$83)</f>
        <v>0</v>
      </c>
      <c r="J36" s="101">
        <f>HLOOKUP($I$2,Jordan!Week,J$83)</f>
        <v>249</v>
      </c>
      <c r="K36" s="28">
        <f>'final handicap'!D32</f>
        <v>83</v>
      </c>
      <c r="L36">
        <f>+'wkly alpha'!M36</f>
        <v>0</v>
      </c>
    </row>
    <row r="37" spans="1:12" x14ac:dyDescent="0.35">
      <c r="A37" t="str">
        <f>+'wkly alpha'!A37</f>
        <v>Kanaris</v>
      </c>
      <c r="B37" s="28">
        <f>+'wkly alpha'!B37</f>
        <v>1</v>
      </c>
      <c r="C37" s="101">
        <f>+'wkly alpha'!C37</f>
        <v>1417</v>
      </c>
      <c r="D37" s="101">
        <f>+'wkly alpha'!D37</f>
        <v>12</v>
      </c>
      <c r="E37" s="101">
        <f>+'wkly alpha'!E37</f>
        <v>118.08333333333333</v>
      </c>
      <c r="F37" s="101">
        <f>HLOOKUP($I$2,Kanaris!Week,F$83)</f>
        <v>0</v>
      </c>
      <c r="G37" s="101">
        <f>HLOOKUP($I$2,Kanaris!Week,G$83)</f>
        <v>171</v>
      </c>
      <c r="H37" s="101" t="e">
        <f>HLOOKUP($I$2,Kanaris!Week,H$83)</f>
        <v>#DIV/0!</v>
      </c>
      <c r="I37" s="101">
        <f>HLOOKUP($I$2,Kanaris!Week,I$83)</f>
        <v>406</v>
      </c>
      <c r="J37" s="101" t="e">
        <f>HLOOKUP($I$2,Kanaris!Week,J$83)</f>
        <v>#DIV/0!</v>
      </c>
      <c r="K37" s="311" t="s">
        <v>244</v>
      </c>
      <c r="L37">
        <f>+'wkly alpha'!M37</f>
        <v>0</v>
      </c>
    </row>
    <row r="38" spans="1:12" x14ac:dyDescent="0.35">
      <c r="A38" t="str">
        <f>+'wkly alpha'!A38</f>
        <v>Karczewski</v>
      </c>
      <c r="B38" s="28">
        <f>+'wkly alpha'!B38</f>
        <v>2</v>
      </c>
      <c r="C38" s="101">
        <f>+'wkly alpha'!C38</f>
        <v>6842</v>
      </c>
      <c r="D38" s="101">
        <f>+'wkly alpha'!D38</f>
        <v>52</v>
      </c>
      <c r="E38" s="101">
        <f>+'wkly alpha'!E38</f>
        <v>131.57692307692307</v>
      </c>
      <c r="F38" s="101">
        <f>HLOOKUP($I$2,Karczewski!Week,F$83)</f>
        <v>115</v>
      </c>
      <c r="G38" s="101">
        <f>HLOOKUP($I$2,Karczewski!Week,G$83)</f>
        <v>180</v>
      </c>
      <c r="H38" s="101">
        <f>HLOOKUP($I$2,Karczewski!Week,H$83)</f>
        <v>245</v>
      </c>
      <c r="I38" s="101">
        <f>HLOOKUP($I$2,Karczewski!Week,I$83)</f>
        <v>450</v>
      </c>
      <c r="J38" s="101">
        <f>HLOOKUP($I$2,Karczewski!Week,J$83)</f>
        <v>654</v>
      </c>
      <c r="K38" s="28">
        <f>'final handicap'!D33</f>
        <v>60</v>
      </c>
      <c r="L38">
        <f>+'wkly alpha'!M38</f>
        <v>0</v>
      </c>
    </row>
    <row r="39" spans="1:12" x14ac:dyDescent="0.35">
      <c r="A39" t="str">
        <f>+'wkly alpha'!A39</f>
        <v>Kennedy</v>
      </c>
      <c r="B39" s="28">
        <f>+'wkly alpha'!B39</f>
        <v>3</v>
      </c>
      <c r="C39" s="101">
        <f>+'wkly alpha'!C39</f>
        <v>3595</v>
      </c>
      <c r="D39" s="101">
        <f>+'wkly alpha'!D39</f>
        <v>24</v>
      </c>
      <c r="E39" s="101">
        <f>+'wkly alpha'!E39</f>
        <v>149.79166666666666</v>
      </c>
      <c r="F39" s="101">
        <f>HLOOKUP($I$2,Kennedy!Week,F$83)</f>
        <v>132</v>
      </c>
      <c r="G39" s="101">
        <f>HLOOKUP($I$2,Kennedy!Week,G$83)</f>
        <v>182</v>
      </c>
      <c r="H39" s="101">
        <f>HLOOKUP($I$2,Kennedy!Week,H$83)</f>
        <v>226</v>
      </c>
      <c r="I39" s="101">
        <f>HLOOKUP($I$2,Kennedy!Week,I$83)</f>
        <v>472</v>
      </c>
      <c r="J39" s="101">
        <f>HLOOKUP($I$2,Kennedy!Week,J$83)</f>
        <v>622</v>
      </c>
      <c r="K39" s="28">
        <f>'final handicap'!D34</f>
        <v>47</v>
      </c>
      <c r="L39">
        <f>+'wkly alpha'!M39</f>
        <v>0</v>
      </c>
    </row>
    <row r="40" spans="1:12" x14ac:dyDescent="0.35">
      <c r="A40" t="str">
        <f>+'wkly alpha'!A40</f>
        <v>Keyt</v>
      </c>
      <c r="B40" s="28">
        <f>+'wkly alpha'!B40</f>
        <v>1</v>
      </c>
      <c r="C40" s="101">
        <f>+'wkly alpha'!C40</f>
        <v>3413</v>
      </c>
      <c r="D40" s="101">
        <f>+'wkly alpha'!D40</f>
        <v>27</v>
      </c>
      <c r="E40" s="101">
        <f>+'wkly alpha'!E40</f>
        <v>126.4074074074074</v>
      </c>
      <c r="F40" s="101">
        <f>HLOOKUP($I$2,Keyt!Week,F$83)</f>
        <v>0</v>
      </c>
      <c r="G40" s="101">
        <f>HLOOKUP($I$2,Keyt!Week,G$83)</f>
        <v>166</v>
      </c>
      <c r="H40" s="101">
        <f>HLOOKUP($I$2,Keyt!Week,H$83)</f>
        <v>226</v>
      </c>
      <c r="I40" s="101">
        <f>HLOOKUP($I$2,Keyt!Week,I$83)</f>
        <v>425</v>
      </c>
      <c r="J40" s="101">
        <f>HLOOKUP($I$2,Keyt!Week,J$83)</f>
        <v>623</v>
      </c>
      <c r="K40" s="28">
        <f>'final handicap'!D35</f>
        <v>53</v>
      </c>
      <c r="L40">
        <f>+'wkly alpha'!M40</f>
        <v>0</v>
      </c>
    </row>
    <row r="41" spans="1:12" x14ac:dyDescent="0.35">
      <c r="A41" t="str">
        <f>+'wkly alpha'!A41</f>
        <v>Kincey</v>
      </c>
      <c r="B41" s="28">
        <f>+'wkly alpha'!B41</f>
        <v>3</v>
      </c>
      <c r="C41" s="101">
        <f>+'wkly alpha'!C41</f>
        <v>1124</v>
      </c>
      <c r="D41" s="101">
        <f>+'wkly alpha'!D41</f>
        <v>10</v>
      </c>
      <c r="E41" s="101">
        <f>+'wkly alpha'!E41</f>
        <v>112.4</v>
      </c>
      <c r="F41" s="101">
        <f>HLOOKUP($I$2,Kincey!Week,F$83)</f>
        <v>0</v>
      </c>
      <c r="G41" s="101">
        <f>HLOOKUP($I$2,Kincey!Week,G$83)</f>
        <v>135</v>
      </c>
      <c r="H41" s="101">
        <f>HLOOKUP($I$2,Kincey!Week,H$83)</f>
        <v>212</v>
      </c>
      <c r="I41" s="101">
        <f>HLOOKUP($I$2,Kincey!Week,I$83)</f>
        <v>369</v>
      </c>
      <c r="J41" s="101">
        <f>HLOOKUP($I$2,Kincey!Week,J$83)</f>
        <v>600</v>
      </c>
      <c r="K41" s="28">
        <f>'final handicap'!D36</f>
        <v>77</v>
      </c>
      <c r="L41">
        <f>+'wkly alpha'!M41</f>
        <v>0</v>
      </c>
    </row>
    <row r="42" spans="1:12" x14ac:dyDescent="0.35">
      <c r="A42" t="str">
        <f>+'wkly alpha'!A42</f>
        <v>Kinney</v>
      </c>
      <c r="B42" s="28">
        <f>+'wkly alpha'!B42</f>
        <v>3</v>
      </c>
      <c r="C42" s="101">
        <f>+'wkly alpha'!C42</f>
        <v>5116</v>
      </c>
      <c r="D42" s="101">
        <f>+'wkly alpha'!D42</f>
        <v>35</v>
      </c>
      <c r="E42" s="101">
        <f>+'wkly alpha'!E42</f>
        <v>146.17142857142858</v>
      </c>
      <c r="F42" s="101">
        <f>HLOOKUP($I$2,Kinney!Week,F$83)</f>
        <v>151</v>
      </c>
      <c r="G42" s="101">
        <f>HLOOKUP($I$2,Kinney!Week,G$83)</f>
        <v>179</v>
      </c>
      <c r="H42" s="101">
        <f>HLOOKUP($I$2,Kinney!Week,H$83)</f>
        <v>231</v>
      </c>
      <c r="I42" s="101">
        <f>HLOOKUP($I$2,Kinney!Week,I$83)</f>
        <v>490</v>
      </c>
      <c r="J42" s="101">
        <f>HLOOKUP($I$2,Kinney!Week,J$83)</f>
        <v>643</v>
      </c>
      <c r="K42" s="28">
        <f>'final handicap'!D37</f>
        <v>42</v>
      </c>
      <c r="L42">
        <f>+'wkly alpha'!M42</f>
        <v>0</v>
      </c>
    </row>
    <row r="43" spans="1:12" x14ac:dyDescent="0.35">
      <c r="A43" t="str">
        <f>+'wkly alpha'!A43</f>
        <v>Koy</v>
      </c>
      <c r="B43" s="28">
        <f>+'wkly alpha'!B43</f>
        <v>4</v>
      </c>
      <c r="C43" s="101">
        <f>+'wkly alpha'!C43</f>
        <v>698</v>
      </c>
      <c r="D43" s="101">
        <f>+'wkly alpha'!D43</f>
        <v>6</v>
      </c>
      <c r="E43" s="101">
        <f>+'wkly alpha'!E43</f>
        <v>116.33333333333333</v>
      </c>
      <c r="F43" s="101">
        <f>HLOOKUP($I$2,Koy!Week,F$83)</f>
        <v>0</v>
      </c>
      <c r="G43" s="101">
        <f>HLOOKUP($I$2,Koy!Week,G$83)</f>
        <v>158</v>
      </c>
      <c r="H43" s="101">
        <f>HLOOKUP($I$2,Koy!Week,H$83)</f>
        <v>236</v>
      </c>
      <c r="I43" s="101">
        <f>HLOOKUP($I$2,Koy!Week,I$83)</f>
        <v>367</v>
      </c>
      <c r="J43" s="101">
        <f>HLOOKUP($I$2,Koy!Week,J$83)</f>
        <v>601</v>
      </c>
      <c r="K43" s="28">
        <f>'final handicap'!D38</f>
        <v>78</v>
      </c>
      <c r="L43">
        <f>+'wkly alpha'!M43</f>
        <v>0</v>
      </c>
    </row>
    <row r="44" spans="1:12" x14ac:dyDescent="0.35">
      <c r="A44" t="str">
        <f>+'wkly alpha'!A44</f>
        <v>Kuehm</v>
      </c>
      <c r="B44" s="28">
        <f>+'wkly alpha'!B44</f>
        <v>2</v>
      </c>
      <c r="C44" s="101">
        <f>+'wkly alpha'!C44</f>
        <v>4945</v>
      </c>
      <c r="D44" s="101">
        <f>+'wkly alpha'!D44</f>
        <v>40</v>
      </c>
      <c r="E44" s="101">
        <f>+'wkly alpha'!E44</f>
        <v>123.625</v>
      </c>
      <c r="F44" s="101">
        <f>HLOOKUP($I$2,Kuehm!Week,F$83)</f>
        <v>135</v>
      </c>
      <c r="G44" s="101">
        <f>HLOOKUP($I$2,Kuehm!Week,G$83)</f>
        <v>157</v>
      </c>
      <c r="H44" s="101">
        <f>HLOOKUP($I$2,Kuehm!Week,H$83)</f>
        <v>229</v>
      </c>
      <c r="I44" s="101">
        <f>HLOOKUP($I$2,Kuehm!Week,I$83)</f>
        <v>428</v>
      </c>
      <c r="J44" s="101">
        <f>HLOOKUP($I$2,Kuehm!Week,J$83)</f>
        <v>663</v>
      </c>
      <c r="K44" s="28">
        <f>'final handicap'!D39</f>
        <v>67</v>
      </c>
      <c r="L44">
        <f>+'wkly alpha'!M44</f>
        <v>0</v>
      </c>
    </row>
    <row r="45" spans="1:12" x14ac:dyDescent="0.35">
      <c r="A45" t="str">
        <f>+'wkly alpha'!A45</f>
        <v>Lalin</v>
      </c>
      <c r="B45" s="28">
        <f>+'wkly alpha'!B45</f>
        <v>1</v>
      </c>
      <c r="C45" s="101">
        <f>+'wkly alpha'!C45</f>
        <v>521</v>
      </c>
      <c r="D45" s="101">
        <f>+'wkly alpha'!D45</f>
        <v>4</v>
      </c>
      <c r="E45" s="101">
        <f>+'wkly alpha'!E45</f>
        <v>130.25</v>
      </c>
      <c r="F45" s="101">
        <f>HLOOKUP($I$2,Lalin!Week,F$83)</f>
        <v>0</v>
      </c>
      <c r="G45" s="101">
        <f>HLOOKUP($I$2,Lalin!Week,G$83)</f>
        <v>153</v>
      </c>
      <c r="H45" s="101">
        <f>HLOOKUP($I$2,Lalin!Week,H$83)</f>
        <v>206</v>
      </c>
      <c r="I45" s="101">
        <f>HLOOKUP($I$2,Lalin!Week,I$83)</f>
        <v>269</v>
      </c>
      <c r="J45" s="101">
        <f>HLOOKUP($I$2,Lalin!Week,J$83)</f>
        <v>428</v>
      </c>
      <c r="K45" s="28">
        <f>'final handicap'!D40</f>
        <v>53</v>
      </c>
      <c r="L45">
        <f>+'wkly alpha'!M45</f>
        <v>0</v>
      </c>
    </row>
    <row r="46" spans="1:12" x14ac:dyDescent="0.35">
      <c r="A46" t="str">
        <f>+'wkly alpha'!A46</f>
        <v>Lamb</v>
      </c>
      <c r="B46" s="28">
        <f>+'wkly alpha'!B46</f>
        <v>4</v>
      </c>
      <c r="C46" s="101">
        <f>+'wkly alpha'!C46</f>
        <v>3270</v>
      </c>
      <c r="D46" s="101">
        <f>+'wkly alpha'!D46</f>
        <v>25</v>
      </c>
      <c r="E46" s="101">
        <f>+'wkly alpha'!E46</f>
        <v>130.80000000000001</v>
      </c>
      <c r="F46" s="101">
        <f>HLOOKUP($I$2,Lamb!Week,F$83)</f>
        <v>0</v>
      </c>
      <c r="G46" s="101">
        <f>HLOOKUP($I$2,Lamb!Week,G$83)</f>
        <v>189</v>
      </c>
      <c r="H46" s="101">
        <f>HLOOKUP($I$2,Lamb!Week,H$83)</f>
        <v>250</v>
      </c>
      <c r="I46" s="101">
        <f>HLOOKUP($I$2,Lamb!Week,I$83)</f>
        <v>429</v>
      </c>
      <c r="J46" s="101">
        <f>HLOOKUP($I$2,Lamb!Week,J$83)</f>
        <v>602</v>
      </c>
      <c r="K46" s="311" t="s">
        <v>244</v>
      </c>
      <c r="L46">
        <f>+'wkly alpha'!M46</f>
        <v>0</v>
      </c>
    </row>
    <row r="47" spans="1:12" x14ac:dyDescent="0.35">
      <c r="A47" t="str">
        <f>+'wkly alpha'!A47</f>
        <v>Lewis, B</v>
      </c>
      <c r="B47" s="28">
        <f>+'wkly alpha'!B47</f>
        <v>1</v>
      </c>
      <c r="C47" s="101">
        <f>+'wkly alpha'!C47</f>
        <v>5413</v>
      </c>
      <c r="D47" s="101">
        <f>+'wkly alpha'!D47</f>
        <v>42</v>
      </c>
      <c r="E47" s="101">
        <f>+'wkly alpha'!E47</f>
        <v>128.88095238095238</v>
      </c>
      <c r="F47" s="101">
        <f>HLOOKUP($I$2,LewisB!Week,F$83)</f>
        <v>153</v>
      </c>
      <c r="G47" s="101">
        <f>HLOOKUP($I$2,LewisB!Week,G$83)</f>
        <v>176</v>
      </c>
      <c r="H47" s="101">
        <f>HLOOKUP($I$2,LewisB!Week,H$83)</f>
        <v>252</v>
      </c>
      <c r="I47" s="101">
        <f>HLOOKUP($I$2,LewisB!Week,I$83)</f>
        <v>480</v>
      </c>
      <c r="J47" s="101">
        <f>HLOOKUP($I$2,LewisB!Week,J$83)</f>
        <v>708</v>
      </c>
      <c r="K47" s="28">
        <f>'final handicap'!D41</f>
        <v>75</v>
      </c>
      <c r="L47">
        <f>+'wkly alpha'!M47</f>
        <v>0</v>
      </c>
    </row>
    <row r="48" spans="1:12" x14ac:dyDescent="0.35">
      <c r="A48" t="str">
        <f>+'wkly alpha'!A48</f>
        <v>Lewis, D</v>
      </c>
      <c r="B48" s="28">
        <f>+'wkly alpha'!B48</f>
        <v>1</v>
      </c>
      <c r="C48" s="101">
        <f>+'wkly alpha'!C48</f>
        <v>8417</v>
      </c>
      <c r="D48" s="101">
        <f>+'wkly alpha'!D48</f>
        <v>61</v>
      </c>
      <c r="E48" s="101">
        <f>+'wkly alpha'!E48</f>
        <v>137.98360655737704</v>
      </c>
      <c r="F48" s="101">
        <f>HLOOKUP($I$2,LewisD!Week,F$83)</f>
        <v>172</v>
      </c>
      <c r="G48" s="101">
        <f>HLOOKUP($I$2,LewisD!Week,G$83)</f>
        <v>201</v>
      </c>
      <c r="H48" s="101">
        <f>HLOOKUP($I$2,LewisD!Week,H$83)</f>
        <v>264</v>
      </c>
      <c r="I48" s="101">
        <f>HLOOKUP($I$2,LewisD!Week,I$83)</f>
        <v>468</v>
      </c>
      <c r="J48" s="101">
        <f>HLOOKUP($I$2,LewisD!Week,J$83)</f>
        <v>662</v>
      </c>
      <c r="K48" s="28">
        <f>'final handicap'!D42</f>
        <v>59</v>
      </c>
      <c r="L48">
        <f>+'wkly alpha'!M48</f>
        <v>0</v>
      </c>
    </row>
    <row r="49" spans="1:12" x14ac:dyDescent="0.35">
      <c r="A49" t="str">
        <f>+'wkly alpha'!A49</f>
        <v>Lowell</v>
      </c>
      <c r="B49" s="28">
        <f>+'wkly alpha'!B49</f>
        <v>2</v>
      </c>
      <c r="C49" s="101">
        <f>+'wkly alpha'!C49</f>
        <v>0</v>
      </c>
      <c r="D49" s="101">
        <f>+'wkly alpha'!D49</f>
        <v>0</v>
      </c>
      <c r="E49" s="101" t="e">
        <f>+'wkly alpha'!E49</f>
        <v>#DIV/0!</v>
      </c>
      <c r="F49" s="101">
        <f>HLOOKUP($I$2,Lowell!Week,F$83)</f>
        <v>0</v>
      </c>
      <c r="G49" s="101">
        <f>HLOOKUP($I$2,Lowell!Week,G$83)</f>
        <v>0</v>
      </c>
      <c r="H49" s="101">
        <f>HLOOKUP($I$2,Lowell!Week,H$83)</f>
        <v>75</v>
      </c>
      <c r="I49" s="101">
        <f>HLOOKUP($I$2,Lowell!Week,I$83)</f>
        <v>0</v>
      </c>
      <c r="J49" s="101">
        <f>HLOOKUP($I$2,Lowell!Week,J$83)</f>
        <v>225</v>
      </c>
      <c r="K49" s="28">
        <f>'final handicap'!D43</f>
        <v>75</v>
      </c>
      <c r="L49">
        <f>+'wkly alpha'!M49</f>
        <v>0</v>
      </c>
    </row>
    <row r="50" spans="1:12" x14ac:dyDescent="0.35">
      <c r="A50" t="str">
        <f>+'wkly alpha'!A50</f>
        <v>Luzzi</v>
      </c>
      <c r="B50" s="28">
        <f>+'wkly alpha'!B50</f>
        <v>2</v>
      </c>
      <c r="C50" s="101">
        <f>+'wkly alpha'!C50</f>
        <v>402</v>
      </c>
      <c r="D50" s="101">
        <f>+'wkly alpha'!D50</f>
        <v>3</v>
      </c>
      <c r="E50" s="101">
        <f>+'wkly alpha'!E50</f>
        <v>134</v>
      </c>
      <c r="F50" s="101">
        <f>HLOOKUP($I$2,Luzzi!Week,F$83)</f>
        <v>0</v>
      </c>
      <c r="G50" s="101">
        <f>HLOOKUP($I$2,Luzzi!Week,G$83)</f>
        <v>152</v>
      </c>
      <c r="H50" s="101">
        <f>HLOOKUP($I$2,Luzzi!Week,H$83)</f>
        <v>215</v>
      </c>
      <c r="I50" s="101">
        <f>HLOOKUP($I$2,Luzzi!Week,I$83)</f>
        <v>250</v>
      </c>
      <c r="J50" s="101">
        <f>HLOOKUP($I$2,Luzzi!Week,J$83)</f>
        <v>439</v>
      </c>
      <c r="K50" s="28">
        <f>'final handicap'!D44</f>
        <v>63</v>
      </c>
      <c r="L50">
        <f>+'wkly alpha'!M50</f>
        <v>0</v>
      </c>
    </row>
    <row r="51" spans="1:12" x14ac:dyDescent="0.35">
      <c r="A51" t="str">
        <f>+'wkly alpha'!A51</f>
        <v>Maione</v>
      </c>
      <c r="B51" s="28">
        <f>+'wkly alpha'!B51</f>
        <v>1</v>
      </c>
      <c r="C51" s="101">
        <f>+'wkly alpha'!C51</f>
        <v>4956</v>
      </c>
      <c r="D51" s="101">
        <f>+'wkly alpha'!D51</f>
        <v>38</v>
      </c>
      <c r="E51" s="101">
        <f>+'wkly alpha'!E51</f>
        <v>130.42105263157896</v>
      </c>
      <c r="F51" s="101">
        <f>HLOOKUP($I$2,Maione!Week,F$83)</f>
        <v>0</v>
      </c>
      <c r="G51" s="101">
        <f>HLOOKUP($I$2,Maione!Week,G$83)</f>
        <v>173</v>
      </c>
      <c r="H51" s="101">
        <f>HLOOKUP($I$2,Maione!Week,H$83)</f>
        <v>240</v>
      </c>
      <c r="I51" s="101">
        <f>HLOOKUP($I$2,Maione!Week,I$83)</f>
        <v>459</v>
      </c>
      <c r="J51" s="101">
        <f>HLOOKUP($I$2,Maione!Week,J$83)</f>
        <v>654</v>
      </c>
      <c r="K51" s="28" t="s">
        <v>244</v>
      </c>
      <c r="L51">
        <f>+'wkly alpha'!M51</f>
        <v>0</v>
      </c>
    </row>
    <row r="52" spans="1:12" x14ac:dyDescent="0.35">
      <c r="A52" t="str">
        <f>+'wkly alpha'!A52</f>
        <v>Malady</v>
      </c>
      <c r="B52" s="28">
        <f>+'wkly alpha'!B52</f>
        <v>4</v>
      </c>
      <c r="C52" s="101">
        <f>+'wkly alpha'!C52</f>
        <v>1197</v>
      </c>
      <c r="D52" s="101">
        <f>+'wkly alpha'!D52</f>
        <v>9</v>
      </c>
      <c r="E52" s="101">
        <f>+'wkly alpha'!E52</f>
        <v>133</v>
      </c>
      <c r="F52" s="101">
        <f>HLOOKUP($I$2,Malady!Week,F$83)</f>
        <v>95</v>
      </c>
      <c r="G52" s="101">
        <f>HLOOKUP($I$2,Malady!Week,G$83)</f>
        <v>182</v>
      </c>
      <c r="H52" s="101">
        <f>HLOOKUP($I$2,Malady!Week,H$83)</f>
        <v>242</v>
      </c>
      <c r="I52" s="101">
        <f>HLOOKUP($I$2,Malady!Week,I$83)</f>
        <v>446</v>
      </c>
      <c r="J52" s="101">
        <f>HLOOKUP($I$2,Malady!Week,J$83)</f>
        <v>626</v>
      </c>
      <c r="K52" s="28">
        <f>'final handicap'!D45</f>
        <v>60</v>
      </c>
      <c r="L52">
        <f>+'wkly alpha'!M52</f>
        <v>0</v>
      </c>
    </row>
    <row r="53" spans="1:12" x14ac:dyDescent="0.35">
      <c r="A53" t="str">
        <f>+'wkly alpha'!A53</f>
        <v>Martorana</v>
      </c>
      <c r="B53" s="28">
        <f>+'wkly alpha'!B53</f>
        <v>3</v>
      </c>
      <c r="C53" s="101">
        <f>+'wkly alpha'!C53</f>
        <v>0</v>
      </c>
      <c r="D53" s="101">
        <f>+'wkly alpha'!D53</f>
        <v>0</v>
      </c>
      <c r="E53" s="101" t="e">
        <f>+'wkly alpha'!E53</f>
        <v>#DIV/0!</v>
      </c>
      <c r="F53" s="101">
        <f>HLOOKUP($I$2,Martorana!Week,F$83)</f>
        <v>0</v>
      </c>
      <c r="G53" s="101">
        <f>HLOOKUP($I$2,Martorana!Week,G$83)</f>
        <v>0</v>
      </c>
      <c r="H53" s="101">
        <f>HLOOKUP($I$2,Martorana!Week,H$83)</f>
        <v>53</v>
      </c>
      <c r="I53" s="101">
        <f>HLOOKUP($I$2,Martorana!Week,I$83)</f>
        <v>0</v>
      </c>
      <c r="J53" s="101">
        <f>HLOOKUP($I$2,Martorana!Week,J$83)</f>
        <v>159</v>
      </c>
      <c r="K53" s="28">
        <f>'final handicap'!D46</f>
        <v>53</v>
      </c>
      <c r="L53">
        <f>+'wkly alpha'!M53</f>
        <v>0</v>
      </c>
    </row>
    <row r="54" spans="1:12" x14ac:dyDescent="0.35">
      <c r="A54" t="str">
        <f>+'wkly alpha'!A54</f>
        <v>Maute</v>
      </c>
      <c r="B54" s="28">
        <f>+'wkly alpha'!B54</f>
        <v>4</v>
      </c>
      <c r="C54" s="101">
        <f>+'wkly alpha'!C54</f>
        <v>2126</v>
      </c>
      <c r="D54" s="101">
        <f>+'wkly alpha'!D54</f>
        <v>18</v>
      </c>
      <c r="E54" s="101">
        <f>+'wkly alpha'!E54</f>
        <v>118.11111111111111</v>
      </c>
      <c r="F54" s="101">
        <f>HLOOKUP($I$2,Maute!Week,F$83)</f>
        <v>0</v>
      </c>
      <c r="G54" s="101">
        <f>HLOOKUP($I$2,Maute!Week,G$83)</f>
        <v>160</v>
      </c>
      <c r="H54" s="101">
        <f>HLOOKUP($I$2,Maute!Week,H$83)</f>
        <v>236</v>
      </c>
      <c r="I54" s="101">
        <f>HLOOKUP($I$2,Maute!Week,I$83)</f>
        <v>409</v>
      </c>
      <c r="J54" s="101">
        <f>HLOOKUP($I$2,Maute!Week,J$83)</f>
        <v>630</v>
      </c>
      <c r="K54" s="28">
        <f>'final handicap'!D47</f>
        <v>50</v>
      </c>
      <c r="L54">
        <f>+'wkly alpha'!M54</f>
        <v>0</v>
      </c>
    </row>
    <row r="55" spans="1:12" x14ac:dyDescent="0.35">
      <c r="A55" t="str">
        <f>+'wkly alpha'!A55</f>
        <v>Moran</v>
      </c>
      <c r="B55" s="28">
        <f>+'wkly alpha'!B55</f>
        <v>4</v>
      </c>
      <c r="C55" s="101">
        <f>+'wkly alpha'!C55</f>
        <v>5181</v>
      </c>
      <c r="D55" s="101">
        <f>+'wkly alpha'!D55</f>
        <v>33</v>
      </c>
      <c r="E55" s="101">
        <f>+'wkly alpha'!E55</f>
        <v>157</v>
      </c>
      <c r="F55" s="101">
        <f>HLOOKUP($I$2,Moran!Week,F$83)</f>
        <v>0</v>
      </c>
      <c r="G55" s="101">
        <f>HLOOKUP($I$2,Moran!Week,G$83)</f>
        <v>210</v>
      </c>
      <c r="H55" s="101">
        <f>HLOOKUP($I$2,Moran!Week,H$83)</f>
        <v>251</v>
      </c>
      <c r="I55" s="101">
        <f>HLOOKUP($I$2,Moran!Week,I$83)</f>
        <v>553</v>
      </c>
      <c r="J55" s="101">
        <f>HLOOKUP($I$2,Moran!Week,J$83)</f>
        <v>676</v>
      </c>
      <c r="K55" s="28">
        <f>'final handicap'!D48</f>
        <v>36</v>
      </c>
      <c r="L55">
        <f>+'wkly alpha'!M55</f>
        <v>0</v>
      </c>
    </row>
    <row r="56" spans="1:12" x14ac:dyDescent="0.35">
      <c r="A56" t="str">
        <f>+'wkly alpha'!A56</f>
        <v>Nix</v>
      </c>
      <c r="B56" s="28">
        <f>+'wkly alpha'!B56</f>
        <v>1</v>
      </c>
      <c r="C56" s="101">
        <f>+'wkly alpha'!C56</f>
        <v>4828</v>
      </c>
      <c r="D56" s="101">
        <f>+'wkly alpha'!D56</f>
        <v>39</v>
      </c>
      <c r="E56" s="101">
        <f>+'wkly alpha'!E56</f>
        <v>123.7948717948718</v>
      </c>
      <c r="F56" s="101">
        <f>HLOOKUP($I$2,Nix!Week,F$83)</f>
        <v>114</v>
      </c>
      <c r="G56" s="101">
        <f>HLOOKUP($I$2,Nix!Week,G$83)</f>
        <v>167</v>
      </c>
      <c r="H56" s="101">
        <f>HLOOKUP($I$2,Nix!Week,H$83)</f>
        <v>238</v>
      </c>
      <c r="I56" s="101">
        <f>HLOOKUP($I$2,Nix!Week,I$83)</f>
        <v>456</v>
      </c>
      <c r="J56" s="101">
        <f>HLOOKUP($I$2,Nix!Week,J$83)</f>
        <v>684</v>
      </c>
      <c r="K56" s="28">
        <f>'final handicap'!D49</f>
        <v>62</v>
      </c>
      <c r="L56">
        <f>+'wkly alpha'!M56</f>
        <v>0</v>
      </c>
    </row>
    <row r="57" spans="1:12" x14ac:dyDescent="0.35">
      <c r="A57" t="str">
        <f>+'wkly alpha'!A57</f>
        <v>Pond</v>
      </c>
      <c r="B57" s="28">
        <f>+'wkly alpha'!B57</f>
        <v>2</v>
      </c>
      <c r="C57" s="101">
        <f>+'wkly alpha'!C57</f>
        <v>4544</v>
      </c>
      <c r="D57" s="101">
        <f>+'wkly alpha'!D57</f>
        <v>30</v>
      </c>
      <c r="E57" s="101">
        <f>+'wkly alpha'!E57</f>
        <v>151.46666666666667</v>
      </c>
      <c r="F57" s="101">
        <f>HLOOKUP($I$2,Pond!Week,F$83)</f>
        <v>0</v>
      </c>
      <c r="G57" s="101">
        <f>HLOOKUP($I$2,Pond!Week,G$83)</f>
        <v>205</v>
      </c>
      <c r="H57" s="101">
        <f>HLOOKUP($I$2,Pond!Week,H$83)</f>
        <v>250</v>
      </c>
      <c r="I57" s="101">
        <f>HLOOKUP($I$2,Pond!Week,I$83)</f>
        <v>522</v>
      </c>
      <c r="J57" s="101">
        <f>HLOOKUP($I$2,Pond!Week,J$83)</f>
        <v>687</v>
      </c>
      <c r="K57" s="28">
        <f>'final handicap'!D50</f>
        <v>43</v>
      </c>
      <c r="L57">
        <f>+'wkly alpha'!M57</f>
        <v>0</v>
      </c>
    </row>
    <row r="58" spans="1:12" x14ac:dyDescent="0.35">
      <c r="A58" t="str">
        <f>+'wkly alpha'!A58</f>
        <v>Proudlove</v>
      </c>
      <c r="B58" s="28">
        <f>+'wkly alpha'!B58</f>
        <v>1</v>
      </c>
      <c r="C58" s="101">
        <f>+'wkly alpha'!C58</f>
        <v>0</v>
      </c>
      <c r="D58" s="101">
        <f>+'wkly alpha'!D58</f>
        <v>0</v>
      </c>
      <c r="E58" s="101" t="e">
        <f>+'wkly alpha'!E58</f>
        <v>#DIV/0!</v>
      </c>
      <c r="F58" s="101">
        <f>HLOOKUP($I$2,Proudlove!Week,F$83)</f>
        <v>0</v>
      </c>
      <c r="G58" s="101">
        <f>HLOOKUP($I$2,Proudlove!Week,G$83)</f>
        <v>0</v>
      </c>
      <c r="H58" s="101">
        <f>HLOOKUP($I$2,Proudlove!Week,H$83)</f>
        <v>88</v>
      </c>
      <c r="I58" s="101">
        <f>HLOOKUP($I$2,Proudlove!Week,I$83)</f>
        <v>0</v>
      </c>
      <c r="J58" s="101">
        <f>HLOOKUP($I$2,Proudlove!Week,J$83)</f>
        <v>264</v>
      </c>
      <c r="K58" s="28">
        <f>'final handicap'!D51</f>
        <v>88</v>
      </c>
      <c r="L58">
        <f>+'wkly alpha'!M58</f>
        <v>0</v>
      </c>
    </row>
    <row r="59" spans="1:12" x14ac:dyDescent="0.35">
      <c r="A59" t="str">
        <f>+'wkly alpha'!A59</f>
        <v>Ramich</v>
      </c>
      <c r="B59" s="28">
        <f>+'wkly alpha'!B59</f>
        <v>3</v>
      </c>
      <c r="C59" s="101">
        <f>+'wkly alpha'!C59</f>
        <v>4966</v>
      </c>
      <c r="D59" s="101">
        <f>+'wkly alpha'!D59</f>
        <v>39</v>
      </c>
      <c r="E59" s="101">
        <f>+'wkly alpha'!E59</f>
        <v>127.33333333333333</v>
      </c>
      <c r="F59" s="101">
        <f>HLOOKUP($I$2,Ramich!Week,F$83)</f>
        <v>136</v>
      </c>
      <c r="G59" s="101">
        <f>HLOOKUP($I$2,Ramich!Week,G$83)</f>
        <v>167</v>
      </c>
      <c r="H59" s="101">
        <f>HLOOKUP($I$2,Ramich!Week,H$83)</f>
        <v>235</v>
      </c>
      <c r="I59" s="101">
        <f>HLOOKUP($I$2,Ramich!Week,I$83)</f>
        <v>447</v>
      </c>
      <c r="J59" s="101">
        <f>HLOOKUP($I$2,Ramich!Week,J$83)</f>
        <v>648</v>
      </c>
      <c r="K59" s="28">
        <f>'final handicap'!D52</f>
        <v>59</v>
      </c>
      <c r="L59">
        <f>+'wkly alpha'!M59</f>
        <v>0</v>
      </c>
    </row>
    <row r="60" spans="1:12" x14ac:dyDescent="0.35">
      <c r="A60" t="str">
        <f>+'wkly alpha'!A60</f>
        <v>Renahan</v>
      </c>
      <c r="B60" s="28">
        <f>+'wkly alpha'!B60</f>
        <v>1</v>
      </c>
      <c r="C60" s="101">
        <f>+'wkly alpha'!C60</f>
        <v>1081</v>
      </c>
      <c r="D60" s="101">
        <f>+'wkly alpha'!D60</f>
        <v>9</v>
      </c>
      <c r="E60" s="101">
        <f>+'wkly alpha'!E60</f>
        <v>120.11111111111111</v>
      </c>
      <c r="F60" s="101">
        <f>HLOOKUP($I$2,Renahan!Week,F$83)</f>
        <v>0</v>
      </c>
      <c r="G60" s="101">
        <f>HLOOKUP($I$2,Renahan!Week,G$83)</f>
        <v>152</v>
      </c>
      <c r="H60" s="101">
        <f>HLOOKUP($I$2,Renahan!Week,H$83)</f>
        <v>237</v>
      </c>
      <c r="I60" s="101">
        <f>HLOOKUP($I$2,Renahan!Week,I$83)</f>
        <v>450</v>
      </c>
      <c r="J60" s="101">
        <f>HLOOKUP($I$2,Renahan!Week,J$83)</f>
        <v>705</v>
      </c>
      <c r="K60" s="28">
        <f>'final handicap'!D53</f>
        <v>62</v>
      </c>
      <c r="L60">
        <f>+'wkly alpha'!M60</f>
        <v>0</v>
      </c>
    </row>
    <row r="61" spans="1:12" x14ac:dyDescent="0.35">
      <c r="A61" t="str">
        <f>+'wkly alpha'!A61</f>
        <v>Rioux</v>
      </c>
      <c r="B61" s="28">
        <f>+'wkly alpha'!B61</f>
        <v>2</v>
      </c>
      <c r="C61" s="101">
        <f>+'wkly alpha'!C61</f>
        <v>0</v>
      </c>
      <c r="D61" s="101">
        <f>+'wkly alpha'!D61</f>
        <v>0</v>
      </c>
      <c r="E61" s="101" t="e">
        <f>+'wkly alpha'!E61</f>
        <v>#DIV/0!</v>
      </c>
      <c r="F61" s="101">
        <f>HLOOKUP($I$2,Rioux!Week,F$83)</f>
        <v>0</v>
      </c>
      <c r="G61" s="101">
        <f>HLOOKUP($I$2,Rioux!Week,G$83)</f>
        <v>0</v>
      </c>
      <c r="H61" s="101">
        <f>HLOOKUP($I$2,Rioux!Week,H$83)</f>
        <v>70</v>
      </c>
      <c r="I61" s="101">
        <f>HLOOKUP($I$2,Rioux!Week,I$83)</f>
        <v>0</v>
      </c>
      <c r="J61" s="101">
        <f>HLOOKUP($I$2,Rioux!Week,J$83)</f>
        <v>210</v>
      </c>
      <c r="K61" s="28">
        <f>'final handicap'!D54</f>
        <v>70</v>
      </c>
      <c r="L61">
        <f>+'wkly alpha'!M61</f>
        <v>0</v>
      </c>
    </row>
    <row r="62" spans="1:12" x14ac:dyDescent="0.35">
      <c r="A62" t="str">
        <f>+'wkly alpha'!A62</f>
        <v>Rogers</v>
      </c>
      <c r="B62" s="28">
        <f>+'wkly alpha'!B62</f>
        <v>1</v>
      </c>
      <c r="C62" s="101">
        <f>+'wkly alpha'!C62</f>
        <v>0</v>
      </c>
      <c r="D62" s="101">
        <f>+'wkly alpha'!D62</f>
        <v>0</v>
      </c>
      <c r="E62" s="101" t="e">
        <f>+'wkly alpha'!E62</f>
        <v>#DIV/0!</v>
      </c>
      <c r="F62" s="101">
        <f>HLOOKUP($I$2,Rogers!Week,F$83)</f>
        <v>0</v>
      </c>
      <c r="G62" s="101">
        <f>HLOOKUP($I$2,Rogers!Week,G$83)</f>
        <v>0</v>
      </c>
      <c r="H62" s="101">
        <f>HLOOKUP($I$2,Rogers!Week,H$83)</f>
        <v>55</v>
      </c>
      <c r="I62" s="101">
        <f>HLOOKUP($I$2,Rogers!Week,I$83)</f>
        <v>0</v>
      </c>
      <c r="J62" s="101">
        <f>HLOOKUP($I$2,Rogers!Week,J$83)</f>
        <v>165</v>
      </c>
      <c r="K62" s="28">
        <f>'final handicap'!D55</f>
        <v>55</v>
      </c>
      <c r="L62">
        <f>+'wkly alpha'!M62</f>
        <v>0</v>
      </c>
    </row>
    <row r="63" spans="1:12" x14ac:dyDescent="0.35">
      <c r="A63" t="str">
        <f>+'wkly alpha'!A63</f>
        <v>Rose</v>
      </c>
      <c r="B63" s="28">
        <f>+'wkly alpha'!B63</f>
        <v>2</v>
      </c>
      <c r="C63" s="101">
        <f>+'wkly alpha'!C63</f>
        <v>7549</v>
      </c>
      <c r="D63" s="101">
        <f>+'wkly alpha'!D63</f>
        <v>49</v>
      </c>
      <c r="E63" s="101">
        <f>+'wkly alpha'!E63</f>
        <v>154.0612244897959</v>
      </c>
      <c r="F63" s="101">
        <f>HLOOKUP($I$2,Rose!Week,F$83)</f>
        <v>169</v>
      </c>
      <c r="G63" s="101">
        <f>HLOOKUP($I$2,Rose!Week,G$83)</f>
        <v>225</v>
      </c>
      <c r="H63" s="101">
        <f>HLOOKUP($I$2,Rose!Week,H$83)</f>
        <v>272</v>
      </c>
      <c r="I63" s="101">
        <f>HLOOKUP($I$2,Rose!Week,I$83)</f>
        <v>577</v>
      </c>
      <c r="J63" s="101">
        <f>HLOOKUP($I$2,Rose!Week,J$83)</f>
        <v>718</v>
      </c>
      <c r="K63" s="28">
        <f>'final handicap'!D56</f>
        <v>54</v>
      </c>
      <c r="L63">
        <f>+'wkly alpha'!M63</f>
        <v>0</v>
      </c>
    </row>
    <row r="64" spans="1:12" x14ac:dyDescent="0.35">
      <c r="A64" t="str">
        <f>+'wkly alpha'!A64</f>
        <v>Schneider</v>
      </c>
      <c r="B64" s="28">
        <f>+'wkly alpha'!B64</f>
        <v>4</v>
      </c>
      <c r="C64" s="101">
        <f>+'wkly alpha'!C64</f>
        <v>5570</v>
      </c>
      <c r="D64" s="101">
        <f>+'wkly alpha'!D64</f>
        <v>43</v>
      </c>
      <c r="E64" s="101">
        <f>+'wkly alpha'!E64</f>
        <v>129.53488372093022</v>
      </c>
      <c r="F64" s="101">
        <f>HLOOKUP($I$2,Schneider!Week,F$83)</f>
        <v>85</v>
      </c>
      <c r="G64" s="101">
        <f>HLOOKUP($I$2,Schneider!Week,G$83)</f>
        <v>199</v>
      </c>
      <c r="H64" s="101">
        <f>HLOOKUP($I$2,Schneider!Week,H$83)</f>
        <v>273</v>
      </c>
      <c r="I64" s="101">
        <f>HLOOKUP($I$2,Schneider!Week,I$83)</f>
        <v>468</v>
      </c>
      <c r="J64" s="101">
        <f>HLOOKUP($I$2,Schneider!Week,J$83)</f>
        <v>689</v>
      </c>
      <c r="K64" s="28" t="s">
        <v>244</v>
      </c>
      <c r="L64">
        <f>+'wkly alpha'!M64</f>
        <v>0</v>
      </c>
    </row>
    <row r="65" spans="1:12" ht="13.5" customHeight="1" x14ac:dyDescent="0.35">
      <c r="A65" t="str">
        <f>+'wkly alpha'!A65</f>
        <v>Scolaro</v>
      </c>
      <c r="B65" s="28">
        <f>+'wkly alpha'!B65</f>
        <v>3</v>
      </c>
      <c r="C65" s="101">
        <f>+'wkly alpha'!C65</f>
        <v>7106</v>
      </c>
      <c r="D65" s="101">
        <f>+'wkly alpha'!D65</f>
        <v>46</v>
      </c>
      <c r="E65" s="101">
        <f>+'wkly alpha'!E65</f>
        <v>154.47826086956522</v>
      </c>
      <c r="F65" s="101">
        <f>HLOOKUP($I$2,Scolaro!Week,F$83)</f>
        <v>0</v>
      </c>
      <c r="G65" s="101">
        <f>HLOOKUP($I$2,Scolaro!Week,G$83)</f>
        <v>205</v>
      </c>
      <c r="H65" s="101">
        <f>HLOOKUP($I$2,Scolaro!Week,H$83)</f>
        <v>246</v>
      </c>
      <c r="I65" s="101">
        <f>HLOOKUP($I$2,Scolaro!Week,I$83)</f>
        <v>572</v>
      </c>
      <c r="J65" s="101">
        <f>HLOOKUP($I$2,Scolaro!Week,J$83)</f>
        <v>695</v>
      </c>
      <c r="K65" s="28">
        <f>'final handicap'!D57</f>
        <v>39</v>
      </c>
      <c r="L65">
        <f>+'wkly alpha'!M65</f>
        <v>0</v>
      </c>
    </row>
    <row r="66" spans="1:12" x14ac:dyDescent="0.35">
      <c r="A66" t="str">
        <f>+'wkly alpha'!A66</f>
        <v>Shaw, S</v>
      </c>
      <c r="B66" s="28">
        <f>+'wkly alpha'!B66</f>
        <v>3</v>
      </c>
      <c r="C66" s="101">
        <f>+'wkly alpha'!C66</f>
        <v>5916</v>
      </c>
      <c r="D66" s="101">
        <f>+'wkly alpha'!D66</f>
        <v>48</v>
      </c>
      <c r="E66" s="101">
        <f>+'wkly alpha'!E66</f>
        <v>123.25</v>
      </c>
      <c r="F66" s="101">
        <f>HLOOKUP($I$2,ShawS!Week,F$83)</f>
        <v>134</v>
      </c>
      <c r="G66" s="101">
        <f>HLOOKUP($I$2,ShawS!Week,G$83)</f>
        <v>176</v>
      </c>
      <c r="H66" s="101">
        <f>HLOOKUP($I$2,ShawS!Week,H$83)</f>
        <v>249</v>
      </c>
      <c r="I66" s="101">
        <f>HLOOKUP($I$2,ShawS!Week,I$83)</f>
        <v>427</v>
      </c>
      <c r="J66" s="101">
        <f>HLOOKUP($I$2,ShawS!Week,J$83)</f>
        <v>646</v>
      </c>
      <c r="K66" s="28">
        <f>'final handicap'!D58</f>
        <v>75</v>
      </c>
      <c r="L66">
        <f>+'wkly alpha'!M66</f>
        <v>0</v>
      </c>
    </row>
    <row r="67" spans="1:12" x14ac:dyDescent="0.35">
      <c r="A67" t="str">
        <f>+'wkly alpha'!A67</f>
        <v>Shepherd</v>
      </c>
      <c r="B67" s="28">
        <f>+'wkly alpha'!B67</f>
        <v>4</v>
      </c>
      <c r="C67" s="101">
        <f>+'wkly alpha'!C67</f>
        <v>6604</v>
      </c>
      <c r="D67" s="101">
        <f>+'wkly alpha'!D67</f>
        <v>50</v>
      </c>
      <c r="E67" s="101">
        <f>+'wkly alpha'!E67</f>
        <v>132.08000000000001</v>
      </c>
      <c r="F67" s="101">
        <f>HLOOKUP($I$2,Shepherd!Week,F$83)</f>
        <v>124</v>
      </c>
      <c r="G67" s="101">
        <f>HLOOKUP($I$2,Shepherd!Week,G$83)</f>
        <v>202</v>
      </c>
      <c r="H67" s="101">
        <f>HLOOKUP($I$2,Shepherd!Week,H$83)</f>
        <v>269</v>
      </c>
      <c r="I67" s="101">
        <f>HLOOKUP($I$2,Shepherd!Week,I$83)</f>
        <v>468</v>
      </c>
      <c r="J67" s="101">
        <f>HLOOKUP($I$2,Shepherd!Week,J$83)</f>
        <v>669</v>
      </c>
      <c r="K67" s="28">
        <f>'final handicap'!D59</f>
        <v>51</v>
      </c>
      <c r="L67">
        <f>+'wkly alpha'!M67</f>
        <v>0</v>
      </c>
    </row>
    <row r="68" spans="1:12" x14ac:dyDescent="0.35">
      <c r="A68" t="str">
        <f>+'wkly alpha'!A68</f>
        <v>Smith, M</v>
      </c>
      <c r="B68" s="28">
        <f>+'wkly alpha'!B68</f>
        <v>2</v>
      </c>
      <c r="C68" s="101">
        <f>+'wkly alpha'!C68</f>
        <v>3342</v>
      </c>
      <c r="D68" s="101">
        <f>+'wkly alpha'!D68</f>
        <v>23</v>
      </c>
      <c r="E68" s="101">
        <f>+'wkly alpha'!E68</f>
        <v>145.30434782608697</v>
      </c>
      <c r="F68" s="101">
        <f>HLOOKUP($I$2,SmithM!Week,F$83)</f>
        <v>0</v>
      </c>
      <c r="G68" s="101">
        <f>HLOOKUP($I$2,SmithM!Week,G$83)</f>
        <v>187</v>
      </c>
      <c r="H68" s="101">
        <f>HLOOKUP($I$2,SmithM!Week,H$83)</f>
        <v>236</v>
      </c>
      <c r="I68" s="101">
        <f>HLOOKUP($I$2,SmithM!Week,I$83)</f>
        <v>489</v>
      </c>
      <c r="J68" s="101">
        <f>HLOOKUP($I$2,SmithM!Week,J$83)</f>
        <v>648</v>
      </c>
      <c r="K68" s="28">
        <f>'final handicap'!D60</f>
        <v>53</v>
      </c>
      <c r="L68">
        <f>+'wkly alpha'!M68</f>
        <v>0</v>
      </c>
    </row>
    <row r="69" spans="1:12" x14ac:dyDescent="0.35">
      <c r="A69" t="str">
        <f>+'wkly alpha'!A69</f>
        <v>Stanton</v>
      </c>
      <c r="B69" s="28">
        <f>+'wkly alpha'!B69</f>
        <v>2</v>
      </c>
      <c r="C69" s="101">
        <f>+'wkly alpha'!C69</f>
        <v>2483</v>
      </c>
      <c r="D69" s="101">
        <f>+'wkly alpha'!D69</f>
        <v>18</v>
      </c>
      <c r="E69" s="101">
        <f>+'wkly alpha'!E69</f>
        <v>137.94444444444446</v>
      </c>
      <c r="F69" s="101">
        <f>HLOOKUP($I$2,Stanton!Week,F$83)</f>
        <v>162</v>
      </c>
      <c r="G69" s="101">
        <f>HLOOKUP($I$2,Stanton!Week,G$83)</f>
        <v>178</v>
      </c>
      <c r="H69" s="101" t="e">
        <f>HLOOKUP($I$2,Stanton!Week,H$83)</f>
        <v>#DIV/0!</v>
      </c>
      <c r="I69" s="101">
        <f>HLOOKUP($I$2,Stanton!Week,I$83)</f>
        <v>448</v>
      </c>
      <c r="J69" s="101" t="e">
        <f>HLOOKUP($I$2,Stanton!Week,J$83)</f>
        <v>#DIV/0!</v>
      </c>
      <c r="K69" s="28" t="s">
        <v>244</v>
      </c>
      <c r="L69">
        <f>+'wkly alpha'!M69</f>
        <v>0</v>
      </c>
    </row>
    <row r="70" spans="1:12" x14ac:dyDescent="0.35">
      <c r="A70" t="str">
        <f>+'wkly alpha'!A70</f>
        <v>Stuss</v>
      </c>
      <c r="B70" s="28">
        <f>+'wkly alpha'!B70</f>
        <v>1</v>
      </c>
      <c r="C70" s="101">
        <f>+'wkly alpha'!C70</f>
        <v>3405</v>
      </c>
      <c r="D70" s="101">
        <f>+'wkly alpha'!D70</f>
        <v>30</v>
      </c>
      <c r="E70" s="101">
        <f>+'wkly alpha'!E70</f>
        <v>113.5</v>
      </c>
      <c r="F70" s="101">
        <f>HLOOKUP($I$2,Stuss!Week,F$83)</f>
        <v>120</v>
      </c>
      <c r="G70" s="101">
        <f>HLOOKUP($I$2,Stuss!Week,G$83)</f>
        <v>181</v>
      </c>
      <c r="H70" s="101">
        <f>HLOOKUP($I$2,Stuss!Week,H$83)</f>
        <v>262</v>
      </c>
      <c r="I70" s="101">
        <f>HLOOKUP($I$2,Stuss!Week,I$83)</f>
        <v>440</v>
      </c>
      <c r="J70" s="101">
        <f>HLOOKUP($I$2,Stuss!Week,J$83)</f>
        <v>683</v>
      </c>
      <c r="K70" s="28">
        <f>'final handicap'!D61</f>
        <v>84</v>
      </c>
      <c r="L70">
        <f>+'wkly alpha'!M70</f>
        <v>0</v>
      </c>
    </row>
    <row r="71" spans="1:12" x14ac:dyDescent="0.35">
      <c r="A71" t="str">
        <f>+'wkly alpha'!A71</f>
        <v>Sullivan</v>
      </c>
      <c r="B71" s="28">
        <f>+'wkly alpha'!B71</f>
        <v>3</v>
      </c>
      <c r="C71" s="101">
        <f>+'wkly alpha'!C71</f>
        <v>2613</v>
      </c>
      <c r="D71" s="101">
        <f>+'wkly alpha'!D71</f>
        <v>19</v>
      </c>
      <c r="E71" s="101">
        <f>+'wkly alpha'!E71</f>
        <v>137.52631578947367</v>
      </c>
      <c r="F71" s="101">
        <f>HLOOKUP($I$2,Sullivan!Week,F$83)</f>
        <v>0</v>
      </c>
      <c r="G71" s="101">
        <f>HLOOKUP($I$2,Sullivan!Week,G$83)</f>
        <v>173</v>
      </c>
      <c r="H71" s="101">
        <f>HLOOKUP($I$2,Sullivan!Week,H$83)</f>
        <v>224</v>
      </c>
      <c r="I71" s="101">
        <f>HLOOKUP($I$2,Sullivan!Week,I$83)</f>
        <v>433</v>
      </c>
      <c r="J71" s="101">
        <f>HLOOKUP($I$2,Sullivan!Week,J$83)</f>
        <v>598</v>
      </c>
      <c r="K71" s="28">
        <f>'final handicap'!D62</f>
        <v>54</v>
      </c>
      <c r="L71">
        <f>+'wkly alpha'!M71</f>
        <v>0</v>
      </c>
    </row>
    <row r="72" spans="1:12" x14ac:dyDescent="0.35">
      <c r="A72" t="str">
        <f>+'wkly alpha'!A72</f>
        <v>Tellie</v>
      </c>
      <c r="B72" s="28">
        <f>+'wkly alpha'!B72</f>
        <v>4</v>
      </c>
      <c r="C72" s="101">
        <f>+'wkly alpha'!C72</f>
        <v>310</v>
      </c>
      <c r="D72" s="101">
        <f>+'wkly alpha'!D72</f>
        <v>3</v>
      </c>
      <c r="E72" s="101">
        <f>+'wkly alpha'!E72</f>
        <v>103.33333333333333</v>
      </c>
      <c r="F72" s="101">
        <f>HLOOKUP($I$2,Tellie!Week,F$83)</f>
        <v>0</v>
      </c>
      <c r="G72" s="101">
        <f>HLOOKUP($I$2,Tellie!Week,G$83)</f>
        <v>114</v>
      </c>
      <c r="H72" s="101">
        <f>HLOOKUP($I$2,Tellie!Week,H$83)</f>
        <v>190</v>
      </c>
      <c r="I72" s="101">
        <f>HLOOKUP($I$2,Tellie!Week,I$83)</f>
        <v>310</v>
      </c>
      <c r="J72" s="101">
        <f>HLOOKUP($I$2,Tellie!Week,J$83)</f>
        <v>538</v>
      </c>
      <c r="K72" s="28">
        <f>'final handicap'!D63</f>
        <v>76</v>
      </c>
      <c r="L72">
        <f>+'wkly alpha'!M72</f>
        <v>0</v>
      </c>
    </row>
    <row r="73" spans="1:12" x14ac:dyDescent="0.35">
      <c r="A73" t="str">
        <f>+'wkly alpha'!A73</f>
        <v>Terhune</v>
      </c>
      <c r="B73" s="28">
        <f>+'wkly alpha'!B73</f>
        <v>1</v>
      </c>
      <c r="C73" s="101">
        <f>+'wkly alpha'!C73</f>
        <v>4964</v>
      </c>
      <c r="D73" s="101">
        <f>+'wkly alpha'!D73</f>
        <v>33</v>
      </c>
      <c r="E73" s="101">
        <f>+'wkly alpha'!E73</f>
        <v>150.42424242424244</v>
      </c>
      <c r="F73" s="101">
        <f>HLOOKUP($I$2,Terhune!Week,F$83)</f>
        <v>0</v>
      </c>
      <c r="G73" s="101">
        <f>HLOOKUP($I$2,Terhune!Week,G$83)</f>
        <v>200</v>
      </c>
      <c r="H73" s="101">
        <f>HLOOKUP($I$2,Terhune!Week,H$83)</f>
        <v>245</v>
      </c>
      <c r="I73" s="101">
        <f>HLOOKUP($I$2,Terhune!Week,I$83)</f>
        <v>531</v>
      </c>
      <c r="J73" s="101">
        <f>HLOOKUP($I$2,Terhune!Week,J$83)</f>
        <v>666</v>
      </c>
      <c r="K73" s="28">
        <f>'final handicap'!D64</f>
        <v>42</v>
      </c>
      <c r="L73">
        <f>+'wkly alpha'!M73</f>
        <v>0</v>
      </c>
    </row>
    <row r="74" spans="1:12" x14ac:dyDescent="0.35">
      <c r="A74" t="str">
        <f>+'wkly alpha'!A74</f>
        <v>Thompson</v>
      </c>
      <c r="B74" s="28">
        <f>+'wkly alpha'!B74</f>
        <v>2</v>
      </c>
      <c r="C74" s="101">
        <f>+'wkly alpha'!C74</f>
        <v>3072</v>
      </c>
      <c r="D74" s="101">
        <f>+'wkly alpha'!D74</f>
        <v>23</v>
      </c>
      <c r="E74" s="101">
        <f>+'wkly alpha'!E74</f>
        <v>133.56521739130434</v>
      </c>
      <c r="F74" s="101">
        <f>HLOOKUP($I$2,Thompson!Week,F$83)</f>
        <v>120</v>
      </c>
      <c r="G74" s="101">
        <f>HLOOKUP($I$2,Thompson!Week,G$83)</f>
        <v>194</v>
      </c>
      <c r="H74" s="101">
        <f>HLOOKUP($I$2,Thompson!Week,H$83)</f>
        <v>260</v>
      </c>
      <c r="I74" s="101">
        <f>HLOOKUP($I$2,Thompson!Week,I$83)</f>
        <v>479</v>
      </c>
      <c r="J74" s="101">
        <f>HLOOKUP($I$2,Thompson!Week,J$83)</f>
        <v>662</v>
      </c>
      <c r="K74" s="28">
        <f>'final handicap'!D65</f>
        <v>55</v>
      </c>
      <c r="L74">
        <f>+'wkly alpha'!M74</f>
        <v>0</v>
      </c>
    </row>
    <row r="75" spans="1:12" x14ac:dyDescent="0.35">
      <c r="A75" t="str">
        <f>+'wkly alpha'!A75</f>
        <v>Thomson</v>
      </c>
      <c r="B75" s="28">
        <f>+'wkly alpha'!B75</f>
        <v>4</v>
      </c>
      <c r="C75" s="101">
        <f>+'wkly alpha'!C75</f>
        <v>7109</v>
      </c>
      <c r="D75" s="101">
        <f>+'wkly alpha'!D75</f>
        <v>48</v>
      </c>
      <c r="E75" s="101">
        <f>+'wkly alpha'!E75</f>
        <v>148.10416666666666</v>
      </c>
      <c r="F75" s="101">
        <f>HLOOKUP($I$2,Thomson!Week,F$83)</f>
        <v>184</v>
      </c>
      <c r="G75" s="101">
        <f>HLOOKUP($I$2,Thomson!Week,G$83)</f>
        <v>195</v>
      </c>
      <c r="H75" s="101">
        <f>HLOOKUP($I$2,Thomson!Week,H$83)</f>
        <v>254</v>
      </c>
      <c r="I75" s="101">
        <f>HLOOKUP($I$2,Thomson!Week,I$83)</f>
        <v>506</v>
      </c>
      <c r="J75" s="101">
        <f>HLOOKUP($I$2,Thomson!Week,J$83)</f>
        <v>675</v>
      </c>
      <c r="K75" s="28">
        <f>'final handicap'!D66</f>
        <v>51</v>
      </c>
      <c r="L75">
        <f>+'wkly alpha'!M75</f>
        <v>0</v>
      </c>
    </row>
    <row r="76" spans="1:12" x14ac:dyDescent="0.35">
      <c r="A76" t="str">
        <f>+'wkly alpha'!A76</f>
        <v>Walker</v>
      </c>
      <c r="B76" s="28">
        <f>+'wkly alpha'!B76</f>
        <v>2</v>
      </c>
      <c r="C76" s="101">
        <f>+'wkly alpha'!C76</f>
        <v>3445</v>
      </c>
      <c r="D76" s="101">
        <f>+'wkly alpha'!D76</f>
        <v>23</v>
      </c>
      <c r="E76" s="101">
        <f>+'wkly alpha'!E76</f>
        <v>149.78260869565219</v>
      </c>
      <c r="F76" s="101">
        <f>HLOOKUP($I$2,Walker!Week,F$83)</f>
        <v>0</v>
      </c>
      <c r="G76" s="101">
        <f>HLOOKUP($I$2,Walker!Week,G$83)</f>
        <v>192</v>
      </c>
      <c r="H76" s="101">
        <f>HLOOKUP($I$2,Walker!Week,H$83)</f>
        <v>239</v>
      </c>
      <c r="I76" s="101">
        <f>HLOOKUP($I$2,Walker!Week,I$83)</f>
        <v>493</v>
      </c>
      <c r="J76" s="101">
        <f>HLOOKUP($I$2,Walker!Week,J$83)</f>
        <v>673</v>
      </c>
      <c r="K76" s="28">
        <f>'final handicap'!D66</f>
        <v>51</v>
      </c>
      <c r="L76">
        <f>+'wkly alpha'!M76</f>
        <v>0</v>
      </c>
    </row>
    <row r="77" spans="1:12" x14ac:dyDescent="0.35">
      <c r="A77" t="str">
        <f>+'wkly alpha'!A77</f>
        <v>Wolkenstein</v>
      </c>
      <c r="B77" s="28">
        <f>+'wkly alpha'!B77</f>
        <v>4</v>
      </c>
      <c r="C77" s="101">
        <f>+'wkly alpha'!C77</f>
        <v>2544</v>
      </c>
      <c r="D77" s="101">
        <f>+'wkly alpha'!D77</f>
        <v>25</v>
      </c>
      <c r="E77" s="101">
        <f>+'wkly alpha'!E77</f>
        <v>101.76</v>
      </c>
      <c r="F77" s="101">
        <f>HLOOKUP($I$2,Wolkenstein!Week,F$83)</f>
        <v>0</v>
      </c>
      <c r="G77" s="101">
        <f>HLOOKUP($I$2,Wolkenstein!Week,G$83)</f>
        <v>136</v>
      </c>
      <c r="H77" s="101">
        <f>HLOOKUP($I$2,Wolkenstein!Week,H$83)</f>
        <v>223</v>
      </c>
      <c r="I77" s="101">
        <f>HLOOKUP($I$2,Wolkenstein!Week,I$83)</f>
        <v>356</v>
      </c>
      <c r="J77" s="101">
        <f>HLOOKUP($I$2,Wolkenstein!Week,J$83)</f>
        <v>620</v>
      </c>
      <c r="K77" s="311" t="s">
        <v>244</v>
      </c>
      <c r="L77">
        <f>+'wkly alpha'!M77</f>
        <v>0</v>
      </c>
    </row>
    <row r="78" spans="1:12" x14ac:dyDescent="0.35">
      <c r="B78" s="28"/>
      <c r="C78" s="101"/>
      <c r="D78" s="101"/>
      <c r="E78" s="101"/>
    </row>
    <row r="82" spans="1:10" x14ac:dyDescent="0.35">
      <c r="C82" s="102"/>
      <c r="D82" s="102"/>
      <c r="E82" s="99"/>
      <c r="F82" s="102"/>
      <c r="G82" s="102"/>
      <c r="H82" s="26"/>
      <c r="I82" s="26"/>
      <c r="J82" s="26"/>
    </row>
    <row r="83" spans="1:10" x14ac:dyDescent="0.35">
      <c r="A83" t="s">
        <v>69</v>
      </c>
      <c r="C83" s="152">
        <f>+C82+3</f>
        <v>3</v>
      </c>
      <c r="D83" s="152">
        <f>+D82+3</f>
        <v>3</v>
      </c>
      <c r="E83" s="20">
        <f>+E82+3</f>
        <v>3</v>
      </c>
      <c r="F83" s="107">
        <f>+F82+3</f>
        <v>3</v>
      </c>
      <c r="G83" s="107">
        <v>21</v>
      </c>
      <c r="H83" s="107">
        <v>22</v>
      </c>
      <c r="I83" s="107">
        <v>23</v>
      </c>
      <c r="J83" s="107">
        <v>24</v>
      </c>
    </row>
    <row r="85" spans="1:10" x14ac:dyDescent="0.35">
      <c r="G85" s="152">
        <f>MAX(G12:G77)</f>
        <v>225</v>
      </c>
      <c r="H85" s="152" t="e">
        <f>MAX(H12:H77)</f>
        <v>#DIV/0!</v>
      </c>
      <c r="I85" s="152">
        <f>MAX(I12:I77)</f>
        <v>577</v>
      </c>
      <c r="J85" s="152" t="e">
        <f>MAX(J12:J77)</f>
        <v>#DIV/0!</v>
      </c>
    </row>
  </sheetData>
  <phoneticPr fontId="0" type="noConversion"/>
  <pageMargins left="0.38" right="0.37" top="0.49" bottom="1" header="0.5" footer="0.5"/>
  <pageSetup paperSize="5" scale="83" orientation="portrait" r:id="rId1"/>
  <headerFooter alignWithMargins="0">
    <oddFooter>&amp;L&amp;F=&amp;A&amp;C&amp;D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Q75"/>
  <sheetViews>
    <sheetView showGridLines="0" zoomScale="90" zoomScaleNormal="90" workbookViewId="0"/>
  </sheetViews>
  <sheetFormatPr defaultRowHeight="12.75" x14ac:dyDescent="0.35"/>
  <cols>
    <col min="1" max="1" width="4.46484375" customWidth="1"/>
    <col min="2" max="2" width="1" customWidth="1"/>
    <col min="3" max="3" width="12.33203125" customWidth="1"/>
    <col min="4" max="4" width="6.6640625" style="101" customWidth="1"/>
    <col min="5" max="5" width="9.1328125" style="13"/>
    <col min="6" max="6" width="7.33203125" style="13" customWidth="1"/>
    <col min="7" max="7" width="7.86328125" style="20" customWidth="1"/>
    <col min="8" max="8" width="9.53125" style="287" bestFit="1" customWidth="1"/>
    <col min="9" max="9" width="9.53125" bestFit="1" customWidth="1"/>
    <col min="10" max="11" width="9.1328125" style="13"/>
    <col min="12" max="12" width="9.6640625" style="13" customWidth="1"/>
    <col min="13" max="13" width="9.1328125" style="13"/>
    <col min="14" max="14" width="10" style="101" customWidth="1"/>
  </cols>
  <sheetData>
    <row r="1" spans="1:14" ht="13.15" x14ac:dyDescent="0.4">
      <c r="C1" s="1" t="s">
        <v>0</v>
      </c>
      <c r="K1" s="143"/>
      <c r="L1" s="150">
        <f>+'wkly alpha'!J1</f>
        <v>42802</v>
      </c>
    </row>
    <row r="2" spans="1:14" ht="13.5" thickBot="1" x14ac:dyDescent="0.45">
      <c r="C2" s="1" t="str">
        <f>Season</f>
        <v>2016/2017 Season</v>
      </c>
      <c r="K2" s="105" t="s">
        <v>169</v>
      </c>
      <c r="L2" s="275">
        <f>'wkly alpha'!J2</f>
        <v>20</v>
      </c>
    </row>
    <row r="3" spans="1:14" ht="13.15" x14ac:dyDescent="0.4">
      <c r="C3" s="212" t="s">
        <v>70</v>
      </c>
      <c r="D3" s="213"/>
      <c r="E3" s="214"/>
    </row>
    <row r="4" spans="1:14" ht="13.15" thickBot="1" x14ac:dyDescent="0.4"/>
    <row r="5" spans="1:14" ht="57.75" customHeight="1" x14ac:dyDescent="0.4">
      <c r="C5" s="242" t="s">
        <v>2</v>
      </c>
      <c r="D5" s="242" t="s">
        <v>3</v>
      </c>
      <c r="E5" s="243" t="s">
        <v>39</v>
      </c>
      <c r="F5" s="243" t="s">
        <v>165</v>
      </c>
      <c r="G5" s="251" t="s">
        <v>166</v>
      </c>
      <c r="H5" s="288" t="s">
        <v>235</v>
      </c>
      <c r="I5" s="280" t="s">
        <v>237</v>
      </c>
      <c r="J5" s="250" t="s">
        <v>44</v>
      </c>
      <c r="K5" s="244" t="s">
        <v>238</v>
      </c>
      <c r="L5" s="244" t="s">
        <v>46</v>
      </c>
      <c r="M5" s="244" t="s">
        <v>236</v>
      </c>
      <c r="N5" s="245" t="s">
        <v>239</v>
      </c>
    </row>
    <row r="6" spans="1:14" x14ac:dyDescent="0.35">
      <c r="A6" s="110">
        <v>1</v>
      </c>
      <c r="B6" s="110"/>
      <c r="C6" s="274" t="s">
        <v>174</v>
      </c>
      <c r="D6" s="257">
        <v>4</v>
      </c>
      <c r="E6" s="257">
        <v>5181</v>
      </c>
      <c r="F6" s="257">
        <v>33</v>
      </c>
      <c r="G6" s="259">
        <v>157</v>
      </c>
      <c r="H6" s="289">
        <v>39</v>
      </c>
      <c r="I6" s="283">
        <v>39</v>
      </c>
      <c r="J6" s="260">
        <v>0</v>
      </c>
      <c r="K6" s="258">
        <v>39</v>
      </c>
      <c r="L6" s="258">
        <v>0</v>
      </c>
      <c r="M6" s="258">
        <v>117</v>
      </c>
      <c r="N6" s="312">
        <v>36</v>
      </c>
    </row>
    <row r="7" spans="1:14" x14ac:dyDescent="0.35">
      <c r="A7" s="110">
        <v>2</v>
      </c>
      <c r="B7" s="110"/>
      <c r="C7" s="234" t="s">
        <v>204</v>
      </c>
      <c r="D7" s="247">
        <v>3</v>
      </c>
      <c r="E7" s="247">
        <v>7106</v>
      </c>
      <c r="F7" s="247">
        <v>46</v>
      </c>
      <c r="G7" s="248">
        <v>154.47826086956522</v>
      </c>
      <c r="H7" s="290">
        <v>41</v>
      </c>
      <c r="I7" s="281">
        <v>41</v>
      </c>
      <c r="J7" s="249">
        <v>0</v>
      </c>
      <c r="K7" s="254">
        <v>41</v>
      </c>
      <c r="L7" s="255">
        <v>0</v>
      </c>
      <c r="M7" s="254">
        <v>123</v>
      </c>
      <c r="N7" s="305">
        <v>39</v>
      </c>
    </row>
    <row r="8" spans="1:14" x14ac:dyDescent="0.35">
      <c r="A8" s="110">
        <v>3</v>
      </c>
      <c r="B8" s="110"/>
      <c r="C8" s="234" t="s">
        <v>286</v>
      </c>
      <c r="D8" s="247">
        <v>2</v>
      </c>
      <c r="E8" s="247">
        <v>7549</v>
      </c>
      <c r="F8" s="247">
        <v>49</v>
      </c>
      <c r="G8" s="248">
        <v>154.0612244897959</v>
      </c>
      <c r="H8" s="290">
        <v>41</v>
      </c>
      <c r="I8" s="281">
        <v>41</v>
      </c>
      <c r="J8" s="249">
        <v>169</v>
      </c>
      <c r="K8" s="254">
        <v>211</v>
      </c>
      <c r="L8" s="254">
        <v>487</v>
      </c>
      <c r="M8" s="254">
        <v>613</v>
      </c>
      <c r="N8" s="304">
        <v>54</v>
      </c>
    </row>
    <row r="9" spans="1:14" x14ac:dyDescent="0.35">
      <c r="A9" s="110">
        <v>4</v>
      </c>
      <c r="B9" s="110"/>
      <c r="C9" s="234" t="s">
        <v>216</v>
      </c>
      <c r="D9" s="247">
        <v>2</v>
      </c>
      <c r="E9" s="247">
        <v>4544</v>
      </c>
      <c r="F9" s="247">
        <v>30</v>
      </c>
      <c r="G9" s="248">
        <v>151.46666666666667</v>
      </c>
      <c r="H9" s="290">
        <v>44</v>
      </c>
      <c r="I9" s="281">
        <v>44</v>
      </c>
      <c r="J9" s="249">
        <v>0</v>
      </c>
      <c r="K9" s="254">
        <v>44</v>
      </c>
      <c r="L9" s="254">
        <v>0</v>
      </c>
      <c r="M9" s="254">
        <v>132</v>
      </c>
      <c r="N9" s="304">
        <v>43</v>
      </c>
    </row>
    <row r="10" spans="1:14" x14ac:dyDescent="0.35">
      <c r="A10" s="110">
        <v>5</v>
      </c>
      <c r="B10" s="110"/>
      <c r="C10" s="234" t="s">
        <v>202</v>
      </c>
      <c r="D10" s="247">
        <v>1</v>
      </c>
      <c r="E10" s="247">
        <v>4964</v>
      </c>
      <c r="F10" s="247">
        <v>33</v>
      </c>
      <c r="G10" s="248">
        <v>150.42424242424244</v>
      </c>
      <c r="H10" s="290">
        <v>45</v>
      </c>
      <c r="I10" s="281">
        <v>45</v>
      </c>
      <c r="J10" s="249">
        <v>0</v>
      </c>
      <c r="K10" s="254">
        <v>45</v>
      </c>
      <c r="L10" s="254">
        <v>0</v>
      </c>
      <c r="M10" s="254">
        <v>135</v>
      </c>
      <c r="N10" s="304">
        <v>42</v>
      </c>
    </row>
    <row r="11" spans="1:14" x14ac:dyDescent="0.35">
      <c r="A11" s="110">
        <v>6</v>
      </c>
      <c r="B11" s="110"/>
      <c r="C11" s="234" t="s">
        <v>33</v>
      </c>
      <c r="D11" s="247">
        <v>3</v>
      </c>
      <c r="E11" s="247">
        <v>3595</v>
      </c>
      <c r="F11" s="247">
        <v>24</v>
      </c>
      <c r="G11" s="248">
        <v>149.79166666666666</v>
      </c>
      <c r="H11" s="290">
        <v>45</v>
      </c>
      <c r="I11" s="281">
        <v>45</v>
      </c>
      <c r="J11" s="249">
        <v>132</v>
      </c>
      <c r="K11" s="254">
        <v>176</v>
      </c>
      <c r="L11" s="254">
        <v>132</v>
      </c>
      <c r="M11" s="254">
        <v>264</v>
      </c>
      <c r="N11" s="304">
        <v>47</v>
      </c>
    </row>
    <row r="12" spans="1:14" x14ac:dyDescent="0.35">
      <c r="A12" s="110">
        <v>7</v>
      </c>
      <c r="B12" s="110"/>
      <c r="C12" s="234" t="s">
        <v>233</v>
      </c>
      <c r="D12" s="247">
        <v>2</v>
      </c>
      <c r="E12" s="247">
        <v>3445</v>
      </c>
      <c r="F12" s="247">
        <v>23</v>
      </c>
      <c r="G12" s="248">
        <v>149.78260869565219</v>
      </c>
      <c r="H12" s="290">
        <v>45</v>
      </c>
      <c r="I12" s="281">
        <v>45</v>
      </c>
      <c r="J12" s="249">
        <v>0</v>
      </c>
      <c r="K12" s="254">
        <v>45</v>
      </c>
      <c r="L12" s="254">
        <v>0</v>
      </c>
      <c r="M12" s="254">
        <v>135</v>
      </c>
      <c r="N12" s="305">
        <v>60</v>
      </c>
    </row>
    <row r="13" spans="1:14" x14ac:dyDescent="0.35">
      <c r="A13" s="110">
        <v>8</v>
      </c>
      <c r="B13" s="110"/>
      <c r="C13" s="234" t="s">
        <v>180</v>
      </c>
      <c r="D13" s="247">
        <v>1</v>
      </c>
      <c r="E13" s="247">
        <v>4163</v>
      </c>
      <c r="F13" s="247">
        <v>28</v>
      </c>
      <c r="G13" s="248">
        <v>148.67857142857142</v>
      </c>
      <c r="H13" s="290">
        <v>46</v>
      </c>
      <c r="I13" s="281">
        <v>46</v>
      </c>
      <c r="J13" s="249">
        <v>0</v>
      </c>
      <c r="K13" s="254">
        <v>46</v>
      </c>
      <c r="L13" s="255">
        <v>0</v>
      </c>
      <c r="M13" s="254">
        <v>138</v>
      </c>
      <c r="N13" s="305">
        <v>48</v>
      </c>
    </row>
    <row r="14" spans="1:14" x14ac:dyDescent="0.35">
      <c r="A14" s="110">
        <v>9</v>
      </c>
      <c r="B14" s="110"/>
      <c r="C14" s="234" t="s">
        <v>223</v>
      </c>
      <c r="D14" s="247">
        <v>4</v>
      </c>
      <c r="E14" s="247">
        <v>7109</v>
      </c>
      <c r="F14" s="247">
        <v>48</v>
      </c>
      <c r="G14" s="248">
        <v>148.10416666666666</v>
      </c>
      <c r="H14" s="290">
        <v>47</v>
      </c>
      <c r="I14" s="281">
        <v>47</v>
      </c>
      <c r="J14" s="249">
        <v>184</v>
      </c>
      <c r="K14" s="254">
        <v>231</v>
      </c>
      <c r="L14" s="254">
        <v>463</v>
      </c>
      <c r="M14" s="254">
        <v>604</v>
      </c>
      <c r="N14" s="305">
        <v>51</v>
      </c>
    </row>
    <row r="15" spans="1:14" ht="13.15" thickBot="1" x14ac:dyDescent="0.4">
      <c r="A15" s="165">
        <v>10</v>
      </c>
      <c r="B15" s="165"/>
      <c r="C15" s="296" t="s">
        <v>156</v>
      </c>
      <c r="D15" s="262">
        <v>4</v>
      </c>
      <c r="E15" s="262">
        <v>2367</v>
      </c>
      <c r="F15" s="262">
        <v>16</v>
      </c>
      <c r="G15" s="270">
        <v>147.9375</v>
      </c>
      <c r="H15" s="291">
        <v>47</v>
      </c>
      <c r="I15" s="284">
        <v>47</v>
      </c>
      <c r="J15" s="298">
        <v>0</v>
      </c>
      <c r="K15" s="299">
        <v>47</v>
      </c>
      <c r="L15" s="299">
        <v>0</v>
      </c>
      <c r="M15" s="299">
        <v>141</v>
      </c>
      <c r="N15" s="313">
        <v>49</v>
      </c>
    </row>
    <row r="16" spans="1:14" x14ac:dyDescent="0.35">
      <c r="A16" s="261">
        <v>11</v>
      </c>
      <c r="B16" s="261"/>
      <c r="C16" s="274" t="s">
        <v>158</v>
      </c>
      <c r="D16" s="257">
        <v>3</v>
      </c>
      <c r="E16" s="257">
        <v>4856</v>
      </c>
      <c r="F16" s="257">
        <v>33</v>
      </c>
      <c r="G16" s="259">
        <v>147.15151515151516</v>
      </c>
      <c r="H16" s="289">
        <v>48</v>
      </c>
      <c r="I16" s="285">
        <v>48</v>
      </c>
      <c r="J16" s="260">
        <v>0</v>
      </c>
      <c r="K16" s="258">
        <v>48</v>
      </c>
      <c r="L16" s="258">
        <v>0</v>
      </c>
      <c r="M16" s="258">
        <v>144</v>
      </c>
      <c r="N16" s="312">
        <v>47</v>
      </c>
    </row>
    <row r="17" spans="1:17" x14ac:dyDescent="0.35">
      <c r="A17" s="110">
        <v>12</v>
      </c>
      <c r="B17" s="110"/>
      <c r="C17" s="234" t="s">
        <v>35</v>
      </c>
      <c r="D17" s="247">
        <v>3</v>
      </c>
      <c r="E17" s="247">
        <v>5116</v>
      </c>
      <c r="F17" s="247">
        <v>35</v>
      </c>
      <c r="G17" s="248">
        <v>146.17142857142858</v>
      </c>
      <c r="H17" s="290">
        <v>48</v>
      </c>
      <c r="I17" s="281">
        <v>48</v>
      </c>
      <c r="J17" s="249">
        <v>177</v>
      </c>
      <c r="K17" s="254">
        <v>228</v>
      </c>
      <c r="L17" s="254">
        <v>490</v>
      </c>
      <c r="M17" s="254">
        <v>643</v>
      </c>
      <c r="N17" s="304">
        <v>42</v>
      </c>
    </row>
    <row r="18" spans="1:17" x14ac:dyDescent="0.35">
      <c r="A18" s="110">
        <v>13</v>
      </c>
      <c r="B18" s="110"/>
      <c r="C18" s="234" t="s">
        <v>247</v>
      </c>
      <c r="D18" s="247">
        <v>2</v>
      </c>
      <c r="E18" s="247">
        <v>3342</v>
      </c>
      <c r="F18" s="247">
        <v>23</v>
      </c>
      <c r="G18" s="248">
        <v>145.30434782608697</v>
      </c>
      <c r="H18" s="290">
        <v>49</v>
      </c>
      <c r="I18" s="281">
        <v>49</v>
      </c>
      <c r="J18" s="249">
        <v>0</v>
      </c>
      <c r="K18" s="254">
        <v>49</v>
      </c>
      <c r="L18" s="254">
        <v>0</v>
      </c>
      <c r="M18" s="254">
        <v>147</v>
      </c>
      <c r="N18" s="305">
        <v>53</v>
      </c>
    </row>
    <row r="19" spans="1:17" x14ac:dyDescent="0.35">
      <c r="A19" s="110">
        <v>14</v>
      </c>
      <c r="B19" s="110"/>
      <c r="C19" s="234" t="s">
        <v>31</v>
      </c>
      <c r="D19" s="247">
        <v>3</v>
      </c>
      <c r="E19" s="247">
        <v>6915</v>
      </c>
      <c r="F19" s="247">
        <v>49</v>
      </c>
      <c r="G19" s="248">
        <v>141.12244897959184</v>
      </c>
      <c r="H19" s="290">
        <v>53</v>
      </c>
      <c r="I19" s="281">
        <v>53</v>
      </c>
      <c r="J19" s="249">
        <v>153</v>
      </c>
      <c r="K19" s="254">
        <v>206</v>
      </c>
      <c r="L19" s="254">
        <v>418</v>
      </c>
      <c r="M19" s="254">
        <v>577</v>
      </c>
      <c r="N19" s="304">
        <v>45</v>
      </c>
    </row>
    <row r="20" spans="1:17" x14ac:dyDescent="0.35">
      <c r="A20" s="110">
        <v>15</v>
      </c>
      <c r="B20" s="110"/>
      <c r="C20" s="234" t="s">
        <v>150</v>
      </c>
      <c r="D20" s="247">
        <v>1</v>
      </c>
      <c r="E20" s="247">
        <v>3911</v>
      </c>
      <c r="F20" s="247">
        <v>28</v>
      </c>
      <c r="G20" s="248">
        <v>139.67857142857142</v>
      </c>
      <c r="H20" s="290">
        <v>54</v>
      </c>
      <c r="I20" s="281">
        <v>54</v>
      </c>
      <c r="J20" s="249">
        <v>179</v>
      </c>
      <c r="K20" s="254">
        <v>235</v>
      </c>
      <c r="L20" s="255">
        <v>335</v>
      </c>
      <c r="M20" s="254">
        <v>503</v>
      </c>
      <c r="N20" s="305">
        <v>59</v>
      </c>
      <c r="Q20" s="107"/>
    </row>
    <row r="21" spans="1:17" x14ac:dyDescent="0.35">
      <c r="A21" s="110">
        <v>16</v>
      </c>
      <c r="B21" s="110"/>
      <c r="C21" s="234" t="s">
        <v>152</v>
      </c>
      <c r="D21" s="247">
        <v>2</v>
      </c>
      <c r="E21" s="247">
        <v>3348</v>
      </c>
      <c r="F21" s="247">
        <v>24</v>
      </c>
      <c r="G21" s="248">
        <v>139.5</v>
      </c>
      <c r="H21" s="290">
        <v>54</v>
      </c>
      <c r="I21" s="281">
        <v>54</v>
      </c>
      <c r="J21" s="249">
        <v>158</v>
      </c>
      <c r="K21" s="254">
        <v>213</v>
      </c>
      <c r="L21" s="254">
        <v>158</v>
      </c>
      <c r="M21" s="254">
        <v>323</v>
      </c>
      <c r="N21" s="304">
        <v>56</v>
      </c>
      <c r="Q21" s="232"/>
    </row>
    <row r="22" spans="1:17" x14ac:dyDescent="0.35">
      <c r="A22" s="110">
        <v>17</v>
      </c>
      <c r="B22" s="110"/>
      <c r="C22" s="234" t="s">
        <v>256</v>
      </c>
      <c r="D22" s="247">
        <v>1</v>
      </c>
      <c r="E22" s="247">
        <v>3315</v>
      </c>
      <c r="F22" s="247">
        <v>24</v>
      </c>
      <c r="G22" s="248">
        <v>138.125</v>
      </c>
      <c r="H22" s="290">
        <v>56</v>
      </c>
      <c r="I22" s="281">
        <v>56</v>
      </c>
      <c r="J22" s="249">
        <v>170</v>
      </c>
      <c r="K22" s="254">
        <v>226</v>
      </c>
      <c r="L22" s="255">
        <v>428</v>
      </c>
      <c r="M22" s="254">
        <v>596</v>
      </c>
      <c r="N22" s="305">
        <v>66</v>
      </c>
      <c r="Q22" s="232"/>
    </row>
    <row r="23" spans="1:17" x14ac:dyDescent="0.35">
      <c r="A23" s="110">
        <v>18</v>
      </c>
      <c r="B23" s="110"/>
      <c r="C23" s="234" t="s">
        <v>284</v>
      </c>
      <c r="D23" s="247">
        <v>1</v>
      </c>
      <c r="E23" s="247">
        <v>8417</v>
      </c>
      <c r="F23" s="247">
        <v>61</v>
      </c>
      <c r="G23" s="248">
        <v>137.98360655737704</v>
      </c>
      <c r="H23" s="290">
        <v>56</v>
      </c>
      <c r="I23" s="281">
        <v>56</v>
      </c>
      <c r="J23" s="249">
        <v>172</v>
      </c>
      <c r="K23" s="254">
        <v>228</v>
      </c>
      <c r="L23" s="255">
        <v>433</v>
      </c>
      <c r="M23" s="254">
        <v>601</v>
      </c>
      <c r="N23" s="305">
        <v>59</v>
      </c>
    </row>
    <row r="24" spans="1:17" x14ac:dyDescent="0.35">
      <c r="A24" s="110">
        <v>19</v>
      </c>
      <c r="B24" s="110"/>
      <c r="C24" s="234" t="s">
        <v>324</v>
      </c>
      <c r="D24" s="247">
        <v>2</v>
      </c>
      <c r="E24" s="247">
        <v>2483</v>
      </c>
      <c r="F24" s="247">
        <v>18</v>
      </c>
      <c r="G24" s="248">
        <v>137.94444444444446</v>
      </c>
      <c r="H24" s="290">
        <v>56</v>
      </c>
      <c r="I24" s="281">
        <v>56</v>
      </c>
      <c r="J24" s="249">
        <v>162</v>
      </c>
      <c r="K24" s="254">
        <v>217</v>
      </c>
      <c r="L24" s="254">
        <v>406</v>
      </c>
      <c r="M24" s="254">
        <v>571</v>
      </c>
      <c r="N24" s="305" t="s">
        <v>244</v>
      </c>
    </row>
    <row r="25" spans="1:17" x14ac:dyDescent="0.35">
      <c r="A25" s="110">
        <v>20</v>
      </c>
      <c r="B25" s="110"/>
      <c r="C25" s="234" t="s">
        <v>55</v>
      </c>
      <c r="D25" s="247">
        <v>3</v>
      </c>
      <c r="E25" s="247">
        <v>2613</v>
      </c>
      <c r="F25" s="247">
        <v>19</v>
      </c>
      <c r="G25" s="248">
        <v>137.52631578947367</v>
      </c>
      <c r="H25" s="290">
        <v>56</v>
      </c>
      <c r="I25" s="281">
        <v>56</v>
      </c>
      <c r="J25" s="249">
        <v>0</v>
      </c>
      <c r="K25" s="254">
        <v>56</v>
      </c>
      <c r="L25" s="254">
        <v>0</v>
      </c>
      <c r="M25" s="254">
        <v>168</v>
      </c>
      <c r="N25" s="304">
        <v>54</v>
      </c>
    </row>
    <row r="26" spans="1:17" x14ac:dyDescent="0.35">
      <c r="A26" s="110">
        <v>21</v>
      </c>
      <c r="B26" s="110"/>
      <c r="C26" s="234" t="s">
        <v>23</v>
      </c>
      <c r="D26" s="247">
        <v>3</v>
      </c>
      <c r="E26" s="247">
        <v>3571</v>
      </c>
      <c r="F26" s="247">
        <v>26</v>
      </c>
      <c r="G26" s="248">
        <v>137.34615384615384</v>
      </c>
      <c r="H26" s="290">
        <v>56</v>
      </c>
      <c r="I26" s="281">
        <v>56</v>
      </c>
      <c r="J26" s="249">
        <v>0</v>
      </c>
      <c r="K26" s="254">
        <v>56</v>
      </c>
      <c r="L26" s="255">
        <v>0</v>
      </c>
      <c r="M26" s="254">
        <v>168</v>
      </c>
      <c r="N26" s="305">
        <v>59</v>
      </c>
    </row>
    <row r="27" spans="1:17" x14ac:dyDescent="0.35">
      <c r="A27" s="110">
        <v>22</v>
      </c>
      <c r="B27" s="110"/>
      <c r="C27" s="234" t="s">
        <v>206</v>
      </c>
      <c r="D27" s="247">
        <v>4</v>
      </c>
      <c r="E27" s="247">
        <v>1509</v>
      </c>
      <c r="F27" s="247">
        <v>11</v>
      </c>
      <c r="G27" s="248">
        <v>137.18181818181819</v>
      </c>
      <c r="H27" s="290">
        <v>57</v>
      </c>
      <c r="I27" s="281">
        <v>57</v>
      </c>
      <c r="J27" s="249">
        <v>0</v>
      </c>
      <c r="K27" s="254">
        <v>57</v>
      </c>
      <c r="L27" s="247">
        <v>0</v>
      </c>
      <c r="M27" s="254">
        <v>171</v>
      </c>
      <c r="N27" s="304">
        <v>61</v>
      </c>
    </row>
    <row r="28" spans="1:17" x14ac:dyDescent="0.35">
      <c r="A28" s="110">
        <v>23</v>
      </c>
      <c r="B28" s="110"/>
      <c r="C28" s="234" t="s">
        <v>226</v>
      </c>
      <c r="D28" s="247">
        <v>4</v>
      </c>
      <c r="E28" s="247">
        <v>5003</v>
      </c>
      <c r="F28" s="247">
        <v>37</v>
      </c>
      <c r="G28" s="248">
        <v>135.21621621621622</v>
      </c>
      <c r="H28" s="290">
        <v>58</v>
      </c>
      <c r="I28" s="281">
        <v>58</v>
      </c>
      <c r="J28" s="249">
        <v>145</v>
      </c>
      <c r="K28" s="254">
        <v>203</v>
      </c>
      <c r="L28" s="254">
        <v>412</v>
      </c>
      <c r="M28" s="254">
        <v>586</v>
      </c>
      <c r="N28" s="304">
        <v>66</v>
      </c>
    </row>
    <row r="29" spans="1:17" x14ac:dyDescent="0.35">
      <c r="A29" s="110">
        <v>24</v>
      </c>
      <c r="B29" s="110"/>
      <c r="C29" s="234" t="s">
        <v>27</v>
      </c>
      <c r="D29" s="247">
        <v>3</v>
      </c>
      <c r="E29" s="247">
        <v>6038</v>
      </c>
      <c r="F29" s="247">
        <v>45</v>
      </c>
      <c r="G29" s="248">
        <v>134.17777777777778</v>
      </c>
      <c r="H29" s="290">
        <v>59</v>
      </c>
      <c r="I29" s="281">
        <v>59</v>
      </c>
      <c r="J29" s="249">
        <v>122</v>
      </c>
      <c r="K29" s="254">
        <v>180</v>
      </c>
      <c r="L29" s="254">
        <v>342</v>
      </c>
      <c r="M29" s="254">
        <v>516</v>
      </c>
      <c r="N29" s="304">
        <v>67</v>
      </c>
    </row>
    <row r="30" spans="1:17" x14ac:dyDescent="0.35">
      <c r="A30" s="110">
        <v>25</v>
      </c>
      <c r="B30" s="110"/>
      <c r="C30" s="234" t="s">
        <v>253</v>
      </c>
      <c r="D30" s="247">
        <v>2</v>
      </c>
      <c r="E30" s="247">
        <v>402</v>
      </c>
      <c r="F30" s="247">
        <v>3</v>
      </c>
      <c r="G30" s="248">
        <v>134</v>
      </c>
      <c r="H30" s="290">
        <v>63</v>
      </c>
      <c r="I30" s="281">
        <v>59</v>
      </c>
      <c r="J30" s="249">
        <v>0</v>
      </c>
      <c r="K30" s="254">
        <v>63</v>
      </c>
      <c r="L30" s="255">
        <v>0</v>
      </c>
      <c r="M30" s="254">
        <v>189</v>
      </c>
      <c r="N30" s="305">
        <v>63</v>
      </c>
    </row>
    <row r="31" spans="1:17" x14ac:dyDescent="0.35">
      <c r="A31" s="110">
        <v>26</v>
      </c>
      <c r="B31" s="110"/>
      <c r="C31" s="234" t="s">
        <v>249</v>
      </c>
      <c r="D31" s="247">
        <v>2</v>
      </c>
      <c r="E31" s="247">
        <v>3072</v>
      </c>
      <c r="F31" s="247">
        <v>23</v>
      </c>
      <c r="G31" s="248">
        <v>133.56521739130434</v>
      </c>
      <c r="H31" s="290">
        <v>60</v>
      </c>
      <c r="I31" s="281">
        <v>60</v>
      </c>
      <c r="J31" s="249">
        <v>120</v>
      </c>
      <c r="K31" s="254">
        <v>178</v>
      </c>
      <c r="L31" s="255">
        <v>234</v>
      </c>
      <c r="M31" s="254">
        <v>408</v>
      </c>
      <c r="N31" s="305">
        <v>55</v>
      </c>
    </row>
    <row r="32" spans="1:17" x14ac:dyDescent="0.35">
      <c r="A32" s="110">
        <v>27</v>
      </c>
      <c r="B32" s="110"/>
      <c r="C32" s="234" t="s">
        <v>184</v>
      </c>
      <c r="D32" s="247">
        <v>4</v>
      </c>
      <c r="E32" s="247">
        <v>1197</v>
      </c>
      <c r="F32" s="247">
        <v>9</v>
      </c>
      <c r="G32" s="248">
        <v>133</v>
      </c>
      <c r="H32" s="290">
        <v>60</v>
      </c>
      <c r="I32" s="281">
        <v>60</v>
      </c>
      <c r="J32" s="249">
        <v>140</v>
      </c>
      <c r="K32" s="254">
        <v>193</v>
      </c>
      <c r="L32" s="254">
        <v>350</v>
      </c>
      <c r="M32" s="254">
        <v>509</v>
      </c>
      <c r="N32" s="304">
        <v>60</v>
      </c>
    </row>
    <row r="33" spans="1:14" x14ac:dyDescent="0.35">
      <c r="A33" s="110">
        <v>28</v>
      </c>
      <c r="B33" s="110"/>
      <c r="C33" s="234" t="s">
        <v>268</v>
      </c>
      <c r="D33" s="247">
        <v>4</v>
      </c>
      <c r="E33" s="247">
        <v>3454</v>
      </c>
      <c r="F33" s="247">
        <v>26</v>
      </c>
      <c r="G33" s="248">
        <v>132.84615384615384</v>
      </c>
      <c r="H33" s="290">
        <v>60</v>
      </c>
      <c r="I33" s="281">
        <v>60</v>
      </c>
      <c r="J33" s="249">
        <v>0</v>
      </c>
      <c r="K33" s="254">
        <v>60</v>
      </c>
      <c r="L33" s="247">
        <v>0</v>
      </c>
      <c r="M33" s="254">
        <v>180</v>
      </c>
      <c r="N33" s="304">
        <v>65</v>
      </c>
    </row>
    <row r="34" spans="1:14" x14ac:dyDescent="0.35">
      <c r="A34" s="110">
        <v>29</v>
      </c>
      <c r="B34" s="110"/>
      <c r="C34" s="234" t="s">
        <v>248</v>
      </c>
      <c r="D34" s="247">
        <v>4</v>
      </c>
      <c r="E34" s="247">
        <v>6604</v>
      </c>
      <c r="F34" s="247">
        <v>50</v>
      </c>
      <c r="G34" s="248">
        <v>132.08000000000001</v>
      </c>
      <c r="H34" s="290">
        <v>61</v>
      </c>
      <c r="I34" s="281">
        <v>61</v>
      </c>
      <c r="J34" s="249">
        <v>141</v>
      </c>
      <c r="K34" s="254">
        <v>202</v>
      </c>
      <c r="L34" s="254">
        <v>377</v>
      </c>
      <c r="M34" s="254">
        <v>560</v>
      </c>
      <c r="N34" s="305">
        <v>51</v>
      </c>
    </row>
    <row r="35" spans="1:14" x14ac:dyDescent="0.35">
      <c r="A35" s="110">
        <v>30</v>
      </c>
      <c r="B35" s="110"/>
      <c r="C35" s="234" t="s">
        <v>231</v>
      </c>
      <c r="D35" s="247">
        <v>2</v>
      </c>
      <c r="E35" s="247">
        <v>6842</v>
      </c>
      <c r="F35" s="247">
        <v>52</v>
      </c>
      <c r="G35" s="248">
        <v>131.57692307692307</v>
      </c>
      <c r="H35" s="290">
        <v>62</v>
      </c>
      <c r="I35" s="281">
        <v>62</v>
      </c>
      <c r="J35" s="249">
        <v>161</v>
      </c>
      <c r="K35" s="254">
        <v>223</v>
      </c>
      <c r="L35" s="254">
        <v>404</v>
      </c>
      <c r="M35" s="254">
        <v>590</v>
      </c>
      <c r="N35" s="305">
        <v>60</v>
      </c>
    </row>
    <row r="36" spans="1:14" x14ac:dyDescent="0.35">
      <c r="A36" s="110">
        <v>31</v>
      </c>
      <c r="B36" s="110"/>
      <c r="C36" s="234" t="s">
        <v>322</v>
      </c>
      <c r="D36" s="247">
        <v>4</v>
      </c>
      <c r="E36" s="247">
        <v>3270</v>
      </c>
      <c r="F36" s="247">
        <v>25</v>
      </c>
      <c r="G36" s="248">
        <v>130.80000000000001</v>
      </c>
      <c r="H36" s="290">
        <v>62</v>
      </c>
      <c r="I36" s="281">
        <v>62</v>
      </c>
      <c r="J36" s="249">
        <v>0</v>
      </c>
      <c r="K36" s="254">
        <v>62</v>
      </c>
      <c r="L36" s="254">
        <v>0</v>
      </c>
      <c r="M36" s="254">
        <v>186</v>
      </c>
      <c r="N36" s="305" t="s">
        <v>244</v>
      </c>
    </row>
    <row r="37" spans="1:14" x14ac:dyDescent="0.35">
      <c r="A37" s="110">
        <v>32</v>
      </c>
      <c r="B37" s="110"/>
      <c r="C37" s="234" t="s">
        <v>313</v>
      </c>
      <c r="D37" s="247">
        <v>1</v>
      </c>
      <c r="E37" s="247">
        <v>4956</v>
      </c>
      <c r="F37" s="247">
        <v>38</v>
      </c>
      <c r="G37" s="248">
        <v>130.42105263157896</v>
      </c>
      <c r="H37" s="290">
        <v>63</v>
      </c>
      <c r="I37" s="281">
        <v>63</v>
      </c>
      <c r="J37" s="249">
        <v>0</v>
      </c>
      <c r="K37" s="254">
        <v>63</v>
      </c>
      <c r="L37" s="255">
        <v>0</v>
      </c>
      <c r="M37" s="254">
        <v>189</v>
      </c>
      <c r="N37" s="305" t="s">
        <v>244</v>
      </c>
    </row>
    <row r="38" spans="1:14" x14ac:dyDescent="0.35">
      <c r="A38" s="110">
        <v>33</v>
      </c>
      <c r="B38" s="110"/>
      <c r="C38" s="234" t="s">
        <v>154</v>
      </c>
      <c r="D38" s="247">
        <v>1</v>
      </c>
      <c r="E38" s="247">
        <v>521</v>
      </c>
      <c r="F38" s="247">
        <v>4</v>
      </c>
      <c r="G38" s="248">
        <v>130.25</v>
      </c>
      <c r="H38" s="290">
        <v>63</v>
      </c>
      <c r="I38" s="281">
        <v>63</v>
      </c>
      <c r="J38" s="297">
        <v>0</v>
      </c>
      <c r="K38" s="255">
        <v>63</v>
      </c>
      <c r="L38" s="300">
        <v>0</v>
      </c>
      <c r="M38" s="255">
        <v>189</v>
      </c>
      <c r="N38" s="304">
        <v>53</v>
      </c>
    </row>
    <row r="39" spans="1:14" x14ac:dyDescent="0.35">
      <c r="A39" s="110">
        <v>34</v>
      </c>
      <c r="B39" s="110"/>
      <c r="C39" s="234" t="s">
        <v>315</v>
      </c>
      <c r="D39" s="247">
        <v>4</v>
      </c>
      <c r="E39" s="247">
        <v>5570</v>
      </c>
      <c r="F39" s="247">
        <v>43</v>
      </c>
      <c r="G39" s="248">
        <v>129.53488372093022</v>
      </c>
      <c r="H39" s="290">
        <v>63</v>
      </c>
      <c r="I39" s="281">
        <v>63</v>
      </c>
      <c r="J39" s="297">
        <v>139</v>
      </c>
      <c r="K39" s="255">
        <v>201</v>
      </c>
      <c r="L39" s="300">
        <v>345</v>
      </c>
      <c r="M39" s="255">
        <v>531</v>
      </c>
      <c r="N39" s="304" t="s">
        <v>244</v>
      </c>
    </row>
    <row r="40" spans="1:14" x14ac:dyDescent="0.35">
      <c r="A40" s="110">
        <v>35</v>
      </c>
      <c r="B40" s="110"/>
      <c r="C40" s="234" t="s">
        <v>285</v>
      </c>
      <c r="D40" s="247">
        <v>1</v>
      </c>
      <c r="E40" s="247">
        <v>5413</v>
      </c>
      <c r="F40" s="247">
        <v>42</v>
      </c>
      <c r="G40" s="248">
        <v>128.88095238095238</v>
      </c>
      <c r="H40" s="290">
        <v>64</v>
      </c>
      <c r="I40" s="281">
        <v>64</v>
      </c>
      <c r="J40" s="249">
        <v>159</v>
      </c>
      <c r="K40" s="254">
        <v>224</v>
      </c>
      <c r="L40" s="254">
        <v>435</v>
      </c>
      <c r="M40" s="254">
        <v>630</v>
      </c>
      <c r="N40" s="304">
        <v>75</v>
      </c>
    </row>
    <row r="41" spans="1:14" x14ac:dyDescent="0.35">
      <c r="A41" s="110">
        <v>36</v>
      </c>
      <c r="B41" s="110"/>
      <c r="C41" s="234" t="s">
        <v>30</v>
      </c>
      <c r="D41" s="247">
        <v>3</v>
      </c>
      <c r="E41" s="247">
        <v>4966</v>
      </c>
      <c r="F41" s="247">
        <v>39</v>
      </c>
      <c r="G41" s="248">
        <v>127.33333333333333</v>
      </c>
      <c r="H41" s="290">
        <v>65</v>
      </c>
      <c r="I41" s="281">
        <v>65</v>
      </c>
      <c r="J41" s="249">
        <v>167</v>
      </c>
      <c r="K41" s="254">
        <v>234</v>
      </c>
      <c r="L41" s="255">
        <v>447</v>
      </c>
      <c r="M41" s="254">
        <v>648</v>
      </c>
      <c r="N41" s="305">
        <v>59</v>
      </c>
    </row>
    <row r="42" spans="1:14" x14ac:dyDescent="0.35">
      <c r="A42" s="110">
        <v>37</v>
      </c>
      <c r="B42" s="110"/>
      <c r="C42" s="234" t="s">
        <v>326</v>
      </c>
      <c r="D42" s="247">
        <v>3</v>
      </c>
      <c r="E42" s="247">
        <v>5971</v>
      </c>
      <c r="F42" s="247">
        <v>47</v>
      </c>
      <c r="G42" s="248">
        <v>127.04255319148936</v>
      </c>
      <c r="H42" s="290">
        <v>66</v>
      </c>
      <c r="I42" s="281">
        <v>66</v>
      </c>
      <c r="J42" s="249">
        <v>145</v>
      </c>
      <c r="K42" s="254">
        <v>211</v>
      </c>
      <c r="L42" s="254">
        <v>395</v>
      </c>
      <c r="M42" s="254">
        <v>593</v>
      </c>
      <c r="N42" s="304" t="s">
        <v>244</v>
      </c>
    </row>
    <row r="43" spans="1:14" x14ac:dyDescent="0.35">
      <c r="A43" s="110">
        <v>38</v>
      </c>
      <c r="B43" s="110"/>
      <c r="C43" s="234" t="s">
        <v>252</v>
      </c>
      <c r="D43" s="247">
        <v>1</v>
      </c>
      <c r="E43" s="247">
        <v>3413</v>
      </c>
      <c r="F43" s="247">
        <v>27</v>
      </c>
      <c r="G43" s="248">
        <v>126.4074074074074</v>
      </c>
      <c r="H43" s="290">
        <v>66</v>
      </c>
      <c r="I43" s="281">
        <v>66</v>
      </c>
      <c r="J43" s="249">
        <v>0</v>
      </c>
      <c r="K43" s="254">
        <v>66</v>
      </c>
      <c r="L43" s="254">
        <v>0</v>
      </c>
      <c r="M43" s="254">
        <v>198</v>
      </c>
      <c r="N43" s="304">
        <v>53</v>
      </c>
    </row>
    <row r="44" spans="1:14" x14ac:dyDescent="0.35">
      <c r="A44" s="110">
        <v>39</v>
      </c>
      <c r="B44" s="110"/>
      <c r="C44" s="306" t="s">
        <v>318</v>
      </c>
      <c r="D44" s="247">
        <v>4</v>
      </c>
      <c r="E44" s="247">
        <v>4844</v>
      </c>
      <c r="F44" s="247">
        <v>39</v>
      </c>
      <c r="G44" s="248">
        <v>124.2051282051282</v>
      </c>
      <c r="H44" s="290">
        <v>68</v>
      </c>
      <c r="I44" s="281">
        <v>68</v>
      </c>
      <c r="J44" s="249">
        <v>154</v>
      </c>
      <c r="K44" s="254">
        <v>223</v>
      </c>
      <c r="L44" s="255">
        <v>398</v>
      </c>
      <c r="M44" s="254">
        <v>605</v>
      </c>
      <c r="N44" s="304" t="s">
        <v>244</v>
      </c>
    </row>
    <row r="45" spans="1:14" x14ac:dyDescent="0.35">
      <c r="A45" s="110">
        <v>40</v>
      </c>
      <c r="B45" s="110"/>
      <c r="C45" s="234" t="s">
        <v>320</v>
      </c>
      <c r="D45" s="247">
        <v>2</v>
      </c>
      <c r="E45" s="247">
        <v>4210</v>
      </c>
      <c r="F45" s="247">
        <v>34</v>
      </c>
      <c r="G45" s="248">
        <v>123.82352941176471</v>
      </c>
      <c r="H45" s="290">
        <v>69</v>
      </c>
      <c r="I45" s="281">
        <v>69</v>
      </c>
      <c r="J45" s="249">
        <v>0</v>
      </c>
      <c r="K45" s="254">
        <v>69</v>
      </c>
      <c r="L45" s="254">
        <v>0</v>
      </c>
      <c r="M45" s="254">
        <v>207</v>
      </c>
      <c r="N45" s="304" t="s">
        <v>244</v>
      </c>
    </row>
    <row r="46" spans="1:14" x14ac:dyDescent="0.35">
      <c r="A46" s="110">
        <v>41</v>
      </c>
      <c r="B46" s="110"/>
      <c r="C46" s="234" t="s">
        <v>26</v>
      </c>
      <c r="D46" s="247">
        <v>1</v>
      </c>
      <c r="E46" s="247">
        <v>4828</v>
      </c>
      <c r="F46" s="247">
        <v>39</v>
      </c>
      <c r="G46" s="248">
        <v>123.7948717948718</v>
      </c>
      <c r="H46" s="290">
        <v>69</v>
      </c>
      <c r="I46" s="281">
        <v>69</v>
      </c>
      <c r="J46" s="249">
        <v>158</v>
      </c>
      <c r="K46" s="254">
        <v>227</v>
      </c>
      <c r="L46" s="254">
        <v>390</v>
      </c>
      <c r="M46" s="254">
        <v>597</v>
      </c>
      <c r="N46" s="304">
        <v>62</v>
      </c>
    </row>
    <row r="47" spans="1:14" x14ac:dyDescent="0.35">
      <c r="A47" s="110">
        <v>42</v>
      </c>
      <c r="B47" s="110"/>
      <c r="C47" s="234" t="s">
        <v>181</v>
      </c>
      <c r="D47" s="247">
        <v>2</v>
      </c>
      <c r="E47" s="247">
        <v>4945</v>
      </c>
      <c r="F47" s="247">
        <v>40</v>
      </c>
      <c r="G47" s="248">
        <v>123.625</v>
      </c>
      <c r="H47" s="290">
        <v>69</v>
      </c>
      <c r="I47" s="281">
        <v>69</v>
      </c>
      <c r="J47" s="249">
        <v>150</v>
      </c>
      <c r="K47" s="254">
        <v>220</v>
      </c>
      <c r="L47" s="254">
        <v>411</v>
      </c>
      <c r="M47" s="254">
        <v>621</v>
      </c>
      <c r="N47" s="304">
        <v>67</v>
      </c>
    </row>
    <row r="48" spans="1:14" x14ac:dyDescent="0.35">
      <c r="A48" s="110">
        <v>43</v>
      </c>
      <c r="C48" s="234" t="s">
        <v>272</v>
      </c>
      <c r="D48" s="247">
        <v>3</v>
      </c>
      <c r="E48" s="247">
        <v>5916</v>
      </c>
      <c r="F48" s="247">
        <v>48</v>
      </c>
      <c r="G48" s="248">
        <v>123.25</v>
      </c>
      <c r="H48" s="290">
        <v>69</v>
      </c>
      <c r="I48" s="281">
        <v>69</v>
      </c>
      <c r="J48" s="249">
        <v>150</v>
      </c>
      <c r="K48" s="254">
        <v>220</v>
      </c>
      <c r="L48" s="254">
        <v>423</v>
      </c>
      <c r="M48" s="254">
        <v>633</v>
      </c>
      <c r="N48" s="304">
        <v>75</v>
      </c>
    </row>
    <row r="49" spans="1:14" x14ac:dyDescent="0.35">
      <c r="A49" s="110">
        <v>44</v>
      </c>
      <c r="C49" s="234" t="s">
        <v>230</v>
      </c>
      <c r="D49" s="247">
        <v>2</v>
      </c>
      <c r="E49" s="247">
        <v>1970</v>
      </c>
      <c r="F49" s="247">
        <v>16</v>
      </c>
      <c r="G49" s="248">
        <v>123.125</v>
      </c>
      <c r="H49" s="290">
        <v>69</v>
      </c>
      <c r="I49" s="281">
        <v>69</v>
      </c>
      <c r="J49" s="249">
        <v>0</v>
      </c>
      <c r="K49" s="254">
        <v>69</v>
      </c>
      <c r="L49" s="255">
        <v>0</v>
      </c>
      <c r="M49" s="254">
        <v>207</v>
      </c>
      <c r="N49" s="305">
        <v>67</v>
      </c>
    </row>
    <row r="50" spans="1:14" x14ac:dyDescent="0.35">
      <c r="A50" s="110">
        <v>45</v>
      </c>
      <c r="C50" s="234" t="s">
        <v>57</v>
      </c>
      <c r="D50" s="247">
        <v>2</v>
      </c>
      <c r="E50" s="247">
        <v>1454</v>
      </c>
      <c r="F50" s="247">
        <v>12</v>
      </c>
      <c r="G50" s="248">
        <v>121.16666666666667</v>
      </c>
      <c r="H50" s="290">
        <v>71</v>
      </c>
      <c r="I50" s="281">
        <v>71</v>
      </c>
      <c r="J50" s="249">
        <v>0</v>
      </c>
      <c r="K50" s="254">
        <v>71</v>
      </c>
      <c r="L50" s="254">
        <v>0</v>
      </c>
      <c r="M50" s="254">
        <v>213</v>
      </c>
      <c r="N50" s="304">
        <v>73</v>
      </c>
    </row>
    <row r="51" spans="1:14" x14ac:dyDescent="0.35">
      <c r="A51" s="110">
        <v>46</v>
      </c>
      <c r="C51" s="234" t="s">
        <v>276</v>
      </c>
      <c r="D51" s="247">
        <v>2</v>
      </c>
      <c r="E51" s="247">
        <v>843</v>
      </c>
      <c r="F51" s="247">
        <v>7</v>
      </c>
      <c r="G51" s="248">
        <v>120.42857142857143</v>
      </c>
      <c r="H51" s="290">
        <v>72</v>
      </c>
      <c r="I51" s="281">
        <v>72</v>
      </c>
      <c r="J51" s="249">
        <v>127</v>
      </c>
      <c r="K51" s="254">
        <v>195</v>
      </c>
      <c r="L51" s="254">
        <v>347</v>
      </c>
      <c r="M51" s="254">
        <v>551</v>
      </c>
      <c r="N51" s="305">
        <v>66</v>
      </c>
    </row>
    <row r="52" spans="1:14" x14ac:dyDescent="0.35">
      <c r="A52" s="110">
        <v>47</v>
      </c>
      <c r="C52" s="234" t="s">
        <v>178</v>
      </c>
      <c r="D52" s="247">
        <v>1</v>
      </c>
      <c r="E52" s="247">
        <v>1081</v>
      </c>
      <c r="F52" s="247">
        <v>9</v>
      </c>
      <c r="G52" s="248">
        <v>120.11111111111111</v>
      </c>
      <c r="H52" s="290">
        <v>72</v>
      </c>
      <c r="I52" s="281">
        <v>72</v>
      </c>
      <c r="J52" s="249">
        <v>0</v>
      </c>
      <c r="K52" s="254">
        <v>72</v>
      </c>
      <c r="L52" s="254">
        <v>0</v>
      </c>
      <c r="M52" s="254">
        <v>216</v>
      </c>
      <c r="N52" s="305">
        <v>62</v>
      </c>
    </row>
    <row r="53" spans="1:14" x14ac:dyDescent="0.35">
      <c r="A53" s="110">
        <v>48</v>
      </c>
      <c r="C53" s="234" t="s">
        <v>212</v>
      </c>
      <c r="D53" s="247">
        <v>4</v>
      </c>
      <c r="E53" s="247">
        <v>2126</v>
      </c>
      <c r="F53" s="247">
        <v>18</v>
      </c>
      <c r="G53" s="248">
        <v>118.11111111111111</v>
      </c>
      <c r="H53" s="290">
        <v>74</v>
      </c>
      <c r="I53" s="281">
        <v>74</v>
      </c>
      <c r="J53" s="249">
        <v>0</v>
      </c>
      <c r="K53" s="254">
        <v>74</v>
      </c>
      <c r="L53" s="254">
        <v>0</v>
      </c>
      <c r="M53" s="254">
        <v>222</v>
      </c>
      <c r="N53" s="304">
        <v>50</v>
      </c>
    </row>
    <row r="54" spans="1:14" x14ac:dyDescent="0.35">
      <c r="A54" s="110">
        <v>49</v>
      </c>
      <c r="C54" s="234" t="s">
        <v>327</v>
      </c>
      <c r="D54" s="247">
        <v>1</v>
      </c>
      <c r="E54" s="247">
        <v>1417</v>
      </c>
      <c r="F54" s="247">
        <v>12</v>
      </c>
      <c r="G54" s="248">
        <v>118.08333333333333</v>
      </c>
      <c r="H54" s="290">
        <v>74</v>
      </c>
      <c r="I54" s="281">
        <v>74</v>
      </c>
      <c r="J54" s="249">
        <v>0</v>
      </c>
      <c r="K54" s="254">
        <v>74</v>
      </c>
      <c r="L54" s="254">
        <v>0</v>
      </c>
      <c r="M54" s="254">
        <v>222</v>
      </c>
      <c r="N54" s="304" t="s">
        <v>244</v>
      </c>
    </row>
    <row r="55" spans="1:14" x14ac:dyDescent="0.35">
      <c r="A55" s="110">
        <v>50</v>
      </c>
      <c r="C55" s="234" t="s">
        <v>228</v>
      </c>
      <c r="D55" s="247">
        <v>4</v>
      </c>
      <c r="E55" s="247">
        <v>698</v>
      </c>
      <c r="F55" s="247">
        <v>6</v>
      </c>
      <c r="G55" s="248">
        <v>116.33333333333333</v>
      </c>
      <c r="H55" s="290">
        <v>75</v>
      </c>
      <c r="I55" s="281">
        <v>75</v>
      </c>
      <c r="J55" s="249">
        <v>0</v>
      </c>
      <c r="K55" s="254">
        <v>75</v>
      </c>
      <c r="L55" s="255">
        <v>0</v>
      </c>
      <c r="M55" s="254">
        <v>225</v>
      </c>
      <c r="N55" s="305">
        <v>78</v>
      </c>
    </row>
    <row r="56" spans="1:14" x14ac:dyDescent="0.35">
      <c r="A56" s="110">
        <v>51</v>
      </c>
      <c r="C56" s="234" t="s">
        <v>273</v>
      </c>
      <c r="D56" s="247">
        <v>1</v>
      </c>
      <c r="E56" s="247">
        <v>3405</v>
      </c>
      <c r="F56" s="247">
        <v>30</v>
      </c>
      <c r="G56" s="248">
        <v>113.5</v>
      </c>
      <c r="H56" s="290">
        <v>78</v>
      </c>
      <c r="I56" s="281">
        <v>78</v>
      </c>
      <c r="J56" s="249">
        <v>181</v>
      </c>
      <c r="K56" s="254">
        <v>262</v>
      </c>
      <c r="L56" s="254">
        <v>440</v>
      </c>
      <c r="M56" s="254">
        <v>683</v>
      </c>
      <c r="N56" s="304">
        <v>84</v>
      </c>
    </row>
    <row r="57" spans="1:14" x14ac:dyDescent="0.35">
      <c r="A57" s="110">
        <v>52</v>
      </c>
      <c r="C57" s="234" t="s">
        <v>311</v>
      </c>
      <c r="D57" s="247">
        <v>2</v>
      </c>
      <c r="E57" s="247">
        <v>4859</v>
      </c>
      <c r="F57" s="247">
        <v>43</v>
      </c>
      <c r="G57" s="248">
        <v>113</v>
      </c>
      <c r="H57" s="290">
        <v>78</v>
      </c>
      <c r="I57" s="281">
        <v>78</v>
      </c>
      <c r="J57" s="249">
        <v>0</v>
      </c>
      <c r="K57" s="254">
        <v>78</v>
      </c>
      <c r="L57" s="254">
        <v>0</v>
      </c>
      <c r="M57" s="254">
        <v>234</v>
      </c>
      <c r="N57" s="304" t="s">
        <v>244</v>
      </c>
    </row>
    <row r="58" spans="1:14" x14ac:dyDescent="0.35">
      <c r="A58" s="110">
        <v>53</v>
      </c>
      <c r="C58" s="234" t="s">
        <v>153</v>
      </c>
      <c r="D58" s="247">
        <v>3</v>
      </c>
      <c r="E58" s="247">
        <v>1124</v>
      </c>
      <c r="F58" s="247">
        <v>10</v>
      </c>
      <c r="G58" s="248">
        <v>112.4</v>
      </c>
      <c r="H58" s="290">
        <v>79</v>
      </c>
      <c r="I58" s="281">
        <v>79</v>
      </c>
      <c r="J58" s="249">
        <v>0</v>
      </c>
      <c r="K58" s="254">
        <v>79</v>
      </c>
      <c r="L58" s="255">
        <v>0</v>
      </c>
      <c r="M58" s="254">
        <v>237</v>
      </c>
      <c r="N58" s="305">
        <v>77</v>
      </c>
    </row>
    <row r="59" spans="1:14" x14ac:dyDescent="0.35">
      <c r="A59" s="110">
        <v>54</v>
      </c>
      <c r="C59" s="234" t="s">
        <v>267</v>
      </c>
      <c r="D59" s="247">
        <v>1</v>
      </c>
      <c r="E59" s="247">
        <v>4297</v>
      </c>
      <c r="F59" s="247">
        <v>40</v>
      </c>
      <c r="G59" s="248">
        <v>107.425</v>
      </c>
      <c r="H59" s="290">
        <v>83</v>
      </c>
      <c r="I59" s="281">
        <v>83</v>
      </c>
      <c r="J59" s="249">
        <v>109</v>
      </c>
      <c r="K59" s="254">
        <v>192</v>
      </c>
      <c r="L59" s="254">
        <v>308</v>
      </c>
      <c r="M59" s="254">
        <v>557</v>
      </c>
      <c r="N59" s="304">
        <v>91</v>
      </c>
    </row>
    <row r="60" spans="1:14" x14ac:dyDescent="0.35">
      <c r="A60" s="110">
        <v>55</v>
      </c>
      <c r="C60" s="234" t="s">
        <v>245</v>
      </c>
      <c r="D60" s="247">
        <v>4</v>
      </c>
      <c r="E60" s="247">
        <v>310</v>
      </c>
      <c r="F60" s="247">
        <v>3</v>
      </c>
      <c r="G60" s="248">
        <v>103.33333333333333</v>
      </c>
      <c r="H60" s="290">
        <v>76</v>
      </c>
      <c r="I60" s="281">
        <v>87</v>
      </c>
      <c r="J60" s="249">
        <v>0</v>
      </c>
      <c r="K60" s="254">
        <v>76</v>
      </c>
      <c r="L60" s="255">
        <v>0</v>
      </c>
      <c r="M60" s="254">
        <v>228</v>
      </c>
      <c r="N60" s="305">
        <v>76</v>
      </c>
    </row>
    <row r="61" spans="1:14" x14ac:dyDescent="0.35">
      <c r="A61" s="110">
        <v>56</v>
      </c>
      <c r="C61" s="234" t="s">
        <v>316</v>
      </c>
      <c r="D61" s="247">
        <v>4</v>
      </c>
      <c r="E61" s="247">
        <v>2544</v>
      </c>
      <c r="F61" s="247">
        <v>25</v>
      </c>
      <c r="G61" s="248">
        <v>101.76</v>
      </c>
      <c r="H61" s="290">
        <v>88</v>
      </c>
      <c r="I61" s="281">
        <v>88</v>
      </c>
      <c r="J61" s="249">
        <v>0</v>
      </c>
      <c r="K61" s="254">
        <v>88</v>
      </c>
      <c r="L61" s="254">
        <v>0</v>
      </c>
      <c r="M61" s="254">
        <v>264</v>
      </c>
      <c r="N61" s="305" t="s">
        <v>244</v>
      </c>
    </row>
    <row r="62" spans="1:14" x14ac:dyDescent="0.35">
      <c r="A62" s="110">
        <v>57</v>
      </c>
      <c r="C62" s="234" t="s">
        <v>240</v>
      </c>
      <c r="D62" s="247">
        <v>2</v>
      </c>
      <c r="E62" s="247">
        <v>0</v>
      </c>
      <c r="F62" s="247">
        <v>0</v>
      </c>
      <c r="G62" s="248"/>
      <c r="H62" s="290">
        <v>66</v>
      </c>
      <c r="I62" s="281"/>
      <c r="J62" s="249">
        <v>0</v>
      </c>
      <c r="K62" s="254">
        <v>66</v>
      </c>
      <c r="L62" s="254">
        <v>0</v>
      </c>
      <c r="M62" s="254">
        <v>198</v>
      </c>
      <c r="N62" s="305">
        <v>66</v>
      </c>
    </row>
    <row r="63" spans="1:14" x14ac:dyDescent="0.35">
      <c r="A63" s="110">
        <v>58</v>
      </c>
      <c r="C63" s="234" t="s">
        <v>220</v>
      </c>
      <c r="D63" s="247">
        <v>4</v>
      </c>
      <c r="E63" s="247">
        <v>0</v>
      </c>
      <c r="F63" s="247">
        <v>0</v>
      </c>
      <c r="G63" s="248"/>
      <c r="H63" s="290">
        <v>64</v>
      </c>
      <c r="I63" s="281"/>
      <c r="J63" s="249">
        <v>0</v>
      </c>
      <c r="K63" s="254">
        <v>64</v>
      </c>
      <c r="L63" s="254">
        <v>0</v>
      </c>
      <c r="M63" s="254">
        <v>192</v>
      </c>
      <c r="N63" s="304">
        <v>64</v>
      </c>
    </row>
    <row r="64" spans="1:14" x14ac:dyDescent="0.35">
      <c r="A64" s="110">
        <v>59</v>
      </c>
      <c r="C64" s="234" t="s">
        <v>34</v>
      </c>
      <c r="D64" s="247">
        <v>4</v>
      </c>
      <c r="E64" s="247">
        <v>0</v>
      </c>
      <c r="F64" s="247">
        <v>0</v>
      </c>
      <c r="G64" s="248"/>
      <c r="H64" s="290">
        <v>46</v>
      </c>
      <c r="I64" s="281"/>
      <c r="J64" s="249">
        <v>0</v>
      </c>
      <c r="K64" s="254">
        <v>46</v>
      </c>
      <c r="L64" s="254">
        <v>0</v>
      </c>
      <c r="M64" s="254">
        <v>138</v>
      </c>
      <c r="N64" s="304">
        <v>46</v>
      </c>
    </row>
    <row r="65" spans="1:14" x14ac:dyDescent="0.35">
      <c r="A65" s="110">
        <v>60</v>
      </c>
      <c r="C65" s="234" t="s">
        <v>280</v>
      </c>
      <c r="D65" s="247">
        <v>4</v>
      </c>
      <c r="E65" s="247">
        <v>0</v>
      </c>
      <c r="F65" s="247">
        <v>0</v>
      </c>
      <c r="G65" s="248"/>
      <c r="H65" s="292">
        <v>93</v>
      </c>
      <c r="I65" s="286"/>
      <c r="J65" s="249">
        <v>0</v>
      </c>
      <c r="K65" s="254">
        <v>93</v>
      </c>
      <c r="L65" s="254">
        <v>0</v>
      </c>
      <c r="M65" s="254">
        <v>279</v>
      </c>
      <c r="N65" s="305">
        <v>93</v>
      </c>
    </row>
    <row r="66" spans="1:14" x14ac:dyDescent="0.35">
      <c r="A66" s="110">
        <v>61</v>
      </c>
      <c r="C66" s="234" t="s">
        <v>221</v>
      </c>
      <c r="D66" s="247">
        <v>4</v>
      </c>
      <c r="E66" s="247">
        <v>0</v>
      </c>
      <c r="F66" s="247">
        <v>0</v>
      </c>
      <c r="G66" s="248"/>
      <c r="H66" s="292">
        <v>73</v>
      </c>
      <c r="I66" s="286"/>
      <c r="J66" s="249">
        <v>0</v>
      </c>
      <c r="K66" s="254">
        <v>86</v>
      </c>
      <c r="L66" s="254">
        <v>0</v>
      </c>
      <c r="M66" s="254">
        <v>258</v>
      </c>
      <c r="N66" s="304">
        <v>73</v>
      </c>
    </row>
    <row r="67" spans="1:14" x14ac:dyDescent="0.35">
      <c r="A67" s="110">
        <v>62</v>
      </c>
      <c r="C67" s="234" t="s">
        <v>265</v>
      </c>
      <c r="D67" s="247">
        <v>1</v>
      </c>
      <c r="E67" s="247">
        <v>0</v>
      </c>
      <c r="F67" s="247">
        <v>0</v>
      </c>
      <c r="G67" s="248"/>
      <c r="H67" s="292">
        <v>49</v>
      </c>
      <c r="I67" s="286"/>
      <c r="J67" s="249">
        <v>0</v>
      </c>
      <c r="K67" s="254">
        <v>49</v>
      </c>
      <c r="L67" s="254">
        <v>0</v>
      </c>
      <c r="M67" s="254">
        <v>147</v>
      </c>
      <c r="N67" s="304">
        <v>49</v>
      </c>
    </row>
    <row r="68" spans="1:14" x14ac:dyDescent="0.35">
      <c r="A68" s="110">
        <v>63</v>
      </c>
      <c r="C68" s="234" t="s">
        <v>270</v>
      </c>
      <c r="D68" s="247">
        <v>3</v>
      </c>
      <c r="E68" s="247">
        <v>0</v>
      </c>
      <c r="F68" s="247">
        <v>0</v>
      </c>
      <c r="G68" s="248"/>
      <c r="H68" s="292">
        <v>107</v>
      </c>
      <c r="I68" s="286"/>
      <c r="J68" s="249">
        <v>0</v>
      </c>
      <c r="K68" s="254">
        <v>107</v>
      </c>
      <c r="L68" s="254">
        <v>0</v>
      </c>
      <c r="M68" s="254">
        <v>321</v>
      </c>
      <c r="N68" s="305">
        <v>107</v>
      </c>
    </row>
    <row r="69" spans="1:14" x14ac:dyDescent="0.35">
      <c r="A69" s="110">
        <v>64</v>
      </c>
      <c r="C69" s="234" t="s">
        <v>282</v>
      </c>
      <c r="D69" s="247">
        <v>2</v>
      </c>
      <c r="E69" s="247">
        <v>0</v>
      </c>
      <c r="F69" s="247">
        <v>0</v>
      </c>
      <c r="G69" s="248"/>
      <c r="H69" s="292">
        <v>93</v>
      </c>
      <c r="I69" s="286"/>
      <c r="J69" s="249">
        <v>0</v>
      </c>
      <c r="K69" s="254">
        <v>93</v>
      </c>
      <c r="L69" s="254">
        <v>0</v>
      </c>
      <c r="M69" s="254">
        <v>279</v>
      </c>
      <c r="N69" s="305">
        <v>93</v>
      </c>
    </row>
    <row r="70" spans="1:14" x14ac:dyDescent="0.35">
      <c r="A70" s="110">
        <v>65</v>
      </c>
      <c r="C70" s="234" t="s">
        <v>279</v>
      </c>
      <c r="D70" s="247">
        <v>1</v>
      </c>
      <c r="E70" s="247">
        <v>0</v>
      </c>
      <c r="F70" s="247">
        <v>0</v>
      </c>
      <c r="G70" s="248"/>
      <c r="H70" s="292">
        <v>83</v>
      </c>
      <c r="I70" s="286"/>
      <c r="J70" s="249">
        <v>0</v>
      </c>
      <c r="K70" s="254">
        <v>83</v>
      </c>
      <c r="L70" s="254">
        <v>0</v>
      </c>
      <c r="M70" s="254">
        <v>249</v>
      </c>
      <c r="N70" s="304">
        <v>83</v>
      </c>
    </row>
    <row r="71" spans="1:14" x14ac:dyDescent="0.35">
      <c r="A71" s="110">
        <v>66</v>
      </c>
      <c r="C71" s="234" t="s">
        <v>281</v>
      </c>
      <c r="D71" s="247">
        <v>2</v>
      </c>
      <c r="E71" s="247">
        <v>0</v>
      </c>
      <c r="F71" s="247">
        <v>0</v>
      </c>
      <c r="G71" s="248"/>
      <c r="H71" s="292">
        <v>75</v>
      </c>
      <c r="I71" s="286"/>
      <c r="J71" s="249">
        <v>0</v>
      </c>
      <c r="K71" s="254">
        <v>75</v>
      </c>
      <c r="L71" s="255">
        <v>0</v>
      </c>
      <c r="M71" s="254">
        <v>225</v>
      </c>
      <c r="N71" s="305">
        <v>75</v>
      </c>
    </row>
    <row r="72" spans="1:14" x14ac:dyDescent="0.35">
      <c r="A72" s="110">
        <v>67</v>
      </c>
      <c r="C72" s="234" t="s">
        <v>218</v>
      </c>
      <c r="D72" s="247">
        <v>3</v>
      </c>
      <c r="E72" s="247">
        <v>0</v>
      </c>
      <c r="F72" s="247">
        <v>0</v>
      </c>
      <c r="G72" s="248"/>
      <c r="H72" s="292">
        <v>53</v>
      </c>
      <c r="I72" s="286"/>
      <c r="J72" s="249">
        <v>0</v>
      </c>
      <c r="K72" s="254">
        <v>53</v>
      </c>
      <c r="L72" s="255">
        <v>0</v>
      </c>
      <c r="M72" s="254">
        <v>159</v>
      </c>
      <c r="N72" s="305">
        <v>53</v>
      </c>
    </row>
    <row r="73" spans="1:14" x14ac:dyDescent="0.35">
      <c r="A73" s="110">
        <v>68</v>
      </c>
      <c r="C73" s="234" t="s">
        <v>225</v>
      </c>
      <c r="D73" s="247">
        <v>1</v>
      </c>
      <c r="E73" s="247">
        <v>0</v>
      </c>
      <c r="F73" s="247">
        <v>0</v>
      </c>
      <c r="G73" s="248"/>
      <c r="H73" s="292">
        <v>88</v>
      </c>
      <c r="I73" s="286"/>
      <c r="J73" s="249">
        <v>0</v>
      </c>
      <c r="K73" s="254">
        <v>88</v>
      </c>
      <c r="L73" s="254">
        <v>0</v>
      </c>
      <c r="M73" s="254">
        <v>264</v>
      </c>
      <c r="N73" s="304">
        <v>88</v>
      </c>
    </row>
    <row r="74" spans="1:14" x14ac:dyDescent="0.35">
      <c r="A74" s="110">
        <v>69</v>
      </c>
      <c r="C74" s="234" t="s">
        <v>275</v>
      </c>
      <c r="D74" s="247">
        <v>2</v>
      </c>
      <c r="E74" s="247">
        <v>0</v>
      </c>
      <c r="F74" s="247">
        <v>0</v>
      </c>
      <c r="G74" s="248"/>
      <c r="H74" s="292">
        <v>70</v>
      </c>
      <c r="I74" s="286"/>
      <c r="J74" s="249">
        <v>0</v>
      </c>
      <c r="K74" s="254">
        <v>70</v>
      </c>
      <c r="L74" s="254">
        <v>0</v>
      </c>
      <c r="M74" s="254">
        <v>210</v>
      </c>
      <c r="N74" s="304">
        <v>70</v>
      </c>
    </row>
    <row r="75" spans="1:14" ht="13.15" thickBot="1" x14ac:dyDescent="0.4">
      <c r="A75" s="110">
        <v>70</v>
      </c>
      <c r="C75" s="234" t="s">
        <v>208</v>
      </c>
      <c r="D75" s="247">
        <v>1</v>
      </c>
      <c r="E75" s="247">
        <v>0</v>
      </c>
      <c r="F75" s="247">
        <v>0</v>
      </c>
      <c r="G75" s="248"/>
      <c r="H75" s="291">
        <v>55</v>
      </c>
      <c r="I75" s="281"/>
      <c r="J75" s="249">
        <v>0</v>
      </c>
      <c r="K75" s="254">
        <v>55</v>
      </c>
      <c r="L75" s="254">
        <v>0</v>
      </c>
      <c r="M75" s="254">
        <v>165</v>
      </c>
      <c r="N75" s="304">
        <v>55</v>
      </c>
    </row>
  </sheetData>
  <sortState ref="C6:N75">
    <sortCondition descending="1" ref="G6:G75"/>
    <sortCondition ref="C6:C75"/>
  </sortState>
  <phoneticPr fontId="0" type="noConversion"/>
  <pageMargins left="0.25" right="0.25" top="0.75" bottom="0.75" header="0.3" footer="0.3"/>
  <pageSetup paperSize="5" scale="90" orientation="portrait" r:id="rId1"/>
  <headerFooter alignWithMargins="0">
    <oddFooter>&amp;L&amp;F=&amp;A&amp;C&amp;D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O34"/>
  <sheetViews>
    <sheetView topLeftCell="A4" zoomScale="90" zoomScaleNormal="90" workbookViewId="0">
      <selection activeCell="C31" sqref="C31"/>
    </sheetView>
  </sheetViews>
  <sheetFormatPr defaultRowHeight="12.75" x14ac:dyDescent="0.35"/>
  <sheetData>
    <row r="1" spans="1:15" ht="13.15" x14ac:dyDescent="0.4">
      <c r="A1" s="1" t="s">
        <v>0</v>
      </c>
    </row>
    <row r="2" spans="1:15" ht="13.15" x14ac:dyDescent="0.4">
      <c r="A2" s="1" t="str">
        <f>+Season</f>
        <v>2016/2017 Season</v>
      </c>
    </row>
    <row r="3" spans="1:15" ht="13.15" x14ac:dyDescent="0.4">
      <c r="A3" s="1" t="s">
        <v>41</v>
      </c>
    </row>
    <row r="5" spans="1:15" ht="13.15" thickBot="1" x14ac:dyDescent="0.4"/>
    <row r="6" spans="1:15" x14ac:dyDescent="0.35">
      <c r="C6" s="41" t="s">
        <v>329</v>
      </c>
      <c r="D6" s="42"/>
      <c r="E6" s="43"/>
      <c r="F6" s="241" t="s">
        <v>278</v>
      </c>
      <c r="G6" s="39"/>
      <c r="H6" s="40"/>
      <c r="I6" s="36" t="s">
        <v>37</v>
      </c>
      <c r="J6" s="37"/>
      <c r="K6" s="38"/>
      <c r="L6" s="33" t="s">
        <v>232</v>
      </c>
      <c r="M6" s="34"/>
      <c r="N6" s="35"/>
    </row>
    <row r="7" spans="1:15" ht="13.15" thickBot="1" x14ac:dyDescent="0.4">
      <c r="A7" t="s">
        <v>4</v>
      </c>
      <c r="C7" s="29" t="s">
        <v>40</v>
      </c>
      <c r="D7" s="30" t="s">
        <v>38</v>
      </c>
      <c r="E7" s="31" t="s">
        <v>39</v>
      </c>
      <c r="F7" s="29" t="s">
        <v>40</v>
      </c>
      <c r="G7" s="30" t="s">
        <v>38</v>
      </c>
      <c r="H7" s="31" t="s">
        <v>39</v>
      </c>
      <c r="I7" s="29" t="s">
        <v>40</v>
      </c>
      <c r="J7" s="30" t="s">
        <v>38</v>
      </c>
      <c r="K7" s="31" t="s">
        <v>39</v>
      </c>
      <c r="L7" s="29" t="s">
        <v>40</v>
      </c>
      <c r="M7" s="30" t="s">
        <v>38</v>
      </c>
      <c r="N7" s="31" t="s">
        <v>39</v>
      </c>
    </row>
    <row r="8" spans="1:15" x14ac:dyDescent="0.35">
      <c r="A8">
        <v>1</v>
      </c>
      <c r="B8" s="44">
        <f>dummy!C8</f>
        <v>42648</v>
      </c>
      <c r="C8" s="46">
        <v>2</v>
      </c>
      <c r="D8" s="9">
        <v>2.5</v>
      </c>
      <c r="E8" s="10">
        <f>SUM(C8:D8)</f>
        <v>4.5</v>
      </c>
      <c r="F8" s="164">
        <v>2</v>
      </c>
      <c r="G8" s="88">
        <v>1</v>
      </c>
      <c r="H8" s="10">
        <f>SUM(F8:G8)</f>
        <v>3</v>
      </c>
      <c r="I8" s="46">
        <v>2</v>
      </c>
      <c r="J8" s="88">
        <v>1.5</v>
      </c>
      <c r="K8" s="10">
        <f>SUM(I8:J8)</f>
        <v>3.5</v>
      </c>
      <c r="L8" s="164">
        <v>2</v>
      </c>
      <c r="M8" s="88">
        <v>3</v>
      </c>
      <c r="N8" s="10">
        <f>SUM(L8:M8)</f>
        <v>5</v>
      </c>
      <c r="O8">
        <f>+E8+H8+K8+N8</f>
        <v>16</v>
      </c>
    </row>
    <row r="9" spans="1:15" x14ac:dyDescent="0.35">
      <c r="A9">
        <v>2</v>
      </c>
      <c r="B9" s="44">
        <f>dummy!D8</f>
        <v>42655</v>
      </c>
      <c r="C9" s="46">
        <v>2</v>
      </c>
      <c r="D9" s="9">
        <v>1</v>
      </c>
      <c r="E9" s="10">
        <f t="shared" ref="E9:E17" si="0">SUM(C9:D9)</f>
        <v>3</v>
      </c>
      <c r="F9" s="164">
        <v>0</v>
      </c>
      <c r="G9" s="88">
        <v>3</v>
      </c>
      <c r="H9" s="10">
        <f t="shared" ref="H9:H17" si="1">SUM(F9:G9)</f>
        <v>3</v>
      </c>
      <c r="I9" s="46">
        <v>4</v>
      </c>
      <c r="J9" s="88">
        <v>2</v>
      </c>
      <c r="K9" s="10">
        <f t="shared" ref="K9:K17" si="2">SUM(I9:J9)</f>
        <v>6</v>
      </c>
      <c r="L9" s="164">
        <v>2</v>
      </c>
      <c r="M9" s="88">
        <v>2</v>
      </c>
      <c r="N9" s="10">
        <f t="shared" ref="N9:N17" si="3">SUM(L9:M9)</f>
        <v>4</v>
      </c>
      <c r="O9">
        <f t="shared" ref="O9:O17" si="4">+E9+H9+K9+N9</f>
        <v>16</v>
      </c>
    </row>
    <row r="10" spans="1:15" x14ac:dyDescent="0.35">
      <c r="A10">
        <v>3</v>
      </c>
      <c r="B10" s="44">
        <f>dummy!E8</f>
        <v>42662</v>
      </c>
      <c r="C10" s="46">
        <v>1</v>
      </c>
      <c r="D10" s="9">
        <v>0</v>
      </c>
      <c r="E10" s="10">
        <f t="shared" si="0"/>
        <v>1</v>
      </c>
      <c r="F10" s="164">
        <v>4</v>
      </c>
      <c r="G10" s="88">
        <v>1</v>
      </c>
      <c r="H10" s="10">
        <f t="shared" si="1"/>
        <v>5</v>
      </c>
      <c r="I10" s="46">
        <v>3</v>
      </c>
      <c r="J10" s="88">
        <v>3</v>
      </c>
      <c r="K10" s="10">
        <f t="shared" si="2"/>
        <v>6</v>
      </c>
      <c r="L10" s="164">
        <v>0</v>
      </c>
      <c r="M10" s="88">
        <v>4</v>
      </c>
      <c r="N10" s="10">
        <f t="shared" si="3"/>
        <v>4</v>
      </c>
      <c r="O10">
        <f t="shared" si="4"/>
        <v>16</v>
      </c>
    </row>
    <row r="11" spans="1:15" x14ac:dyDescent="0.35">
      <c r="A11">
        <v>4</v>
      </c>
      <c r="B11" s="44">
        <f>dummy!F8</f>
        <v>42669</v>
      </c>
      <c r="C11" s="46">
        <v>4</v>
      </c>
      <c r="D11" s="88">
        <v>1</v>
      </c>
      <c r="E11" s="10">
        <f t="shared" si="0"/>
        <v>5</v>
      </c>
      <c r="F11" s="164">
        <v>1</v>
      </c>
      <c r="G11" s="88">
        <v>3</v>
      </c>
      <c r="H11" s="10">
        <f t="shared" si="1"/>
        <v>4</v>
      </c>
      <c r="I11" s="46">
        <v>0</v>
      </c>
      <c r="J11" s="88">
        <v>1</v>
      </c>
      <c r="K11" s="10">
        <f t="shared" si="2"/>
        <v>1</v>
      </c>
      <c r="L11" s="164">
        <v>3</v>
      </c>
      <c r="M11" s="88">
        <v>3</v>
      </c>
      <c r="N11" s="10">
        <f t="shared" si="3"/>
        <v>6</v>
      </c>
      <c r="O11">
        <f t="shared" si="4"/>
        <v>16</v>
      </c>
    </row>
    <row r="12" spans="1:15" x14ac:dyDescent="0.35">
      <c r="A12">
        <v>5</v>
      </c>
      <c r="B12" s="44">
        <f>dummy!G8</f>
        <v>42676</v>
      </c>
      <c r="C12" s="46">
        <v>3.5</v>
      </c>
      <c r="D12" s="88">
        <v>4</v>
      </c>
      <c r="E12" s="10">
        <f t="shared" si="0"/>
        <v>7.5</v>
      </c>
      <c r="F12" s="164">
        <v>0</v>
      </c>
      <c r="G12" s="88">
        <v>0</v>
      </c>
      <c r="H12" s="10">
        <f t="shared" si="1"/>
        <v>0</v>
      </c>
      <c r="I12" s="46">
        <v>4</v>
      </c>
      <c r="J12" s="146">
        <v>1</v>
      </c>
      <c r="K12" s="10">
        <f t="shared" si="2"/>
        <v>5</v>
      </c>
      <c r="L12" s="164">
        <v>0.5</v>
      </c>
      <c r="M12" s="146">
        <v>3</v>
      </c>
      <c r="N12" s="10">
        <f t="shared" si="3"/>
        <v>3.5</v>
      </c>
      <c r="O12">
        <f t="shared" si="4"/>
        <v>16</v>
      </c>
    </row>
    <row r="13" spans="1:15" x14ac:dyDescent="0.35">
      <c r="A13">
        <v>6</v>
      </c>
      <c r="B13" s="44">
        <f>dummy!H8</f>
        <v>42683</v>
      </c>
      <c r="C13" s="46">
        <v>2</v>
      </c>
      <c r="D13" s="88">
        <v>0</v>
      </c>
      <c r="E13" s="10">
        <f t="shared" si="0"/>
        <v>2</v>
      </c>
      <c r="F13" s="164">
        <v>4</v>
      </c>
      <c r="G13" s="88">
        <v>4</v>
      </c>
      <c r="H13" s="10">
        <f t="shared" si="1"/>
        <v>8</v>
      </c>
      <c r="I13" s="46">
        <v>2</v>
      </c>
      <c r="J13" s="146">
        <v>0</v>
      </c>
      <c r="K13" s="10">
        <f t="shared" si="2"/>
        <v>2</v>
      </c>
      <c r="L13" s="164">
        <v>0</v>
      </c>
      <c r="M13" s="146">
        <v>4</v>
      </c>
      <c r="N13" s="10">
        <f t="shared" si="3"/>
        <v>4</v>
      </c>
      <c r="O13">
        <f t="shared" si="4"/>
        <v>16</v>
      </c>
    </row>
    <row r="14" spans="1:15" x14ac:dyDescent="0.35">
      <c r="A14">
        <v>7</v>
      </c>
      <c r="B14" s="44">
        <f>dummy!I8</f>
        <v>42690</v>
      </c>
      <c r="C14" s="46">
        <v>2</v>
      </c>
      <c r="D14" s="88">
        <v>1</v>
      </c>
      <c r="E14" s="10">
        <f t="shared" si="0"/>
        <v>3</v>
      </c>
      <c r="F14" s="164">
        <v>2</v>
      </c>
      <c r="G14" s="88">
        <v>2</v>
      </c>
      <c r="H14" s="10">
        <f t="shared" si="1"/>
        <v>4</v>
      </c>
      <c r="I14" s="46">
        <v>3</v>
      </c>
      <c r="J14" s="146">
        <v>3</v>
      </c>
      <c r="K14" s="10">
        <f t="shared" si="2"/>
        <v>6</v>
      </c>
      <c r="L14" s="164">
        <v>1</v>
      </c>
      <c r="M14" s="146">
        <v>2</v>
      </c>
      <c r="N14" s="10">
        <f t="shared" si="3"/>
        <v>3</v>
      </c>
      <c r="O14">
        <f t="shared" si="4"/>
        <v>16</v>
      </c>
    </row>
    <row r="15" spans="1:15" x14ac:dyDescent="0.35">
      <c r="A15">
        <v>8</v>
      </c>
      <c r="B15" s="44">
        <f>dummy!J8</f>
        <v>42704</v>
      </c>
      <c r="C15" s="46">
        <v>0</v>
      </c>
      <c r="D15" s="88">
        <v>1</v>
      </c>
      <c r="E15" s="10">
        <f t="shared" si="0"/>
        <v>1</v>
      </c>
      <c r="F15" s="164">
        <v>2</v>
      </c>
      <c r="G15" s="88">
        <v>3</v>
      </c>
      <c r="H15" s="10">
        <f t="shared" si="1"/>
        <v>5</v>
      </c>
      <c r="I15" s="46">
        <v>2</v>
      </c>
      <c r="J15" s="146">
        <v>0</v>
      </c>
      <c r="K15" s="10">
        <f t="shared" si="2"/>
        <v>2</v>
      </c>
      <c r="L15" s="164">
        <v>4</v>
      </c>
      <c r="M15" s="146">
        <v>4</v>
      </c>
      <c r="N15" s="10">
        <f t="shared" si="3"/>
        <v>8</v>
      </c>
      <c r="O15">
        <f t="shared" si="4"/>
        <v>16</v>
      </c>
    </row>
    <row r="16" spans="1:15" x14ac:dyDescent="0.35">
      <c r="A16">
        <v>9</v>
      </c>
      <c r="B16" s="44">
        <f>dummy!K8</f>
        <v>42711</v>
      </c>
      <c r="C16" s="46">
        <v>1</v>
      </c>
      <c r="D16" s="88">
        <v>4</v>
      </c>
      <c r="E16" s="10">
        <f t="shared" si="0"/>
        <v>5</v>
      </c>
      <c r="F16" s="164">
        <v>4</v>
      </c>
      <c r="G16" s="88">
        <v>1</v>
      </c>
      <c r="H16" s="10">
        <f t="shared" si="1"/>
        <v>5</v>
      </c>
      <c r="I16" s="164">
        <v>3</v>
      </c>
      <c r="J16" s="146">
        <v>3</v>
      </c>
      <c r="K16" s="10">
        <f t="shared" si="2"/>
        <v>6</v>
      </c>
      <c r="L16" s="164">
        <v>0</v>
      </c>
      <c r="M16" s="146">
        <v>0</v>
      </c>
      <c r="N16" s="10">
        <f t="shared" si="3"/>
        <v>0</v>
      </c>
      <c r="O16">
        <f t="shared" si="4"/>
        <v>16</v>
      </c>
    </row>
    <row r="17" spans="1:15" x14ac:dyDescent="0.35">
      <c r="A17">
        <v>10</v>
      </c>
      <c r="B17" s="44">
        <f>dummy!L8</f>
        <v>42718</v>
      </c>
      <c r="C17" s="46">
        <v>0</v>
      </c>
      <c r="D17" s="88">
        <v>3</v>
      </c>
      <c r="E17" s="10">
        <f t="shared" si="0"/>
        <v>3</v>
      </c>
      <c r="F17" s="164">
        <v>4</v>
      </c>
      <c r="G17" s="88">
        <v>3</v>
      </c>
      <c r="H17" s="10">
        <f t="shared" si="1"/>
        <v>7</v>
      </c>
      <c r="I17" s="46">
        <v>1</v>
      </c>
      <c r="J17" s="146">
        <v>1</v>
      </c>
      <c r="K17" s="10">
        <f t="shared" si="2"/>
        <v>2</v>
      </c>
      <c r="L17" s="164">
        <v>3</v>
      </c>
      <c r="M17" s="146">
        <v>1</v>
      </c>
      <c r="N17" s="10">
        <f t="shared" si="3"/>
        <v>4</v>
      </c>
      <c r="O17">
        <f t="shared" si="4"/>
        <v>16</v>
      </c>
    </row>
    <row r="18" spans="1:15" x14ac:dyDescent="0.35">
      <c r="A18">
        <v>11</v>
      </c>
      <c r="B18" s="44">
        <f>dummy!M8</f>
        <v>42725</v>
      </c>
      <c r="C18" s="46"/>
      <c r="D18" s="88">
        <v>2</v>
      </c>
      <c r="E18" s="10">
        <f>SUM(C18:D18)</f>
        <v>2</v>
      </c>
      <c r="F18" s="164">
        <v>6</v>
      </c>
      <c r="G18" s="88"/>
      <c r="H18" s="10">
        <f>SUM(F18:G18)</f>
        <v>6</v>
      </c>
      <c r="I18" s="46"/>
      <c r="J18" s="146">
        <v>6</v>
      </c>
      <c r="K18" s="10">
        <f>SUM(I18:J18)</f>
        <v>6</v>
      </c>
      <c r="L18" s="164">
        <v>2</v>
      </c>
      <c r="M18" s="146"/>
      <c r="N18" s="10">
        <f>SUM(L18:M18)</f>
        <v>2</v>
      </c>
      <c r="O18">
        <f>+E18+H18+K18+N18</f>
        <v>16</v>
      </c>
    </row>
    <row r="19" spans="1:15" ht="13.15" x14ac:dyDescent="0.4">
      <c r="C19" s="47">
        <f t="shared" ref="C19:N19" si="5">SUM(C8:C18)</f>
        <v>17.5</v>
      </c>
      <c r="D19" s="32">
        <f t="shared" si="5"/>
        <v>19.5</v>
      </c>
      <c r="E19" s="48">
        <f t="shared" si="5"/>
        <v>37</v>
      </c>
      <c r="F19" s="168">
        <f t="shared" si="5"/>
        <v>29</v>
      </c>
      <c r="G19" s="169">
        <f t="shared" si="5"/>
        <v>21</v>
      </c>
      <c r="H19" s="51">
        <f t="shared" si="5"/>
        <v>50</v>
      </c>
      <c r="I19" s="47">
        <f t="shared" si="5"/>
        <v>24</v>
      </c>
      <c r="J19" s="32">
        <f t="shared" si="5"/>
        <v>21.5</v>
      </c>
      <c r="K19" s="52">
        <f t="shared" si="5"/>
        <v>45.5</v>
      </c>
      <c r="L19" s="168">
        <f t="shared" si="5"/>
        <v>17.5</v>
      </c>
      <c r="M19" s="169">
        <f t="shared" si="5"/>
        <v>26</v>
      </c>
      <c r="N19" s="53">
        <f t="shared" si="5"/>
        <v>43.5</v>
      </c>
      <c r="O19" s="45"/>
    </row>
    <row r="20" spans="1:15" x14ac:dyDescent="0.35">
      <c r="C20" s="46"/>
      <c r="D20" s="9"/>
      <c r="E20" s="10"/>
      <c r="F20" s="164"/>
      <c r="G20" s="88"/>
      <c r="H20" s="10"/>
      <c r="I20" s="46"/>
      <c r="J20" s="9"/>
      <c r="K20" s="10"/>
      <c r="L20" s="164"/>
      <c r="M20" s="88"/>
      <c r="N20" s="10"/>
    </row>
    <row r="21" spans="1:15" x14ac:dyDescent="0.35">
      <c r="C21" s="46"/>
      <c r="D21" s="9"/>
      <c r="E21" s="10"/>
      <c r="F21" s="164"/>
      <c r="G21" s="88"/>
      <c r="H21" s="10"/>
      <c r="I21" s="46"/>
      <c r="J21" s="9"/>
      <c r="K21" s="10"/>
      <c r="L21" s="164"/>
      <c r="M21" s="88"/>
      <c r="N21" s="10"/>
    </row>
    <row r="22" spans="1:15" x14ac:dyDescent="0.35">
      <c r="A22">
        <v>12</v>
      </c>
      <c r="B22" s="44">
        <f>dummy!N8</f>
        <v>42739</v>
      </c>
      <c r="C22" s="46">
        <v>3</v>
      </c>
      <c r="D22" s="9">
        <v>1.5</v>
      </c>
      <c r="E22" s="10">
        <f t="shared" ref="E22:E32" si="6">SUM(C22:D22)</f>
        <v>4.5</v>
      </c>
      <c r="F22" s="164">
        <v>3</v>
      </c>
      <c r="G22" s="88">
        <v>2.5</v>
      </c>
      <c r="H22" s="10">
        <f t="shared" ref="H22:H32" si="7">SUM(F22:G22)</f>
        <v>5.5</v>
      </c>
      <c r="I22" s="46">
        <v>1</v>
      </c>
      <c r="J22" s="88">
        <v>1</v>
      </c>
      <c r="K22" s="10">
        <f t="shared" ref="K22:K32" si="8">SUM(I22:J22)</f>
        <v>2</v>
      </c>
      <c r="L22" s="164">
        <v>1</v>
      </c>
      <c r="M22" s="88">
        <v>3</v>
      </c>
      <c r="N22" s="10">
        <f t="shared" ref="N22:N32" si="9">SUM(L22:M22)</f>
        <v>4</v>
      </c>
      <c r="O22">
        <f t="shared" ref="O22:O32" si="10">+E22+H22+K22+N22</f>
        <v>16</v>
      </c>
    </row>
    <row r="23" spans="1:15" x14ac:dyDescent="0.35">
      <c r="A23">
        <v>13</v>
      </c>
      <c r="B23" s="44">
        <f>dummy!O8</f>
        <v>42746</v>
      </c>
      <c r="C23" s="46">
        <v>4</v>
      </c>
      <c r="D23" s="9">
        <v>1</v>
      </c>
      <c r="E23" s="10">
        <f>SUM(C23:D23)</f>
        <v>5</v>
      </c>
      <c r="F23" s="164">
        <v>2</v>
      </c>
      <c r="G23" s="88">
        <v>1</v>
      </c>
      <c r="H23" s="10">
        <f>SUM(F23:G23)</f>
        <v>3</v>
      </c>
      <c r="I23" s="46">
        <v>0</v>
      </c>
      <c r="J23" s="88">
        <v>3</v>
      </c>
      <c r="K23" s="10">
        <f>SUM(I23:J23)</f>
        <v>3</v>
      </c>
      <c r="L23" s="164">
        <v>2</v>
      </c>
      <c r="M23" s="88">
        <v>3</v>
      </c>
      <c r="N23" s="10">
        <f>SUM(L23:M23)</f>
        <v>5</v>
      </c>
      <c r="O23">
        <f>+E23+H23+K23+N23</f>
        <v>16</v>
      </c>
    </row>
    <row r="24" spans="1:15" x14ac:dyDescent="0.35">
      <c r="A24">
        <v>14</v>
      </c>
      <c r="B24" s="44">
        <f>dummy!P8</f>
        <v>42753</v>
      </c>
      <c r="C24" s="46">
        <v>3</v>
      </c>
      <c r="D24" s="9">
        <v>4</v>
      </c>
      <c r="E24" s="10">
        <f t="shared" si="6"/>
        <v>7</v>
      </c>
      <c r="F24" s="164">
        <v>1</v>
      </c>
      <c r="G24" s="88">
        <v>3</v>
      </c>
      <c r="H24" s="10">
        <f t="shared" si="7"/>
        <v>4</v>
      </c>
      <c r="I24" s="46">
        <v>3</v>
      </c>
      <c r="J24" s="88">
        <v>0</v>
      </c>
      <c r="K24" s="10">
        <f t="shared" si="8"/>
        <v>3</v>
      </c>
      <c r="L24" s="164">
        <v>1</v>
      </c>
      <c r="M24" s="88">
        <v>1</v>
      </c>
      <c r="N24" s="10">
        <f t="shared" si="9"/>
        <v>2</v>
      </c>
      <c r="O24">
        <f t="shared" si="10"/>
        <v>16</v>
      </c>
    </row>
    <row r="25" spans="1:15" x14ac:dyDescent="0.35">
      <c r="A25">
        <v>15</v>
      </c>
      <c r="B25" s="44">
        <f>dummy!Q8</f>
        <v>42760</v>
      </c>
      <c r="C25" s="46">
        <v>2</v>
      </c>
      <c r="D25" s="88">
        <v>1</v>
      </c>
      <c r="E25" s="10">
        <f t="shared" si="6"/>
        <v>3</v>
      </c>
      <c r="F25" s="164">
        <v>2</v>
      </c>
      <c r="G25" s="88">
        <v>3</v>
      </c>
      <c r="H25" s="10">
        <f t="shared" si="7"/>
        <v>5</v>
      </c>
      <c r="I25" s="46">
        <v>2</v>
      </c>
      <c r="J25" s="88">
        <v>2</v>
      </c>
      <c r="K25" s="10">
        <f t="shared" si="8"/>
        <v>4</v>
      </c>
      <c r="L25" s="164">
        <v>2</v>
      </c>
      <c r="M25" s="88">
        <v>2</v>
      </c>
      <c r="N25" s="10">
        <f t="shared" si="9"/>
        <v>4</v>
      </c>
      <c r="O25">
        <f t="shared" si="10"/>
        <v>16</v>
      </c>
    </row>
    <row r="26" spans="1:15" x14ac:dyDescent="0.35">
      <c r="A26">
        <v>16</v>
      </c>
      <c r="B26" s="44">
        <f>dummy!R8</f>
        <v>42767</v>
      </c>
      <c r="C26" s="46">
        <v>0</v>
      </c>
      <c r="D26" s="88">
        <v>4</v>
      </c>
      <c r="E26" s="10">
        <f t="shared" si="6"/>
        <v>4</v>
      </c>
      <c r="F26" s="164">
        <v>1</v>
      </c>
      <c r="G26" s="88">
        <v>4</v>
      </c>
      <c r="H26" s="10">
        <f t="shared" si="7"/>
        <v>5</v>
      </c>
      <c r="I26" s="46">
        <v>4</v>
      </c>
      <c r="J26" s="88">
        <v>0</v>
      </c>
      <c r="K26" s="10">
        <f t="shared" si="8"/>
        <v>4</v>
      </c>
      <c r="L26" s="46">
        <v>3</v>
      </c>
      <c r="M26" s="88">
        <v>0</v>
      </c>
      <c r="N26" s="10">
        <f t="shared" si="9"/>
        <v>3</v>
      </c>
      <c r="O26">
        <f t="shared" si="10"/>
        <v>16</v>
      </c>
    </row>
    <row r="27" spans="1:15" x14ac:dyDescent="0.35">
      <c r="A27">
        <v>17</v>
      </c>
      <c r="B27" s="44">
        <f>dummy!S8</f>
        <v>42774</v>
      </c>
      <c r="C27" s="46">
        <v>3</v>
      </c>
      <c r="D27" s="88"/>
      <c r="E27" s="10">
        <f t="shared" si="6"/>
        <v>3</v>
      </c>
      <c r="F27" s="46">
        <v>1</v>
      </c>
      <c r="G27" s="88"/>
      <c r="H27" s="10">
        <f t="shared" si="7"/>
        <v>1</v>
      </c>
      <c r="I27" s="46">
        <v>2</v>
      </c>
      <c r="J27" s="88"/>
      <c r="K27" s="10">
        <f t="shared" si="8"/>
        <v>2</v>
      </c>
      <c r="L27" s="46">
        <v>2</v>
      </c>
      <c r="M27" s="88"/>
      <c r="N27" s="10">
        <f t="shared" si="9"/>
        <v>2</v>
      </c>
      <c r="O27">
        <f t="shared" si="10"/>
        <v>8</v>
      </c>
    </row>
    <row r="28" spans="1:15" x14ac:dyDescent="0.35">
      <c r="A28">
        <v>18</v>
      </c>
      <c r="B28" s="44">
        <f>dummy!T8</f>
        <v>42781</v>
      </c>
      <c r="C28" s="46">
        <v>2</v>
      </c>
      <c r="D28" s="88">
        <v>2</v>
      </c>
      <c r="E28" s="10">
        <f t="shared" si="6"/>
        <v>4</v>
      </c>
      <c r="F28" s="46">
        <v>0</v>
      </c>
      <c r="G28" s="88">
        <v>2</v>
      </c>
      <c r="H28" s="10">
        <f t="shared" si="7"/>
        <v>2</v>
      </c>
      <c r="I28" s="46">
        <v>4</v>
      </c>
      <c r="J28" s="88">
        <v>3</v>
      </c>
      <c r="K28" s="10">
        <f t="shared" si="8"/>
        <v>7</v>
      </c>
      <c r="L28" s="46">
        <v>2</v>
      </c>
      <c r="M28" s="88">
        <v>1</v>
      </c>
      <c r="N28" s="10">
        <f t="shared" si="9"/>
        <v>3</v>
      </c>
      <c r="O28">
        <f t="shared" si="10"/>
        <v>16</v>
      </c>
    </row>
    <row r="29" spans="1:15" x14ac:dyDescent="0.35">
      <c r="A29">
        <v>19</v>
      </c>
      <c r="B29" s="44">
        <f>dummy!U8</f>
        <v>42795</v>
      </c>
      <c r="C29" s="46">
        <v>0</v>
      </c>
      <c r="D29" s="88">
        <v>3</v>
      </c>
      <c r="E29" s="10">
        <f t="shared" si="6"/>
        <v>3</v>
      </c>
      <c r="F29" s="46">
        <v>0</v>
      </c>
      <c r="G29" s="88">
        <v>1</v>
      </c>
      <c r="H29" s="10">
        <f t="shared" si="7"/>
        <v>1</v>
      </c>
      <c r="I29" s="46">
        <v>4</v>
      </c>
      <c r="J29" s="88">
        <v>3</v>
      </c>
      <c r="K29" s="10">
        <f t="shared" si="8"/>
        <v>7</v>
      </c>
      <c r="L29" s="46">
        <v>4</v>
      </c>
      <c r="M29" s="88">
        <v>1</v>
      </c>
      <c r="N29" s="10">
        <f t="shared" si="9"/>
        <v>5</v>
      </c>
      <c r="O29">
        <f t="shared" si="10"/>
        <v>16</v>
      </c>
    </row>
    <row r="30" spans="1:15" x14ac:dyDescent="0.35">
      <c r="A30">
        <v>20</v>
      </c>
      <c r="B30" s="44">
        <f>dummy!V8</f>
        <v>42802</v>
      </c>
      <c r="C30" s="46">
        <v>4</v>
      </c>
      <c r="D30" s="88">
        <v>3</v>
      </c>
      <c r="E30" s="10">
        <f t="shared" si="6"/>
        <v>7</v>
      </c>
      <c r="F30" s="46">
        <v>0</v>
      </c>
      <c r="G30" s="88">
        <v>1</v>
      </c>
      <c r="H30" s="10">
        <f t="shared" si="7"/>
        <v>1</v>
      </c>
      <c r="I30" s="46">
        <v>4</v>
      </c>
      <c r="J30" s="88">
        <v>1</v>
      </c>
      <c r="K30" s="10">
        <f t="shared" si="8"/>
        <v>5</v>
      </c>
      <c r="L30" s="46">
        <v>0</v>
      </c>
      <c r="M30" s="88">
        <v>3</v>
      </c>
      <c r="N30" s="10">
        <f t="shared" si="9"/>
        <v>3</v>
      </c>
      <c r="O30">
        <f t="shared" si="10"/>
        <v>16</v>
      </c>
    </row>
    <row r="31" spans="1:15" x14ac:dyDescent="0.35">
      <c r="A31">
        <v>21</v>
      </c>
      <c r="B31" s="44">
        <f>dummy!W8</f>
        <v>42809</v>
      </c>
      <c r="C31" s="46"/>
      <c r="D31" s="88"/>
      <c r="E31" s="10">
        <f t="shared" si="6"/>
        <v>0</v>
      </c>
      <c r="F31" s="46"/>
      <c r="G31" s="88"/>
      <c r="H31" s="10">
        <f t="shared" si="7"/>
        <v>0</v>
      </c>
      <c r="I31" s="46"/>
      <c r="J31" s="88"/>
      <c r="K31" s="10">
        <f t="shared" si="8"/>
        <v>0</v>
      </c>
      <c r="L31" s="46"/>
      <c r="M31" s="88"/>
      <c r="N31" s="10">
        <f t="shared" si="9"/>
        <v>0</v>
      </c>
      <c r="O31">
        <f t="shared" si="10"/>
        <v>0</v>
      </c>
    </row>
    <row r="32" spans="1:15" x14ac:dyDescent="0.35">
      <c r="A32">
        <v>22</v>
      </c>
      <c r="B32" s="44">
        <f>dummy!X8</f>
        <v>42816</v>
      </c>
      <c r="C32" s="46"/>
      <c r="D32" s="88"/>
      <c r="E32" s="10">
        <f t="shared" si="6"/>
        <v>0</v>
      </c>
      <c r="F32" s="46"/>
      <c r="G32" s="88"/>
      <c r="H32" s="10">
        <f t="shared" si="7"/>
        <v>0</v>
      </c>
      <c r="I32" s="46"/>
      <c r="J32" s="88"/>
      <c r="K32" s="10">
        <f t="shared" si="8"/>
        <v>0</v>
      </c>
      <c r="L32" s="46"/>
      <c r="M32" s="88"/>
      <c r="N32" s="10">
        <f t="shared" si="9"/>
        <v>0</v>
      </c>
      <c r="O32">
        <f t="shared" si="10"/>
        <v>0</v>
      </c>
    </row>
    <row r="33" spans="3:15" ht="13.15" x14ac:dyDescent="0.4">
      <c r="C33" s="47">
        <f t="shared" ref="C33:N33" si="11">SUM(C22:C32)</f>
        <v>21</v>
      </c>
      <c r="D33" s="32">
        <f t="shared" si="11"/>
        <v>19.5</v>
      </c>
      <c r="E33" s="48">
        <f t="shared" si="11"/>
        <v>40.5</v>
      </c>
      <c r="F33" s="47">
        <f t="shared" si="11"/>
        <v>10</v>
      </c>
      <c r="G33" s="32">
        <f t="shared" si="11"/>
        <v>17.5</v>
      </c>
      <c r="H33" s="51">
        <f t="shared" si="11"/>
        <v>27.5</v>
      </c>
      <c r="I33" s="47">
        <f t="shared" si="11"/>
        <v>24</v>
      </c>
      <c r="J33" s="32">
        <f t="shared" si="11"/>
        <v>13</v>
      </c>
      <c r="K33" s="52">
        <f t="shared" si="11"/>
        <v>37</v>
      </c>
      <c r="L33" s="47">
        <f t="shared" si="11"/>
        <v>17</v>
      </c>
      <c r="M33" s="32">
        <f t="shared" si="11"/>
        <v>14</v>
      </c>
      <c r="N33" s="53">
        <f t="shared" si="11"/>
        <v>31</v>
      </c>
      <c r="O33" s="45"/>
    </row>
    <row r="34" spans="3:15" ht="13.5" thickBot="1" x14ac:dyDescent="0.45">
      <c r="C34" s="49">
        <f t="shared" ref="C34:N34" si="12">+C19+C33</f>
        <v>38.5</v>
      </c>
      <c r="D34" s="50">
        <f t="shared" si="12"/>
        <v>39</v>
      </c>
      <c r="E34" s="54">
        <f t="shared" si="12"/>
        <v>77.5</v>
      </c>
      <c r="F34" s="49">
        <f t="shared" si="12"/>
        <v>39</v>
      </c>
      <c r="G34" s="50">
        <f t="shared" si="12"/>
        <v>38.5</v>
      </c>
      <c r="H34" s="55">
        <f t="shared" si="12"/>
        <v>77.5</v>
      </c>
      <c r="I34" s="49">
        <f t="shared" si="12"/>
        <v>48</v>
      </c>
      <c r="J34" s="50">
        <f t="shared" si="12"/>
        <v>34.5</v>
      </c>
      <c r="K34" s="56">
        <f t="shared" si="12"/>
        <v>82.5</v>
      </c>
      <c r="L34" s="49">
        <f t="shared" si="12"/>
        <v>34.5</v>
      </c>
      <c r="M34" s="50">
        <f t="shared" si="12"/>
        <v>40</v>
      </c>
      <c r="N34" s="57">
        <f t="shared" si="12"/>
        <v>74.5</v>
      </c>
    </row>
  </sheetData>
  <phoneticPr fontId="0" type="noConversion"/>
  <pageMargins left="0.38" right="0.46" top="1" bottom="1" header="0.5" footer="0.5"/>
  <pageSetup scale="96" orientation="landscape" horizontalDpi="4294967293" r:id="rId1"/>
  <headerFooter alignWithMargins="0">
    <oddFooter>&amp;L&amp;F=&amp;A&amp;C&amp;D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F377"/>
  <sheetViews>
    <sheetView zoomScale="90" zoomScaleNormal="90" workbookViewId="0"/>
  </sheetViews>
  <sheetFormatPr defaultRowHeight="13.15" x14ac:dyDescent="0.4"/>
  <cols>
    <col min="1" max="1" width="2.86328125" style="27" customWidth="1"/>
    <col min="2" max="2" width="6.33203125" customWidth="1"/>
    <col min="3" max="3" width="8.86328125" style="27" customWidth="1"/>
    <col min="4" max="4" width="11.1328125" customWidth="1"/>
    <col min="5" max="5" width="14.46484375" customWidth="1"/>
    <col min="6" max="29" width="11.1328125" customWidth="1"/>
  </cols>
  <sheetData>
    <row r="1" spans="1:29" ht="17.649999999999999" x14ac:dyDescent="0.5">
      <c r="E1" s="58" t="str">
        <f>+Season</f>
        <v>2016/2017 Season</v>
      </c>
    </row>
    <row r="2" spans="1:29" ht="17.649999999999999" x14ac:dyDescent="0.5">
      <c r="E2" s="58" t="s">
        <v>42</v>
      </c>
    </row>
    <row r="3" spans="1:29" s="59" customFormat="1" ht="15" x14ac:dyDescent="0.4">
      <c r="E3" s="145">
        <f>+'wkly alpha'!J1</f>
        <v>42802</v>
      </c>
    </row>
    <row r="4" spans="1:29" ht="13.5" thickBot="1" x14ac:dyDescent="0.45"/>
    <row r="5" spans="1:29" x14ac:dyDescent="0.4">
      <c r="A5" s="5"/>
      <c r="B5" s="115"/>
      <c r="C5" s="115"/>
      <c r="D5" s="116"/>
      <c r="E5" s="117"/>
      <c r="F5" s="118"/>
      <c r="G5" s="116"/>
      <c r="H5" s="116"/>
      <c r="I5" s="11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</row>
    <row r="6" spans="1:29" ht="15" x14ac:dyDescent="0.4">
      <c r="A6" s="8"/>
      <c r="B6" s="65" t="s">
        <v>43</v>
      </c>
      <c r="C6" s="65"/>
      <c r="D6" s="66"/>
      <c r="E6" s="67"/>
      <c r="F6" s="64"/>
      <c r="G6" s="65" t="s">
        <v>44</v>
      </c>
      <c r="H6" s="66"/>
      <c r="I6" s="120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</row>
    <row r="7" spans="1:29" x14ac:dyDescent="0.4">
      <c r="A7" s="8"/>
      <c r="B7" s="9"/>
      <c r="C7" s="66"/>
      <c r="D7" s="68"/>
      <c r="E7" s="69"/>
      <c r="F7" s="70"/>
      <c r="G7" s="68"/>
      <c r="H7" s="68"/>
      <c r="I7" s="12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</row>
    <row r="8" spans="1:29" x14ac:dyDescent="0.4">
      <c r="A8" s="8"/>
      <c r="B8" s="66"/>
      <c r="C8" s="71" t="s">
        <v>71</v>
      </c>
      <c r="D8" s="293" t="s">
        <v>273</v>
      </c>
      <c r="E8" s="91"/>
      <c r="F8" s="73"/>
      <c r="G8" s="71" t="s">
        <v>72</v>
      </c>
      <c r="H8" s="293" t="s">
        <v>223</v>
      </c>
      <c r="I8" s="139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</row>
    <row r="9" spans="1:29" x14ac:dyDescent="0.4">
      <c r="A9" s="8"/>
      <c r="B9" s="9"/>
      <c r="C9" s="66"/>
      <c r="D9" s="189">
        <f>+'wkly alpha'!I85</f>
        <v>262</v>
      </c>
      <c r="E9" s="69"/>
      <c r="F9" s="70"/>
      <c r="G9" s="68"/>
      <c r="H9" s="190">
        <f>+'wkly alpha'!H85</f>
        <v>184</v>
      </c>
      <c r="I9" s="12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</row>
    <row r="10" spans="1:29" x14ac:dyDescent="0.4">
      <c r="A10" s="8"/>
      <c r="B10" s="9"/>
      <c r="C10" s="66"/>
      <c r="D10" s="68"/>
      <c r="E10" s="69"/>
      <c r="F10" s="70"/>
      <c r="G10" s="68"/>
      <c r="H10" s="68"/>
      <c r="I10" s="12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</row>
    <row r="11" spans="1:29" x14ac:dyDescent="0.4">
      <c r="A11" s="8"/>
      <c r="B11" s="9"/>
      <c r="C11" s="66"/>
      <c r="D11" s="74"/>
      <c r="E11" s="75"/>
      <c r="F11" s="76"/>
      <c r="G11" s="74"/>
      <c r="H11" s="74"/>
      <c r="I11" s="122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</row>
    <row r="12" spans="1:29" ht="12.75" customHeight="1" x14ac:dyDescent="0.4">
      <c r="A12" s="123"/>
      <c r="B12" s="77"/>
      <c r="C12" s="60"/>
      <c r="D12" s="78"/>
      <c r="E12" s="79"/>
      <c r="F12" s="80"/>
      <c r="G12" s="77"/>
      <c r="H12" s="78"/>
      <c r="I12" s="12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</row>
    <row r="13" spans="1:29" ht="15" x14ac:dyDescent="0.4">
      <c r="A13" s="8"/>
      <c r="B13" s="65" t="s">
        <v>45</v>
      </c>
      <c r="C13" s="66"/>
      <c r="D13" s="74"/>
      <c r="E13" s="75"/>
      <c r="F13" s="73"/>
      <c r="G13" s="81" t="s">
        <v>46</v>
      </c>
      <c r="H13" s="74"/>
      <c r="I13" s="122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</row>
    <row r="14" spans="1:29" x14ac:dyDescent="0.4">
      <c r="A14" s="8"/>
      <c r="B14" s="9"/>
      <c r="C14" s="66"/>
      <c r="D14" s="74"/>
      <c r="E14" s="75"/>
      <c r="F14" s="76"/>
      <c r="G14" s="74"/>
      <c r="H14" s="74"/>
      <c r="I14" s="122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</row>
    <row r="15" spans="1:29" x14ac:dyDescent="0.4">
      <c r="A15" s="8"/>
      <c r="B15" s="9"/>
      <c r="C15" s="71" t="s">
        <v>71</v>
      </c>
      <c r="D15" s="293" t="s">
        <v>273</v>
      </c>
      <c r="E15" s="75"/>
      <c r="F15" s="76"/>
      <c r="G15" s="71" t="s">
        <v>71</v>
      </c>
      <c r="H15" s="293" t="s">
        <v>35</v>
      </c>
      <c r="I15" s="122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</row>
    <row r="16" spans="1:29" x14ac:dyDescent="0.4">
      <c r="A16" s="8"/>
      <c r="B16" s="9"/>
      <c r="C16" s="66"/>
      <c r="D16" s="190">
        <f>+'wkly alpha'!K85</f>
        <v>683</v>
      </c>
      <c r="E16" s="75"/>
      <c r="F16" s="76"/>
      <c r="G16" s="74"/>
      <c r="H16" s="190">
        <f>+'wkly alpha'!J85</f>
        <v>490</v>
      </c>
      <c r="I16" s="122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</row>
    <row r="17" spans="1:32" x14ac:dyDescent="0.4">
      <c r="A17" s="8"/>
      <c r="B17" s="9"/>
      <c r="C17" s="66"/>
      <c r="D17" s="74"/>
      <c r="E17" s="75"/>
      <c r="F17" s="76"/>
      <c r="G17" s="74"/>
      <c r="H17" s="74"/>
      <c r="I17" s="122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</row>
    <row r="18" spans="1:32" ht="13.5" thickBot="1" x14ac:dyDescent="0.45">
      <c r="A18" s="11"/>
      <c r="B18" s="125"/>
      <c r="C18" s="126"/>
      <c r="D18" s="127"/>
      <c r="E18" s="128"/>
      <c r="F18" s="129"/>
      <c r="G18" s="127"/>
      <c r="H18" s="127"/>
      <c r="I18" s="130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</row>
    <row r="19" spans="1:32" ht="8.25" customHeight="1" thickBot="1" x14ac:dyDescent="0.45">
      <c r="A19" s="229"/>
      <c r="B19" s="230"/>
      <c r="C19" s="231"/>
      <c r="D19" s="228"/>
      <c r="E19" s="228"/>
      <c r="F19" s="228"/>
      <c r="G19" s="228"/>
      <c r="H19" s="228"/>
      <c r="I19" s="2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</row>
    <row r="20" spans="1:32" x14ac:dyDescent="0.4">
      <c r="A20" s="5"/>
      <c r="B20" s="131"/>
      <c r="C20" s="116"/>
      <c r="D20" s="132"/>
      <c r="E20" s="133"/>
      <c r="F20" s="134"/>
      <c r="G20" s="132"/>
      <c r="H20" s="132"/>
      <c r="I20" s="135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</row>
    <row r="21" spans="1:32" s="27" customFormat="1" ht="15" x14ac:dyDescent="0.4">
      <c r="A21" s="8"/>
      <c r="B21" s="65" t="s">
        <v>47</v>
      </c>
      <c r="C21" s="65"/>
      <c r="D21" s="72"/>
      <c r="E21" s="82"/>
      <c r="F21" s="83" t="s">
        <v>48</v>
      </c>
      <c r="G21" s="66"/>
      <c r="H21" s="71"/>
      <c r="I21" s="136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</row>
    <row r="22" spans="1:32" x14ac:dyDescent="0.4">
      <c r="A22" s="8"/>
      <c r="B22" s="9"/>
      <c r="C22" s="72"/>
      <c r="D22" s="84"/>
      <c r="E22" s="85"/>
      <c r="F22" s="9"/>
      <c r="G22" s="84"/>
      <c r="H22" s="84"/>
      <c r="I22" s="137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7"/>
      <c r="AE22" s="87"/>
      <c r="AF22" s="87"/>
    </row>
    <row r="23" spans="1:32" x14ac:dyDescent="0.4">
      <c r="A23" s="8"/>
      <c r="B23" s="9"/>
      <c r="C23" s="71" t="s">
        <v>72</v>
      </c>
      <c r="D23" s="293" t="s">
        <v>315</v>
      </c>
      <c r="E23" s="69"/>
      <c r="F23" s="73"/>
      <c r="G23" s="71" t="s">
        <v>71</v>
      </c>
      <c r="H23" s="293" t="s">
        <v>286</v>
      </c>
      <c r="I23" s="137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7"/>
      <c r="AE23" s="87"/>
      <c r="AF23" s="87"/>
    </row>
    <row r="24" spans="1:32" s="94" customFormat="1" x14ac:dyDescent="0.4">
      <c r="A24" s="138"/>
      <c r="B24" s="88"/>
      <c r="C24" s="89"/>
      <c r="D24" s="189">
        <v>273</v>
      </c>
      <c r="E24" s="91"/>
      <c r="F24" s="92"/>
      <c r="G24" s="90"/>
      <c r="H24" s="191">
        <v>225</v>
      </c>
      <c r="I24" s="139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</row>
    <row r="25" spans="1:32" s="94" customFormat="1" x14ac:dyDescent="0.4">
      <c r="A25" s="138"/>
      <c r="B25" s="88"/>
      <c r="C25" s="89"/>
      <c r="D25" s="90"/>
      <c r="E25" s="91"/>
      <c r="F25" s="92"/>
      <c r="G25" s="90"/>
      <c r="H25" s="90"/>
      <c r="I25" s="139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</row>
    <row r="26" spans="1:32" s="94" customFormat="1" x14ac:dyDescent="0.4">
      <c r="A26" s="138"/>
      <c r="B26" s="88"/>
      <c r="C26" s="89"/>
      <c r="D26" s="90"/>
      <c r="E26" s="91"/>
      <c r="F26" s="92"/>
      <c r="G26" s="90"/>
      <c r="H26" s="90"/>
      <c r="I26" s="139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</row>
    <row r="27" spans="1:32" x14ac:dyDescent="0.4">
      <c r="A27" s="123"/>
      <c r="B27" s="60"/>
      <c r="C27" s="60"/>
      <c r="D27" s="61"/>
      <c r="E27" s="62"/>
      <c r="F27" s="63"/>
      <c r="G27" s="61"/>
      <c r="H27" s="61"/>
      <c r="I27" s="140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</row>
    <row r="28" spans="1:32" ht="15" x14ac:dyDescent="0.4">
      <c r="A28" s="8"/>
      <c r="B28" s="65" t="s">
        <v>49</v>
      </c>
      <c r="C28" s="66"/>
      <c r="D28" s="66"/>
      <c r="E28" s="67"/>
      <c r="F28" s="83" t="s">
        <v>50</v>
      </c>
      <c r="G28" s="66"/>
      <c r="H28" s="66"/>
      <c r="I28" s="120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</row>
    <row r="29" spans="1:32" ht="15" x14ac:dyDescent="0.4">
      <c r="A29" s="8"/>
      <c r="B29" s="65"/>
      <c r="C29" s="66"/>
      <c r="D29" s="66"/>
      <c r="E29" s="67"/>
      <c r="F29" s="83"/>
      <c r="G29" s="66"/>
      <c r="H29" s="66"/>
      <c r="I29" s="120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</row>
    <row r="30" spans="1:32" ht="15" x14ac:dyDescent="0.4">
      <c r="A30" s="8"/>
      <c r="B30" s="65"/>
      <c r="C30" s="71" t="s">
        <v>71</v>
      </c>
      <c r="D30" s="293" t="s">
        <v>286</v>
      </c>
      <c r="E30" s="75"/>
      <c r="F30" s="76"/>
      <c r="G30" s="71" t="s">
        <v>72</v>
      </c>
      <c r="H30" s="293" t="s">
        <v>286</v>
      </c>
      <c r="I30" s="120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</row>
    <row r="31" spans="1:32" x14ac:dyDescent="0.4">
      <c r="A31" s="8"/>
      <c r="B31" s="9"/>
      <c r="C31" s="66"/>
      <c r="D31" s="190">
        <v>718</v>
      </c>
      <c r="E31" s="69"/>
      <c r="F31" s="70"/>
      <c r="G31" s="68"/>
      <c r="H31" s="190">
        <v>577</v>
      </c>
      <c r="I31" s="121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</row>
    <row r="32" spans="1:32" x14ac:dyDescent="0.4">
      <c r="A32" s="8"/>
      <c r="B32" s="9"/>
      <c r="C32" s="66"/>
      <c r="D32" s="68"/>
      <c r="E32" s="69"/>
      <c r="F32" s="70"/>
      <c r="G32" s="68"/>
      <c r="H32" s="68"/>
      <c r="I32" s="121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</row>
    <row r="33" spans="1:29" ht="13.5" thickBot="1" x14ac:dyDescent="0.45">
      <c r="A33" s="11"/>
      <c r="B33" s="12"/>
      <c r="C33" s="141"/>
      <c r="D33" s="127"/>
      <c r="E33" s="128"/>
      <c r="F33" s="129"/>
      <c r="G33" s="127"/>
      <c r="H33" s="127"/>
      <c r="I33" s="130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</row>
    <row r="34" spans="1:29" x14ac:dyDescent="0.4"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</row>
    <row r="35" spans="1:29" ht="17.649999999999999" x14ac:dyDescent="0.5">
      <c r="D35" s="170"/>
      <c r="E35" s="170"/>
      <c r="F35" s="170"/>
      <c r="G35" s="170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</row>
    <row r="36" spans="1:29" ht="13.5" thickBot="1" x14ac:dyDescent="0.45"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</row>
    <row r="37" spans="1:29" ht="18" thickBot="1" x14ac:dyDescent="0.55000000000000004">
      <c r="D37" s="111" t="s">
        <v>191</v>
      </c>
      <c r="E37" s="112"/>
      <c r="F37" s="113"/>
      <c r="G37" s="114">
        <f>+'wkly alpha'!J2</f>
        <v>20</v>
      </c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</row>
    <row r="38" spans="1:29" x14ac:dyDescent="0.4"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</row>
    <row r="39" spans="1:29" ht="15" x14ac:dyDescent="0.4">
      <c r="D39" s="28"/>
      <c r="E39" s="95" t="s">
        <v>51</v>
      </c>
      <c r="F39" s="269">
        <f>+'team scoring'!E33</f>
        <v>40.5</v>
      </c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</row>
    <row r="40" spans="1:29" ht="15" x14ac:dyDescent="0.4">
      <c r="D40" s="28"/>
      <c r="E40" s="95" t="s">
        <v>54</v>
      </c>
      <c r="F40" s="269">
        <f>+'team scoring'!K33</f>
        <v>37</v>
      </c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</row>
    <row r="41" spans="1:29" ht="15" x14ac:dyDescent="0.4">
      <c r="D41" s="28"/>
      <c r="E41" s="95" t="s">
        <v>53</v>
      </c>
      <c r="F41" s="269">
        <f>+'team scoring'!N33</f>
        <v>31</v>
      </c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</row>
    <row r="42" spans="1:29" ht="15" x14ac:dyDescent="0.4">
      <c r="D42" s="28"/>
      <c r="E42" s="95" t="s">
        <v>52</v>
      </c>
      <c r="F42" s="148">
        <f>+'team scoring'!H33</f>
        <v>27.5</v>
      </c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</row>
    <row r="43" spans="1:29" ht="15" x14ac:dyDescent="0.4">
      <c r="D43" s="28"/>
      <c r="F43" s="149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</row>
    <row r="44" spans="1:29" ht="15" x14ac:dyDescent="0.4">
      <c r="D44" s="28"/>
      <c r="E44" s="96" t="s">
        <v>81</v>
      </c>
      <c r="F44" s="147">
        <f>SUM(F39:F43)</f>
        <v>136</v>
      </c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</row>
    <row r="45" spans="1:29" x14ac:dyDescent="0.4"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</row>
    <row r="46" spans="1:29" x14ac:dyDescent="0.4"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</row>
    <row r="47" spans="1:29" x14ac:dyDescent="0.4"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</row>
    <row r="48" spans="1:29" x14ac:dyDescent="0.4"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</row>
    <row r="49" spans="4:29" x14ac:dyDescent="0.4"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</row>
    <row r="50" spans="4:29" x14ac:dyDescent="0.4"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</row>
    <row r="51" spans="4:29" x14ac:dyDescent="0.4"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</row>
    <row r="52" spans="4:29" x14ac:dyDescent="0.4"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</row>
    <row r="53" spans="4:29" x14ac:dyDescent="0.4"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</row>
    <row r="54" spans="4:29" x14ac:dyDescent="0.4"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</row>
    <row r="55" spans="4:29" x14ac:dyDescent="0.4"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</row>
    <row r="56" spans="4:29" x14ac:dyDescent="0.4"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</row>
    <row r="57" spans="4:29" x14ac:dyDescent="0.4"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</row>
    <row r="58" spans="4:29" x14ac:dyDescent="0.4"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</row>
    <row r="59" spans="4:29" x14ac:dyDescent="0.4"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</row>
    <row r="60" spans="4:29" x14ac:dyDescent="0.4"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</row>
    <row r="61" spans="4:29" x14ac:dyDescent="0.4"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</row>
    <row r="62" spans="4:29" x14ac:dyDescent="0.4"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</row>
    <row r="63" spans="4:29" x14ac:dyDescent="0.4"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</row>
    <row r="64" spans="4:29" x14ac:dyDescent="0.4"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</row>
    <row r="65" spans="4:29" x14ac:dyDescent="0.4"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</row>
    <row r="66" spans="4:29" x14ac:dyDescent="0.4"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</row>
    <row r="67" spans="4:29" x14ac:dyDescent="0.4"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</row>
    <row r="68" spans="4:29" x14ac:dyDescent="0.4"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</row>
    <row r="69" spans="4:29" x14ac:dyDescent="0.4"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</row>
    <row r="70" spans="4:29" x14ac:dyDescent="0.4"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</row>
    <row r="71" spans="4:29" x14ac:dyDescent="0.4"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</row>
    <row r="72" spans="4:29" x14ac:dyDescent="0.4"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</row>
    <row r="73" spans="4:29" x14ac:dyDescent="0.4"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</row>
    <row r="74" spans="4:29" x14ac:dyDescent="0.4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</row>
    <row r="75" spans="4:29" x14ac:dyDescent="0.4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</row>
    <row r="76" spans="4:29" x14ac:dyDescent="0.4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</row>
    <row r="77" spans="4:29" x14ac:dyDescent="0.4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</row>
    <row r="78" spans="4:29" x14ac:dyDescent="0.4"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</row>
    <row r="79" spans="4:29" x14ac:dyDescent="0.4"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</row>
    <row r="80" spans="4:29" x14ac:dyDescent="0.4"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</row>
    <row r="81" spans="4:29" x14ac:dyDescent="0.4"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</row>
    <row r="82" spans="4:29" x14ac:dyDescent="0.4"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</row>
    <row r="83" spans="4:29" x14ac:dyDescent="0.4"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</row>
    <row r="84" spans="4:29" x14ac:dyDescent="0.4"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</row>
    <row r="85" spans="4:29" x14ac:dyDescent="0.4"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</row>
    <row r="86" spans="4:29" x14ac:dyDescent="0.4"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</row>
    <row r="87" spans="4:29" x14ac:dyDescent="0.4"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</row>
    <row r="88" spans="4:29" x14ac:dyDescent="0.4"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</row>
    <row r="89" spans="4:29" x14ac:dyDescent="0.4"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</row>
    <row r="90" spans="4:29" x14ac:dyDescent="0.4"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</row>
    <row r="91" spans="4:29" x14ac:dyDescent="0.4"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</row>
    <row r="92" spans="4:29" x14ac:dyDescent="0.4"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</row>
    <row r="93" spans="4:29" x14ac:dyDescent="0.4"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</row>
    <row r="94" spans="4:29" x14ac:dyDescent="0.4"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</row>
    <row r="95" spans="4:29" x14ac:dyDescent="0.4"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</row>
    <row r="96" spans="4:29" x14ac:dyDescent="0.4"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</row>
    <row r="97" spans="4:29" x14ac:dyDescent="0.4"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</row>
    <row r="98" spans="4:29" x14ac:dyDescent="0.4"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</row>
    <row r="99" spans="4:29" x14ac:dyDescent="0.4"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</row>
    <row r="100" spans="4:29" x14ac:dyDescent="0.4"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</row>
    <row r="101" spans="4:29" x14ac:dyDescent="0.4"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</row>
    <row r="102" spans="4:29" x14ac:dyDescent="0.4"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</row>
    <row r="103" spans="4:29" x14ac:dyDescent="0.4"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</row>
    <row r="104" spans="4:29" x14ac:dyDescent="0.4"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</row>
    <row r="105" spans="4:29" x14ac:dyDescent="0.4"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</row>
    <row r="106" spans="4:29" x14ac:dyDescent="0.4"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</row>
    <row r="107" spans="4:29" x14ac:dyDescent="0.4"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</row>
    <row r="108" spans="4:29" x14ac:dyDescent="0.4"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</row>
    <row r="109" spans="4:29" x14ac:dyDescent="0.4"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</row>
    <row r="110" spans="4:29" x14ac:dyDescent="0.4"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</row>
    <row r="111" spans="4:29" x14ac:dyDescent="0.4"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</row>
    <row r="112" spans="4:29" x14ac:dyDescent="0.4"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</row>
    <row r="113" spans="4:29" x14ac:dyDescent="0.4"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</row>
    <row r="114" spans="4:29" x14ac:dyDescent="0.4"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</row>
    <row r="115" spans="4:29" x14ac:dyDescent="0.4"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</row>
    <row r="116" spans="4:29" x14ac:dyDescent="0.4"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</row>
    <row r="117" spans="4:29" x14ac:dyDescent="0.4"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</row>
    <row r="118" spans="4:29" x14ac:dyDescent="0.4"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</row>
    <row r="119" spans="4:29" x14ac:dyDescent="0.4"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</row>
    <row r="120" spans="4:29" x14ac:dyDescent="0.4"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</row>
    <row r="121" spans="4:29" x14ac:dyDescent="0.4"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</row>
    <row r="122" spans="4:29" x14ac:dyDescent="0.4"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</row>
    <row r="123" spans="4:29" x14ac:dyDescent="0.4"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</row>
    <row r="124" spans="4:29" x14ac:dyDescent="0.4"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</row>
    <row r="125" spans="4:29" x14ac:dyDescent="0.4"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</row>
    <row r="126" spans="4:29" x14ac:dyDescent="0.4"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</row>
    <row r="127" spans="4:29" x14ac:dyDescent="0.4"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</row>
    <row r="128" spans="4:29" x14ac:dyDescent="0.4"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</row>
    <row r="129" spans="4:29" x14ac:dyDescent="0.4"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</row>
    <row r="130" spans="4:29" x14ac:dyDescent="0.4"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</row>
    <row r="131" spans="4:29" x14ac:dyDescent="0.4"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</row>
    <row r="132" spans="4:29" x14ac:dyDescent="0.4"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</row>
    <row r="133" spans="4:29" x14ac:dyDescent="0.4"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</row>
    <row r="134" spans="4:29" x14ac:dyDescent="0.4"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</row>
    <row r="135" spans="4:29" x14ac:dyDescent="0.4"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</row>
    <row r="136" spans="4:29" x14ac:dyDescent="0.4"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</row>
    <row r="137" spans="4:29" x14ac:dyDescent="0.4"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</row>
    <row r="138" spans="4:29" x14ac:dyDescent="0.4"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</row>
    <row r="139" spans="4:29" x14ac:dyDescent="0.4"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</row>
    <row r="140" spans="4:29" x14ac:dyDescent="0.4"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</row>
    <row r="141" spans="4:29" x14ac:dyDescent="0.4"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</row>
    <row r="142" spans="4:29" x14ac:dyDescent="0.4"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</row>
    <row r="143" spans="4:29" x14ac:dyDescent="0.4"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</row>
    <row r="144" spans="4:29" x14ac:dyDescent="0.4"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</row>
    <row r="145" spans="4:29" x14ac:dyDescent="0.4"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</row>
    <row r="146" spans="4:29" x14ac:dyDescent="0.4"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</row>
    <row r="147" spans="4:29" x14ac:dyDescent="0.4"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</row>
    <row r="148" spans="4:29" x14ac:dyDescent="0.4"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</row>
    <row r="149" spans="4:29" x14ac:dyDescent="0.4"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</row>
    <row r="150" spans="4:29" x14ac:dyDescent="0.4"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</row>
    <row r="151" spans="4:29" x14ac:dyDescent="0.4"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</row>
    <row r="152" spans="4:29" x14ac:dyDescent="0.4"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</row>
    <row r="153" spans="4:29" x14ac:dyDescent="0.4"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</row>
    <row r="154" spans="4:29" x14ac:dyDescent="0.4"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</row>
    <row r="155" spans="4:29" x14ac:dyDescent="0.4"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</row>
    <row r="156" spans="4:29" x14ac:dyDescent="0.4"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</row>
    <row r="157" spans="4:29" x14ac:dyDescent="0.4"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</row>
    <row r="158" spans="4:29" x14ac:dyDescent="0.4"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</row>
    <row r="159" spans="4:29" x14ac:dyDescent="0.4"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</row>
    <row r="160" spans="4:29" x14ac:dyDescent="0.4"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</row>
    <row r="161" spans="4:29" x14ac:dyDescent="0.4"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</row>
    <row r="162" spans="4:29" x14ac:dyDescent="0.4"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</row>
    <row r="163" spans="4:29" x14ac:dyDescent="0.4"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</row>
    <row r="164" spans="4:29" x14ac:dyDescent="0.4"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</row>
    <row r="165" spans="4:29" x14ac:dyDescent="0.4"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</row>
    <row r="166" spans="4:29" x14ac:dyDescent="0.4"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</row>
    <row r="167" spans="4:29" x14ac:dyDescent="0.4"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</row>
    <row r="168" spans="4:29" x14ac:dyDescent="0.4"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</row>
    <row r="169" spans="4:29" x14ac:dyDescent="0.4"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</row>
    <row r="170" spans="4:29" x14ac:dyDescent="0.4"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</row>
    <row r="171" spans="4:29" x14ac:dyDescent="0.4"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</row>
    <row r="172" spans="4:29" x14ac:dyDescent="0.4"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</row>
    <row r="173" spans="4:29" x14ac:dyDescent="0.4"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</row>
    <row r="174" spans="4:29" x14ac:dyDescent="0.4"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</row>
    <row r="175" spans="4:29" x14ac:dyDescent="0.4"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</row>
    <row r="176" spans="4:29" x14ac:dyDescent="0.4"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</row>
    <row r="177" spans="4:29" x14ac:dyDescent="0.4"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</row>
    <row r="178" spans="4:29" x14ac:dyDescent="0.4"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</row>
    <row r="179" spans="4:29" x14ac:dyDescent="0.4"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</row>
    <row r="180" spans="4:29" x14ac:dyDescent="0.4"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</row>
    <row r="181" spans="4:29" x14ac:dyDescent="0.4"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</row>
    <row r="182" spans="4:29" x14ac:dyDescent="0.4"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</row>
    <row r="183" spans="4:29" x14ac:dyDescent="0.4"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</row>
    <row r="184" spans="4:29" x14ac:dyDescent="0.4"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</row>
    <row r="185" spans="4:29" x14ac:dyDescent="0.4"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</row>
    <row r="186" spans="4:29" x14ac:dyDescent="0.4"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</row>
    <row r="187" spans="4:29" x14ac:dyDescent="0.4"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</row>
    <row r="188" spans="4:29" x14ac:dyDescent="0.4"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</row>
    <row r="189" spans="4:29" x14ac:dyDescent="0.4"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</row>
    <row r="190" spans="4:29" x14ac:dyDescent="0.4"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</row>
    <row r="191" spans="4:29" x14ac:dyDescent="0.4"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</row>
    <row r="192" spans="4:29" x14ac:dyDescent="0.4"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</row>
    <row r="193" spans="4:29" x14ac:dyDescent="0.4"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</row>
    <row r="194" spans="4:29" x14ac:dyDescent="0.4"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</row>
    <row r="195" spans="4:29" x14ac:dyDescent="0.4"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</row>
    <row r="196" spans="4:29" x14ac:dyDescent="0.4"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</row>
    <row r="197" spans="4:29" x14ac:dyDescent="0.4"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</row>
    <row r="198" spans="4:29" x14ac:dyDescent="0.4"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</row>
    <row r="199" spans="4:29" x14ac:dyDescent="0.4"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</row>
    <row r="200" spans="4:29" x14ac:dyDescent="0.4"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</row>
    <row r="201" spans="4:29" x14ac:dyDescent="0.4"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</row>
    <row r="202" spans="4:29" x14ac:dyDescent="0.4"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</row>
    <row r="203" spans="4:29" x14ac:dyDescent="0.4"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</row>
    <row r="204" spans="4:29" x14ac:dyDescent="0.4"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</row>
    <row r="205" spans="4:29" x14ac:dyDescent="0.4"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</row>
    <row r="206" spans="4:29" x14ac:dyDescent="0.4"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</row>
    <row r="207" spans="4:29" x14ac:dyDescent="0.4"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</row>
    <row r="208" spans="4:29" x14ac:dyDescent="0.4"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</row>
    <row r="209" spans="4:29" x14ac:dyDescent="0.4"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</row>
    <row r="210" spans="4:29" x14ac:dyDescent="0.4"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</row>
    <row r="211" spans="4:29" x14ac:dyDescent="0.4"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</row>
    <row r="212" spans="4:29" x14ac:dyDescent="0.4"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</row>
    <row r="213" spans="4:29" x14ac:dyDescent="0.4"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</row>
    <row r="214" spans="4:29" x14ac:dyDescent="0.4"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</row>
    <row r="215" spans="4:29" x14ac:dyDescent="0.4"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</row>
    <row r="216" spans="4:29" x14ac:dyDescent="0.4"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</row>
    <row r="217" spans="4:29" x14ac:dyDescent="0.4"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</row>
    <row r="218" spans="4:29" x14ac:dyDescent="0.4"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</row>
    <row r="219" spans="4:29" x14ac:dyDescent="0.4"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</row>
    <row r="220" spans="4:29" x14ac:dyDescent="0.4"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</row>
    <row r="221" spans="4:29" x14ac:dyDescent="0.4"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</row>
    <row r="222" spans="4:29" x14ac:dyDescent="0.4"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</row>
    <row r="223" spans="4:29" x14ac:dyDescent="0.4"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</row>
    <row r="224" spans="4:29" x14ac:dyDescent="0.4"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</row>
    <row r="225" spans="4:29" x14ac:dyDescent="0.4"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</row>
    <row r="226" spans="4:29" x14ac:dyDescent="0.4"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</row>
    <row r="227" spans="4:29" x14ac:dyDescent="0.4"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</row>
    <row r="228" spans="4:29" x14ac:dyDescent="0.4"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</row>
    <row r="229" spans="4:29" x14ac:dyDescent="0.4"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</row>
    <row r="230" spans="4:29" x14ac:dyDescent="0.4"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</row>
    <row r="231" spans="4:29" x14ac:dyDescent="0.4"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</row>
    <row r="232" spans="4:29" x14ac:dyDescent="0.4"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</row>
    <row r="233" spans="4:29" x14ac:dyDescent="0.4"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</row>
    <row r="234" spans="4:29" x14ac:dyDescent="0.4"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</row>
    <row r="235" spans="4:29" x14ac:dyDescent="0.4"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</row>
    <row r="236" spans="4:29" x14ac:dyDescent="0.4"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</row>
    <row r="237" spans="4:29" x14ac:dyDescent="0.4"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</row>
    <row r="238" spans="4:29" x14ac:dyDescent="0.4"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</row>
    <row r="239" spans="4:29" x14ac:dyDescent="0.4"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</row>
    <row r="240" spans="4:29" x14ac:dyDescent="0.4"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</row>
    <row r="241" spans="4:29" x14ac:dyDescent="0.4"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</row>
    <row r="242" spans="4:29" x14ac:dyDescent="0.4"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</row>
    <row r="243" spans="4:29" x14ac:dyDescent="0.4"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</row>
    <row r="244" spans="4:29" x14ac:dyDescent="0.4"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</row>
    <row r="245" spans="4:29" x14ac:dyDescent="0.4"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</row>
    <row r="246" spans="4:29" x14ac:dyDescent="0.4"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</row>
    <row r="247" spans="4:29" x14ac:dyDescent="0.4"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</row>
    <row r="248" spans="4:29" x14ac:dyDescent="0.4"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</row>
    <row r="249" spans="4:29" x14ac:dyDescent="0.4"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</row>
    <row r="250" spans="4:29" x14ac:dyDescent="0.4"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</row>
    <row r="251" spans="4:29" x14ac:dyDescent="0.4"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</row>
    <row r="252" spans="4:29" x14ac:dyDescent="0.4"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</row>
    <row r="253" spans="4:29" x14ac:dyDescent="0.4"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</row>
    <row r="254" spans="4:29" x14ac:dyDescent="0.4"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</row>
    <row r="255" spans="4:29" x14ac:dyDescent="0.4"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</row>
    <row r="256" spans="4:29" x14ac:dyDescent="0.4"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</row>
    <row r="257" spans="4:29" x14ac:dyDescent="0.4"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</row>
    <row r="258" spans="4:29" x14ac:dyDescent="0.4"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</row>
    <row r="259" spans="4:29" x14ac:dyDescent="0.4"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</row>
    <row r="260" spans="4:29" x14ac:dyDescent="0.4"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</row>
    <row r="261" spans="4:29" x14ac:dyDescent="0.4"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</row>
    <row r="262" spans="4:29" x14ac:dyDescent="0.4"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</row>
    <row r="263" spans="4:29" x14ac:dyDescent="0.4"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</row>
    <row r="264" spans="4:29" x14ac:dyDescent="0.4"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</row>
    <row r="265" spans="4:29" x14ac:dyDescent="0.4"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</row>
    <row r="266" spans="4:29" x14ac:dyDescent="0.4"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</row>
    <row r="267" spans="4:29" x14ac:dyDescent="0.4"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</row>
    <row r="268" spans="4:29" x14ac:dyDescent="0.4"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</row>
    <row r="269" spans="4:29" x14ac:dyDescent="0.4"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</row>
    <row r="270" spans="4:29" x14ac:dyDescent="0.4"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</row>
    <row r="271" spans="4:29" x14ac:dyDescent="0.4"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</row>
    <row r="272" spans="4:29" x14ac:dyDescent="0.4"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</row>
    <row r="273" spans="4:29" x14ac:dyDescent="0.4"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</row>
    <row r="274" spans="4:29" x14ac:dyDescent="0.4"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</row>
    <row r="275" spans="4:29" x14ac:dyDescent="0.4"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</row>
    <row r="276" spans="4:29" x14ac:dyDescent="0.4"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</row>
    <row r="277" spans="4:29" x14ac:dyDescent="0.4"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</row>
    <row r="278" spans="4:29" x14ac:dyDescent="0.4"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</row>
    <row r="279" spans="4:29" x14ac:dyDescent="0.4"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</row>
    <row r="280" spans="4:29" x14ac:dyDescent="0.4"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</row>
    <row r="281" spans="4:29" x14ac:dyDescent="0.4"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</row>
    <row r="282" spans="4:29" x14ac:dyDescent="0.4"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</row>
    <row r="283" spans="4:29" x14ac:dyDescent="0.4"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</row>
    <row r="284" spans="4:29" x14ac:dyDescent="0.4"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</row>
    <row r="285" spans="4:29" x14ac:dyDescent="0.4"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</row>
    <row r="286" spans="4:29" x14ac:dyDescent="0.4"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</row>
    <row r="287" spans="4:29" x14ac:dyDescent="0.4"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</row>
    <row r="288" spans="4:29" x14ac:dyDescent="0.4"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</row>
    <row r="289" spans="4:29" x14ac:dyDescent="0.4"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</row>
    <row r="290" spans="4:29" x14ac:dyDescent="0.4"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</row>
    <row r="291" spans="4:29" x14ac:dyDescent="0.4"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</row>
    <row r="292" spans="4:29" x14ac:dyDescent="0.4"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</row>
    <row r="293" spans="4:29" x14ac:dyDescent="0.4"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</row>
    <row r="294" spans="4:29" x14ac:dyDescent="0.4"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</row>
    <row r="295" spans="4:29" x14ac:dyDescent="0.4"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</row>
    <row r="296" spans="4:29" x14ac:dyDescent="0.4"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</row>
    <row r="297" spans="4:29" x14ac:dyDescent="0.4"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</row>
    <row r="298" spans="4:29" x14ac:dyDescent="0.4"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</row>
    <row r="299" spans="4:29" x14ac:dyDescent="0.4"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</row>
    <row r="300" spans="4:29" x14ac:dyDescent="0.4"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</row>
    <row r="301" spans="4:29" x14ac:dyDescent="0.4"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</row>
    <row r="302" spans="4:29" x14ac:dyDescent="0.4"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</row>
    <row r="303" spans="4:29" x14ac:dyDescent="0.4"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</row>
    <row r="304" spans="4:29" x14ac:dyDescent="0.4"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</row>
    <row r="305" spans="4:29" x14ac:dyDescent="0.4"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</row>
    <row r="306" spans="4:29" x14ac:dyDescent="0.4"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</row>
    <row r="307" spans="4:29" x14ac:dyDescent="0.4"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</row>
    <row r="308" spans="4:29" x14ac:dyDescent="0.4"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</row>
    <row r="309" spans="4:29" x14ac:dyDescent="0.4"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</row>
    <row r="310" spans="4:29" x14ac:dyDescent="0.4"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</row>
    <row r="311" spans="4:29" x14ac:dyDescent="0.4"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</row>
    <row r="312" spans="4:29" x14ac:dyDescent="0.4"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</row>
    <row r="313" spans="4:29" x14ac:dyDescent="0.4"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</row>
    <row r="314" spans="4:29" x14ac:dyDescent="0.4"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</row>
    <row r="315" spans="4:29" x14ac:dyDescent="0.4"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</row>
    <row r="316" spans="4:29" x14ac:dyDescent="0.4"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</row>
    <row r="317" spans="4:29" x14ac:dyDescent="0.4"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</row>
    <row r="318" spans="4:29" x14ac:dyDescent="0.4"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</row>
    <row r="319" spans="4:29" x14ac:dyDescent="0.4"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</row>
    <row r="320" spans="4:29" x14ac:dyDescent="0.4"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</row>
    <row r="321" spans="4:29" x14ac:dyDescent="0.4"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</row>
    <row r="322" spans="4:29" x14ac:dyDescent="0.4"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</row>
    <row r="323" spans="4:29" x14ac:dyDescent="0.4"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</row>
    <row r="324" spans="4:29" x14ac:dyDescent="0.4"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</row>
    <row r="325" spans="4:29" x14ac:dyDescent="0.4"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</row>
    <row r="326" spans="4:29" x14ac:dyDescent="0.4"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</row>
    <row r="327" spans="4:29" x14ac:dyDescent="0.4"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</row>
    <row r="328" spans="4:29" x14ac:dyDescent="0.4"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</row>
    <row r="329" spans="4:29" x14ac:dyDescent="0.4"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</row>
    <row r="330" spans="4:29" x14ac:dyDescent="0.4"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</row>
    <row r="331" spans="4:29" x14ac:dyDescent="0.4"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</row>
    <row r="332" spans="4:29" x14ac:dyDescent="0.4"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</row>
    <row r="333" spans="4:29" x14ac:dyDescent="0.4"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</row>
    <row r="334" spans="4:29" x14ac:dyDescent="0.4"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</row>
    <row r="335" spans="4:29" x14ac:dyDescent="0.4"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</row>
    <row r="336" spans="4:29" x14ac:dyDescent="0.4"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</row>
    <row r="337" spans="4:29" x14ac:dyDescent="0.4"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</row>
    <row r="338" spans="4:29" x14ac:dyDescent="0.4"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</row>
    <row r="339" spans="4:29" x14ac:dyDescent="0.4"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</row>
    <row r="340" spans="4:29" x14ac:dyDescent="0.4"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</row>
    <row r="341" spans="4:29" x14ac:dyDescent="0.4"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</row>
    <row r="342" spans="4:29" x14ac:dyDescent="0.4"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</row>
    <row r="343" spans="4:29" x14ac:dyDescent="0.4"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</row>
    <row r="344" spans="4:29" x14ac:dyDescent="0.4"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</row>
    <row r="345" spans="4:29" x14ac:dyDescent="0.4"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</row>
    <row r="346" spans="4:29" x14ac:dyDescent="0.4"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</row>
    <row r="347" spans="4:29" x14ac:dyDescent="0.4"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</row>
    <row r="348" spans="4:29" x14ac:dyDescent="0.4"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</row>
    <row r="349" spans="4:29" x14ac:dyDescent="0.4"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</row>
    <row r="350" spans="4:29" x14ac:dyDescent="0.4"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</row>
    <row r="351" spans="4:29" x14ac:dyDescent="0.4"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</row>
    <row r="352" spans="4:29" x14ac:dyDescent="0.4"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</row>
    <row r="353" spans="4:29" x14ac:dyDescent="0.4"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</row>
    <row r="354" spans="4:29" x14ac:dyDescent="0.4"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</row>
    <row r="355" spans="4:29" x14ac:dyDescent="0.4"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</row>
    <row r="356" spans="4:29" x14ac:dyDescent="0.4"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</row>
    <row r="357" spans="4:29" x14ac:dyDescent="0.4"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</row>
    <row r="358" spans="4:29" x14ac:dyDescent="0.4"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</row>
    <row r="359" spans="4:29" x14ac:dyDescent="0.4"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</row>
    <row r="360" spans="4:29" x14ac:dyDescent="0.4"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</row>
    <row r="361" spans="4:29" x14ac:dyDescent="0.4"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</row>
    <row r="362" spans="4:29" x14ac:dyDescent="0.4"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</row>
    <row r="363" spans="4:29" x14ac:dyDescent="0.4"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</row>
    <row r="364" spans="4:29" x14ac:dyDescent="0.4"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</row>
    <row r="365" spans="4:29" x14ac:dyDescent="0.4"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</row>
    <row r="366" spans="4:29" x14ac:dyDescent="0.4"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</row>
    <row r="367" spans="4:29" x14ac:dyDescent="0.4"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</row>
    <row r="368" spans="4:29" x14ac:dyDescent="0.4"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</row>
    <row r="369" spans="4:29" x14ac:dyDescent="0.4"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</row>
    <row r="370" spans="4:29" x14ac:dyDescent="0.4"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</row>
    <row r="371" spans="4:29" x14ac:dyDescent="0.4"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</row>
    <row r="372" spans="4:29" x14ac:dyDescent="0.4"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</row>
    <row r="373" spans="4:29" x14ac:dyDescent="0.4"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</row>
    <row r="374" spans="4:29" x14ac:dyDescent="0.4"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</row>
    <row r="375" spans="4:29" x14ac:dyDescent="0.4"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</row>
    <row r="376" spans="4:29" x14ac:dyDescent="0.4"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</row>
    <row r="377" spans="4:29" x14ac:dyDescent="0.4"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</row>
  </sheetData>
  <sortState ref="E39:F42">
    <sortCondition descending="1" ref="F39:F42"/>
    <sortCondition ref="E39:E42"/>
  </sortState>
  <phoneticPr fontId="0" type="noConversion"/>
  <pageMargins left="0.69" right="0.75" top="1" bottom="1" header="0.5" footer="0.5"/>
  <pageSetup orientation="portrait" r:id="rId1"/>
  <headerFooter alignWithMargins="0">
    <oddFooter>&amp;L&amp;F=&amp;A&amp;C&amp;D</oddFooter>
  </headerFooter>
  <drawing r:id="rId2"/>
  <legacyDrawing r:id="rId3"/>
  <oleObjects>
    <mc:AlternateContent xmlns:mc="http://schemas.openxmlformats.org/markup-compatibility/2006">
      <mc:Choice Requires="x14">
        <oleObject progId="MS_ClipArt_Gallery" shapeId="1025" r:id="rId4">
          <objectPr defaultSize="0" autoLine="0" autoPict="0" r:id="rId5">
            <anchor moveWithCells="1">
              <from>
                <xdr:col>1</xdr:col>
                <xdr:colOff>0</xdr:colOff>
                <xdr:row>35</xdr:row>
                <xdr:rowOff>85725</xdr:rowOff>
              </from>
              <to>
                <xdr:col>2</xdr:col>
                <xdr:colOff>561975</xdr:colOff>
                <xdr:row>42</xdr:row>
                <xdr:rowOff>85725</xdr:rowOff>
              </to>
            </anchor>
          </objectPr>
        </oleObject>
      </mc:Choice>
      <mc:Fallback>
        <oleObject progId="MS_ClipArt_Gallery" shapeId="1025" r:id="rId4"/>
      </mc:Fallback>
    </mc:AlternateContent>
    <mc:AlternateContent xmlns:mc="http://schemas.openxmlformats.org/markup-compatibility/2006">
      <mc:Choice Requires="x14">
        <oleObject progId="MS_ClipArt_Gallery" shapeId="1026" r:id="rId6">
          <objectPr defaultSize="0" autoLine="0" autoPict="0" r:id="rId5">
            <anchor moveWithCells="1">
              <from>
                <xdr:col>7</xdr:col>
                <xdr:colOff>23813</xdr:colOff>
                <xdr:row>35</xdr:row>
                <xdr:rowOff>85725</xdr:rowOff>
              </from>
              <to>
                <xdr:col>8</xdr:col>
                <xdr:colOff>257175</xdr:colOff>
                <xdr:row>42</xdr:row>
                <xdr:rowOff>85725</xdr:rowOff>
              </to>
            </anchor>
          </objectPr>
        </oleObject>
      </mc:Choice>
      <mc:Fallback>
        <oleObject progId="MS_ClipArt_Gallery" shapeId="1026" r:id="rId6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M58"/>
  <sheetViews>
    <sheetView zoomScale="90" zoomScaleNormal="90" workbookViewId="0">
      <pane ySplit="7695" topLeftCell="A53"/>
      <selection activeCell="A8" sqref="A8"/>
      <selection pane="bottomLeft" activeCell="V52" sqref="V52"/>
    </sheetView>
  </sheetViews>
  <sheetFormatPr defaultRowHeight="12.75" x14ac:dyDescent="0.35"/>
  <cols>
    <col min="1" max="1" width="10.33203125" customWidth="1"/>
    <col min="3" max="4" width="9.1328125" style="152"/>
    <col min="5" max="5" width="9.1328125" style="20"/>
    <col min="6" max="7" width="9.1328125" style="152"/>
    <col min="8" max="8" width="9.1328125" style="19"/>
    <col min="9" max="9" width="10.33203125" style="19" bestFit="1" customWidth="1"/>
    <col min="10" max="10" width="9.1328125" style="19"/>
    <col min="11" max="11" width="10.86328125" customWidth="1"/>
  </cols>
  <sheetData>
    <row r="1" spans="1:11" ht="13.15" x14ac:dyDescent="0.4">
      <c r="A1" s="1" t="s">
        <v>0</v>
      </c>
      <c r="H1" s="153"/>
      <c r="I1" s="150">
        <f>+'wkly alpha'!J1</f>
        <v>42802</v>
      </c>
    </row>
    <row r="2" spans="1:11" ht="13.5" thickBot="1" x14ac:dyDescent="0.45">
      <c r="A2" s="1" t="str">
        <f>Season</f>
        <v>2016/2017 Season</v>
      </c>
      <c r="H2" s="105" t="s">
        <v>169</v>
      </c>
      <c r="I2" s="106">
        <v>1</v>
      </c>
    </row>
    <row r="3" spans="1:11" ht="13.15" x14ac:dyDescent="0.4">
      <c r="A3" s="1" t="s">
        <v>36</v>
      </c>
    </row>
    <row r="6" spans="1:11" ht="13.15" x14ac:dyDescent="0.4">
      <c r="D6" s="160" t="s">
        <v>168</v>
      </c>
      <c r="E6" s="161"/>
      <c r="F6" s="162"/>
      <c r="G6" s="163"/>
    </row>
    <row r="7" spans="1:11" ht="51" customHeight="1" x14ac:dyDescent="0.4">
      <c r="A7" s="21" t="s">
        <v>2</v>
      </c>
      <c r="B7" s="21" t="s">
        <v>3</v>
      </c>
      <c r="C7" s="100" t="s">
        <v>39</v>
      </c>
      <c r="D7" s="103" t="s">
        <v>44</v>
      </c>
      <c r="E7" s="103" t="s">
        <v>167</v>
      </c>
      <c r="F7" s="103" t="s">
        <v>46</v>
      </c>
      <c r="G7" s="103" t="s">
        <v>170</v>
      </c>
      <c r="K7" s="24"/>
    </row>
    <row r="8" spans="1:11" x14ac:dyDescent="0.35">
      <c r="A8" t="e">
        <f>+#REF!</f>
        <v>#REF!</v>
      </c>
      <c r="B8" s="28">
        <v>3</v>
      </c>
      <c r="C8" s="101" t="e">
        <f>HLOOKUP($I$2,[0]!week,C$55)</f>
        <v>#REF!</v>
      </c>
      <c r="D8" s="101" t="e">
        <f>HLOOKUP($I$2,[0]!week,D$55)</f>
        <v>#REF!</v>
      </c>
      <c r="E8" s="101" t="e">
        <f>HLOOKUP($I$2,[0]!week,E$55)</f>
        <v>#REF!</v>
      </c>
      <c r="F8" s="101" t="e">
        <f>HLOOKUP($I$2,[0]!week,F$55)</f>
        <v>#REF!</v>
      </c>
      <c r="G8" s="101" t="e">
        <f>HLOOKUP($I$2,[0]!week,G$55)</f>
        <v>#REF!</v>
      </c>
      <c r="H8" s="156"/>
      <c r="I8" s="156"/>
      <c r="J8" s="156"/>
      <c r="K8" s="19"/>
    </row>
    <row r="9" spans="1:11" x14ac:dyDescent="0.35">
      <c r="A9" t="s">
        <v>23</v>
      </c>
      <c r="B9" s="28">
        <v>3</v>
      </c>
      <c r="C9" s="101">
        <f>HLOOKUP($I$2,Belyea!Week,C$56)</f>
        <v>0</v>
      </c>
      <c r="D9" s="101">
        <f>HLOOKUP($I$2,Belyea!Week,D$56)</f>
        <v>0</v>
      </c>
      <c r="E9" s="101">
        <f>HLOOKUP($I$2,Belyea!Week,E$56)</f>
        <v>59</v>
      </c>
      <c r="F9" s="101">
        <f>HLOOKUP($I$2,Belyea!Week,F$56)</f>
        <v>0</v>
      </c>
      <c r="G9" s="101">
        <f>HLOOKUP($I$2,Belyea!Week,G$56)</f>
        <v>177</v>
      </c>
      <c r="H9" s="156"/>
      <c r="I9" s="156"/>
      <c r="J9" s="156"/>
      <c r="K9" s="19"/>
    </row>
    <row r="10" spans="1:11" x14ac:dyDescent="0.35">
      <c r="A10" t="e">
        <f>+#REF!</f>
        <v>#REF!</v>
      </c>
      <c r="B10" s="28">
        <v>4</v>
      </c>
      <c r="C10" s="101" t="e">
        <f>HLOOKUP($I$2,[0]!week,C$56)</f>
        <v>#REF!</v>
      </c>
      <c r="D10" s="101" t="e">
        <f>HLOOKUP($I$2,[0]!week,D$56)</f>
        <v>#REF!</v>
      </c>
      <c r="E10" s="101" t="e">
        <f>HLOOKUP($I$2,[0]!week,E$56)</f>
        <v>#REF!</v>
      </c>
      <c r="F10" s="101" t="e">
        <f>HLOOKUP($I$2,[0]!week,F$56)</f>
        <v>#REF!</v>
      </c>
      <c r="G10" s="101" t="e">
        <f>HLOOKUP($I$2,[0]!week,G$56)</f>
        <v>#REF!</v>
      </c>
      <c r="H10" s="156"/>
      <c r="I10" s="156"/>
      <c r="J10" s="156"/>
      <c r="K10" s="19"/>
    </row>
    <row r="11" spans="1:11" x14ac:dyDescent="0.35">
      <c r="A11" t="e">
        <f>+#REF!</f>
        <v>#REF!</v>
      </c>
      <c r="B11" s="28">
        <v>4</v>
      </c>
      <c r="C11" s="101" t="e">
        <f>HLOOKUP($I$2,[0]!week,C$55)</f>
        <v>#REF!</v>
      </c>
      <c r="D11" s="101" t="e">
        <f>HLOOKUP($I$2,[0]!week,D$55)</f>
        <v>#REF!</v>
      </c>
      <c r="E11" s="101" t="e">
        <f>HLOOKUP($I$2,[0]!week,E$55)</f>
        <v>#REF!</v>
      </c>
      <c r="F11" s="101" t="e">
        <f>HLOOKUP($I$2,[0]!week,F$55)</f>
        <v>#REF!</v>
      </c>
      <c r="G11" s="101" t="e">
        <f>HLOOKUP($I$2,[0]!week,G$55)</f>
        <v>#REF!</v>
      </c>
      <c r="H11" s="156"/>
      <c r="I11" s="156"/>
      <c r="J11" s="156"/>
      <c r="K11" s="157"/>
    </row>
    <row r="12" spans="1:11" x14ac:dyDescent="0.35">
      <c r="A12" t="e">
        <f>+#REF!</f>
        <v>#REF!</v>
      </c>
      <c r="B12" s="28">
        <v>3</v>
      </c>
      <c r="C12" s="101" t="e">
        <f>HLOOKUP($I$2,[0]!week,C$55)</f>
        <v>#REF!</v>
      </c>
      <c r="D12" s="101" t="e">
        <f>HLOOKUP($I$2,[0]!week,D$55)</f>
        <v>#REF!</v>
      </c>
      <c r="E12" s="101" t="e">
        <f>HLOOKUP($I$2,[0]!week,E$55)</f>
        <v>#REF!</v>
      </c>
      <c r="F12" s="101" t="e">
        <f>HLOOKUP($I$2,[0]!week,F$55)</f>
        <v>#REF!</v>
      </c>
      <c r="G12" s="101" t="e">
        <f>HLOOKUP($I$2,[0]!week,G$55)</f>
        <v>#REF!</v>
      </c>
      <c r="H12" s="156"/>
      <c r="I12" s="156"/>
      <c r="J12" s="156"/>
      <c r="K12" s="19"/>
    </row>
    <row r="13" spans="1:11" x14ac:dyDescent="0.35">
      <c r="A13" t="s">
        <v>73</v>
      </c>
      <c r="B13" s="28">
        <v>2</v>
      </c>
      <c r="C13" s="101" t="e">
        <f>HLOOKUP($I$2,[0]!week,C$55)</f>
        <v>#REF!</v>
      </c>
      <c r="D13" s="101" t="e">
        <f>HLOOKUP($I$2,[0]!week,D$55)</f>
        <v>#REF!</v>
      </c>
      <c r="E13" s="101" t="e">
        <f>HLOOKUP($I$2,[0]!week,E$55)</f>
        <v>#REF!</v>
      </c>
      <c r="F13" s="101" t="e">
        <f>HLOOKUP($I$2,[0]!week,F$55)</f>
        <v>#REF!</v>
      </c>
      <c r="G13" s="101" t="e">
        <f>HLOOKUP($I$2,[0]!week,G$55)</f>
        <v>#REF!</v>
      </c>
      <c r="H13" s="156"/>
      <c r="I13" s="156"/>
      <c r="J13" s="156"/>
      <c r="K13" s="152"/>
    </row>
    <row r="14" spans="1:11" x14ac:dyDescent="0.35">
      <c r="A14" t="s">
        <v>74</v>
      </c>
      <c r="B14" s="28">
        <v>2</v>
      </c>
      <c r="C14" s="101" t="e">
        <f>HLOOKUP($I$2,[0]!week,C$55)</f>
        <v>#REF!</v>
      </c>
      <c r="D14" s="101" t="e">
        <f>HLOOKUP($I$2,[0]!week,D$55)</f>
        <v>#REF!</v>
      </c>
      <c r="E14" s="101" t="e">
        <f>HLOOKUP($I$2,[0]!week,E$55)</f>
        <v>#REF!</v>
      </c>
      <c r="F14" s="101" t="e">
        <f>HLOOKUP($I$2,[0]!week,F$55)</f>
        <v>#REF!</v>
      </c>
      <c r="G14" s="101" t="e">
        <f>HLOOKUP($I$2,[0]!week,G$55)</f>
        <v>#REF!</v>
      </c>
      <c r="H14" s="156"/>
      <c r="I14" s="156"/>
      <c r="J14" s="156"/>
      <c r="K14" s="144"/>
    </row>
    <row r="15" spans="1:11" x14ac:dyDescent="0.35">
      <c r="A15" t="e">
        <f>+#REF!</f>
        <v>#REF!</v>
      </c>
      <c r="B15" s="28">
        <v>4</v>
      </c>
      <c r="C15" s="101" t="e">
        <f>HLOOKUP($I$2,[0]!week,C$55)</f>
        <v>#REF!</v>
      </c>
      <c r="D15" s="101" t="e">
        <f>HLOOKUP($I$2,[0]!week,D$55)</f>
        <v>#REF!</v>
      </c>
      <c r="E15" s="101" t="e">
        <f>HLOOKUP($I$2,[0]!week,E$55)</f>
        <v>#REF!</v>
      </c>
      <c r="F15" s="101" t="e">
        <f>HLOOKUP($I$2,[0]!week,F$55)</f>
        <v>#REF!</v>
      </c>
      <c r="G15" s="101" t="e">
        <f>HLOOKUP($I$2,[0]!week,G$55)</f>
        <v>#REF!</v>
      </c>
      <c r="H15" s="156"/>
      <c r="I15" s="156"/>
      <c r="J15" s="156"/>
      <c r="K15" s="19"/>
    </row>
    <row r="16" spans="1:11" x14ac:dyDescent="0.35">
      <c r="A16" t="e">
        <f>+#REF!</f>
        <v>#REF!</v>
      </c>
      <c r="B16" s="28">
        <v>2</v>
      </c>
      <c r="C16" s="101" t="e">
        <f>HLOOKUP($I$2,[0]!week,C$55)</f>
        <v>#REF!</v>
      </c>
      <c r="D16" s="101" t="e">
        <f>HLOOKUP($I$2,[0]!week,D$55)</f>
        <v>#REF!</v>
      </c>
      <c r="E16" s="101" t="e">
        <f>HLOOKUP($I$2,[0]!week,E$55)</f>
        <v>#REF!</v>
      </c>
      <c r="F16" s="101" t="e">
        <f>HLOOKUP($I$2,[0]!week,F$55)</f>
        <v>#REF!</v>
      </c>
      <c r="G16" s="101" t="e">
        <f>HLOOKUP($I$2,[0]!week,G$55)</f>
        <v>#REF!</v>
      </c>
      <c r="H16" s="156"/>
      <c r="I16" s="156"/>
      <c r="J16" s="156"/>
      <c r="K16" s="19"/>
    </row>
    <row r="17" spans="1:13" x14ac:dyDescent="0.35">
      <c r="A17" t="e">
        <f>+#REF!</f>
        <v>#REF!</v>
      </c>
      <c r="B17" s="28">
        <v>4</v>
      </c>
      <c r="C17" s="101" t="e">
        <f>HLOOKUP($I$2,[0]!week,C$56)</f>
        <v>#REF!</v>
      </c>
      <c r="D17" s="101" t="e">
        <f>HLOOKUP($I$2,[0]!week,D$56)</f>
        <v>#REF!</v>
      </c>
      <c r="E17" s="101" t="e">
        <f>HLOOKUP($I$2,[0]!week,E$56)</f>
        <v>#REF!</v>
      </c>
      <c r="F17" s="101" t="e">
        <f>HLOOKUP($I$2,[0]!week,F$56)</f>
        <v>#REF!</v>
      </c>
      <c r="G17" s="101" t="e">
        <f>HLOOKUP($I$2,[0]!week,G$56)</f>
        <v>#REF!</v>
      </c>
      <c r="H17" s="156"/>
      <c r="I17" s="156"/>
      <c r="J17" s="156"/>
      <c r="K17" s="19"/>
    </row>
    <row r="18" spans="1:13" x14ac:dyDescent="0.35">
      <c r="A18" t="e">
        <f>+#REF!</f>
        <v>#REF!</v>
      </c>
      <c r="B18" s="28">
        <v>4</v>
      </c>
      <c r="C18" s="101" t="e">
        <f>HLOOKUP($I$2,[0]!week,C$56)</f>
        <v>#REF!</v>
      </c>
      <c r="D18" s="101" t="e">
        <f>HLOOKUP($I$2,[0]!week,D$56)</f>
        <v>#REF!</v>
      </c>
      <c r="E18" s="101" t="e">
        <f>HLOOKUP($I$2,[0]!week,E$56)</f>
        <v>#REF!</v>
      </c>
      <c r="F18" s="101" t="e">
        <f>HLOOKUP($I$2,[0]!week,F$56)</f>
        <v>#REF!</v>
      </c>
      <c r="G18" s="101" t="e">
        <f>HLOOKUP($I$2,[0]!week,G$56)</f>
        <v>#REF!</v>
      </c>
      <c r="H18" s="156"/>
      <c r="I18" s="156"/>
      <c r="J18" s="156"/>
      <c r="K18" s="19"/>
      <c r="M18" s="9"/>
    </row>
    <row r="19" spans="1:13" x14ac:dyDescent="0.35">
      <c r="A19" t="s">
        <v>60</v>
      </c>
      <c r="B19" s="28">
        <v>4</v>
      </c>
      <c r="C19" s="101" t="e">
        <f>HLOOKUP($I$2,[0]!week,C$55)</f>
        <v>#REF!</v>
      </c>
      <c r="D19" s="101" t="e">
        <f>HLOOKUP($I$2,[0]!week,D$55)</f>
        <v>#REF!</v>
      </c>
      <c r="E19" s="101" t="e">
        <f>HLOOKUP($I$2,[0]!week,E$55)</f>
        <v>#REF!</v>
      </c>
      <c r="F19" s="101" t="e">
        <f>HLOOKUP($I$2,[0]!week,F$55)</f>
        <v>#REF!</v>
      </c>
      <c r="G19" s="101" t="e">
        <f>HLOOKUP($I$2,[0]!week,G$55)</f>
        <v>#REF!</v>
      </c>
      <c r="H19" s="156"/>
      <c r="I19" s="156"/>
      <c r="J19" s="156"/>
      <c r="K19" s="19"/>
    </row>
    <row r="20" spans="1:13" x14ac:dyDescent="0.35">
      <c r="A20" t="e">
        <f>+#REF!</f>
        <v>#REF!</v>
      </c>
      <c r="B20" s="28">
        <v>1</v>
      </c>
      <c r="C20" s="101" t="e">
        <f>HLOOKUP($I$2,[0]!week,C$55)</f>
        <v>#REF!</v>
      </c>
      <c r="D20" s="101" t="e">
        <f>HLOOKUP($I$2,[0]!week,D$55)</f>
        <v>#REF!</v>
      </c>
      <c r="E20" s="101" t="e">
        <f>HLOOKUP($I$2,[0]!week,E$55)</f>
        <v>#REF!</v>
      </c>
      <c r="F20" s="101" t="e">
        <f>HLOOKUP($I$2,[0]!week,F$55)</f>
        <v>#REF!</v>
      </c>
      <c r="G20" s="101" t="e">
        <f>HLOOKUP($I$2,[0]!week,G$55)</f>
        <v>#REF!</v>
      </c>
      <c r="H20" s="156"/>
      <c r="I20" s="156"/>
      <c r="J20" s="156"/>
      <c r="K20" s="19"/>
    </row>
    <row r="21" spans="1:13" x14ac:dyDescent="0.35">
      <c r="A21" t="e">
        <f>+#REF!</f>
        <v>#REF!</v>
      </c>
      <c r="B21" s="28">
        <v>1</v>
      </c>
      <c r="C21" s="101" t="e">
        <f>HLOOKUP($I$2,[0]!week,C$55)</f>
        <v>#REF!</v>
      </c>
      <c r="D21" s="101" t="e">
        <f>HLOOKUP($I$2,[0]!week,D$55)</f>
        <v>#REF!</v>
      </c>
      <c r="E21" s="101" t="e">
        <f>HLOOKUP($I$2,[0]!week,E$55)</f>
        <v>#REF!</v>
      </c>
      <c r="F21" s="101" t="e">
        <f>HLOOKUP($I$2,[0]!week,F$55)</f>
        <v>#REF!</v>
      </c>
      <c r="G21" s="101" t="e">
        <f>HLOOKUP($I$2,[0]!week,G$55)</f>
        <v>#REF!</v>
      </c>
      <c r="H21" s="156"/>
      <c r="I21" s="156"/>
      <c r="J21" s="156"/>
      <c r="K21" s="19"/>
    </row>
    <row r="22" spans="1:13" x14ac:dyDescent="0.35">
      <c r="A22" t="s">
        <v>58</v>
      </c>
      <c r="B22" s="28">
        <v>2</v>
      </c>
      <c r="C22" s="101" t="e">
        <f>HLOOKUP($I$2,[0]!week,C$55)</f>
        <v>#REF!</v>
      </c>
      <c r="D22" s="101" t="e">
        <f>HLOOKUP($I$2,[0]!week,D$55)</f>
        <v>#REF!</v>
      </c>
      <c r="E22" s="101" t="e">
        <f>HLOOKUP($I$2,[0]!week,E$55)</f>
        <v>#REF!</v>
      </c>
      <c r="F22" s="101" t="e">
        <f>HLOOKUP($I$2,[0]!week,F$55)</f>
        <v>#REF!</v>
      </c>
      <c r="G22" s="101" t="e">
        <f>HLOOKUP($I$2,[0]!week,G$55)</f>
        <v>#REF!</v>
      </c>
      <c r="H22" s="156"/>
      <c r="I22" s="156"/>
      <c r="J22" s="156"/>
      <c r="K22" s="19"/>
    </row>
    <row r="23" spans="1:13" x14ac:dyDescent="0.35">
      <c r="A23" t="s">
        <v>59</v>
      </c>
      <c r="B23" s="28">
        <v>2</v>
      </c>
      <c r="C23" s="101" t="e">
        <f>HLOOKUP($I$2,[0]!week,C$55)</f>
        <v>#REF!</v>
      </c>
      <c r="D23" s="101" t="e">
        <f>HLOOKUP($I$2,[0]!week,D$55)</f>
        <v>#REF!</v>
      </c>
      <c r="E23" s="101" t="e">
        <f>HLOOKUP($I$2,[0]!week,E$55)</f>
        <v>#REF!</v>
      </c>
      <c r="F23" s="101" t="e">
        <f>HLOOKUP($I$2,[0]!week,F$55)</f>
        <v>#REF!</v>
      </c>
      <c r="G23" s="101" t="e">
        <f>HLOOKUP($I$2,[0]!week,G$55)</f>
        <v>#REF!</v>
      </c>
      <c r="H23" s="156"/>
      <c r="I23" s="156"/>
      <c r="J23" s="156"/>
      <c r="K23" s="19"/>
    </row>
    <row r="24" spans="1:13" x14ac:dyDescent="0.35">
      <c r="A24" t="e">
        <f>+#REF!</f>
        <v>#REF!</v>
      </c>
      <c r="B24" s="28">
        <v>1</v>
      </c>
      <c r="C24" s="101" t="e">
        <f>HLOOKUP($I$2,[0]!week,C$55)</f>
        <v>#REF!</v>
      </c>
      <c r="D24" s="101" t="e">
        <f>HLOOKUP($I$2,[0]!week,D$55)</f>
        <v>#REF!</v>
      </c>
      <c r="E24" s="101" t="e">
        <f>HLOOKUP($I$2,[0]!week,E$55)</f>
        <v>#REF!</v>
      </c>
      <c r="F24" s="101" t="e">
        <f>HLOOKUP($I$2,[0]!week,F$55)</f>
        <v>#REF!</v>
      </c>
      <c r="G24" s="101" t="e">
        <f>HLOOKUP($I$2,[0]!week,G$55)</f>
        <v>#REF!</v>
      </c>
      <c r="H24" s="156"/>
      <c r="I24" s="156"/>
      <c r="J24" s="156"/>
      <c r="K24" s="144"/>
    </row>
    <row r="25" spans="1:13" x14ac:dyDescent="0.35">
      <c r="A25" t="s">
        <v>57</v>
      </c>
      <c r="B25" s="28">
        <v>3</v>
      </c>
      <c r="C25" s="101" t="e">
        <f>HLOOKUP($I$2,[0]!week,C$55)</f>
        <v>#REF!</v>
      </c>
      <c r="D25" s="101" t="e">
        <f>HLOOKUP($I$2,[0]!week,D$55)</f>
        <v>#REF!</v>
      </c>
      <c r="E25" s="101" t="e">
        <f>HLOOKUP($I$2,[0]!week,E$55)</f>
        <v>#REF!</v>
      </c>
      <c r="F25" s="101" t="e">
        <f>HLOOKUP($I$2,[0]!week,F$55)</f>
        <v>#REF!</v>
      </c>
      <c r="G25" s="101" t="e">
        <f>HLOOKUP($I$2,[0]!week,G$55)</f>
        <v>#REF!</v>
      </c>
      <c r="H25" s="156"/>
      <c r="I25" s="156"/>
      <c r="J25" s="156"/>
      <c r="K25" s="144"/>
    </row>
    <row r="26" spans="1:13" x14ac:dyDescent="0.35">
      <c r="A26" t="e">
        <f>+#REF!</f>
        <v>#REF!</v>
      </c>
      <c r="B26" s="28">
        <v>3</v>
      </c>
      <c r="C26" s="101" t="e">
        <f>HLOOKUP($I$2,[0]!week,C$55)</f>
        <v>#REF!</v>
      </c>
      <c r="D26" s="101" t="e">
        <f>HLOOKUP($I$2,[0]!week,D$55)</f>
        <v>#REF!</v>
      </c>
      <c r="E26" s="101" t="e">
        <f>HLOOKUP($I$2,[0]!week,E$55)</f>
        <v>#REF!</v>
      </c>
      <c r="F26" s="101" t="e">
        <f>HLOOKUP($I$2,[0]!week,F$55)</f>
        <v>#REF!</v>
      </c>
      <c r="G26" s="101" t="e">
        <f>HLOOKUP($I$2,[0]!week,G$55)</f>
        <v>#REF!</v>
      </c>
      <c r="H26" s="156"/>
      <c r="I26" s="156"/>
      <c r="J26" s="156"/>
      <c r="K26" s="19"/>
    </row>
    <row r="27" spans="1:13" x14ac:dyDescent="0.35">
      <c r="A27" t="e">
        <f>+#REF!</f>
        <v>#REF!</v>
      </c>
      <c r="B27" s="28">
        <v>2</v>
      </c>
      <c r="C27" s="101" t="e">
        <f>HLOOKUP($I$2,[0]!week,C$55)</f>
        <v>#REF!</v>
      </c>
      <c r="D27" s="101" t="e">
        <f>HLOOKUP($I$2,[0]!week,D$55)</f>
        <v>#REF!</v>
      </c>
      <c r="E27" s="101" t="e">
        <f>HLOOKUP($I$2,[0]!week,E$55)</f>
        <v>#REF!</v>
      </c>
      <c r="F27" s="101" t="e">
        <f>HLOOKUP($I$2,[0]!week,F$55)</f>
        <v>#REF!</v>
      </c>
      <c r="G27" s="101" t="e">
        <f>HLOOKUP($I$2,[0]!week,G$55)</f>
        <v>#REF!</v>
      </c>
      <c r="H27" s="156"/>
      <c r="I27" s="156"/>
      <c r="J27" s="156"/>
      <c r="K27" s="19"/>
    </row>
    <row r="28" spans="1:13" x14ac:dyDescent="0.35">
      <c r="A28" t="e">
        <f>+#REF!</f>
        <v>#REF!</v>
      </c>
      <c r="B28" s="28">
        <v>3</v>
      </c>
      <c r="C28" s="101" t="e">
        <f>HLOOKUP($I$2,[0]!week,C$55)</f>
        <v>#REF!</v>
      </c>
      <c r="D28" s="101" t="e">
        <f>HLOOKUP($I$2,[0]!week,D$55)</f>
        <v>#REF!</v>
      </c>
      <c r="E28" s="101" t="e">
        <f>HLOOKUP($I$2,[0]!week,E$55)</f>
        <v>#REF!</v>
      </c>
      <c r="F28" s="101" t="e">
        <f>HLOOKUP($I$2,[0]!week,F$55)</f>
        <v>#REF!</v>
      </c>
      <c r="G28" s="101" t="e">
        <f>HLOOKUP($I$2,[0]!week,G$55)</f>
        <v>#REF!</v>
      </c>
      <c r="H28" s="156"/>
      <c r="I28" s="156"/>
      <c r="J28" s="156"/>
      <c r="K28" s="19"/>
    </row>
    <row r="29" spans="1:13" x14ac:dyDescent="0.35">
      <c r="A29" t="e">
        <f>+#REF!</f>
        <v>#REF!</v>
      </c>
      <c r="B29" s="28">
        <v>3</v>
      </c>
      <c r="C29" s="101" t="e">
        <f>HLOOKUP($I$2,[0]!week,C$56)</f>
        <v>#REF!</v>
      </c>
      <c r="D29" s="101" t="e">
        <f>HLOOKUP($I$2,[0]!week,D$56)</f>
        <v>#REF!</v>
      </c>
      <c r="E29" s="101" t="e">
        <f>HLOOKUP($I$2,[0]!week,E$56)</f>
        <v>#REF!</v>
      </c>
      <c r="F29" s="101" t="e">
        <f>HLOOKUP($I$2,[0]!week,F$56)</f>
        <v>#REF!</v>
      </c>
      <c r="G29" s="101" t="e">
        <f>HLOOKUP($I$2,[0]!week,G$56)</f>
        <v>#REF!</v>
      </c>
      <c r="H29" s="156"/>
      <c r="I29" s="156"/>
      <c r="J29" s="156"/>
      <c r="K29" s="19"/>
    </row>
    <row r="30" spans="1:13" x14ac:dyDescent="0.35">
      <c r="A30" t="e">
        <f>+#REF!</f>
        <v>#REF!</v>
      </c>
      <c r="B30" s="28">
        <v>4</v>
      </c>
      <c r="C30" s="101" t="e">
        <f>HLOOKUP($I$2,[0]!week,C$55)</f>
        <v>#REF!</v>
      </c>
      <c r="D30" s="101" t="e">
        <f>HLOOKUP($I$2,[0]!week,D$55)</f>
        <v>#REF!</v>
      </c>
      <c r="E30" s="101" t="e">
        <f>HLOOKUP($I$2,[0]!week,E$55)</f>
        <v>#REF!</v>
      </c>
      <c r="F30" s="101" t="e">
        <f>HLOOKUP($I$2,[0]!week,F$55)</f>
        <v>#REF!</v>
      </c>
      <c r="G30" s="101" t="e">
        <f>HLOOKUP($I$2,[0]!week,G$55)</f>
        <v>#REF!</v>
      </c>
      <c r="H30" s="156"/>
      <c r="I30" s="156"/>
      <c r="J30" s="156"/>
      <c r="K30" s="19"/>
    </row>
    <row r="31" spans="1:13" x14ac:dyDescent="0.35">
      <c r="A31" t="e">
        <f>+#REF!</f>
        <v>#REF!</v>
      </c>
      <c r="B31" s="28">
        <v>4</v>
      </c>
      <c r="C31" s="101" t="e">
        <f>HLOOKUP($I$2,[0]!week,C$55)</f>
        <v>#REF!</v>
      </c>
      <c r="D31" s="101" t="e">
        <f>HLOOKUP($I$2,[0]!week,D$55)</f>
        <v>#REF!</v>
      </c>
      <c r="E31" s="101" t="e">
        <f>HLOOKUP($I$2,[0]!week,E$55)</f>
        <v>#REF!</v>
      </c>
      <c r="F31" s="101" t="e">
        <f>HLOOKUP($I$2,[0]!week,F$55)</f>
        <v>#REF!</v>
      </c>
      <c r="G31" s="101" t="e">
        <f>HLOOKUP($I$2,[0]!week,G$55)</f>
        <v>#REF!</v>
      </c>
      <c r="H31" s="156"/>
      <c r="I31" s="156"/>
      <c r="J31" s="156"/>
      <c r="K31" s="19"/>
    </row>
    <row r="32" spans="1:13" x14ac:dyDescent="0.35">
      <c r="A32" t="e">
        <f>+#REF!</f>
        <v>#REF!</v>
      </c>
      <c r="B32" s="28">
        <v>1</v>
      </c>
      <c r="C32" s="101" t="e">
        <f>HLOOKUP($I$2,[0]!week,C$56)</f>
        <v>#REF!</v>
      </c>
      <c r="D32" s="101" t="e">
        <f>HLOOKUP($I$2,[0]!week,D$56)</f>
        <v>#REF!</v>
      </c>
      <c r="E32" s="101" t="e">
        <f>HLOOKUP($I$2,[0]!week,E$56)</f>
        <v>#REF!</v>
      </c>
      <c r="F32" s="101" t="e">
        <f>HLOOKUP($I$2,[0]!week,F$56)</f>
        <v>#REF!</v>
      </c>
      <c r="G32" s="101" t="e">
        <f>HLOOKUP($I$2,[0]!week,G$56)</f>
        <v>#REF!</v>
      </c>
      <c r="H32" s="156"/>
      <c r="I32" s="156"/>
      <c r="J32" s="156"/>
      <c r="K32" s="19"/>
    </row>
    <row r="33" spans="1:11" x14ac:dyDescent="0.35">
      <c r="A33" t="e">
        <f>+#REF!</f>
        <v>#REF!</v>
      </c>
      <c r="B33" s="28">
        <v>2</v>
      </c>
      <c r="C33" s="101" t="e">
        <f>HLOOKUP($I$2,[0]!week,C$55)</f>
        <v>#REF!</v>
      </c>
      <c r="D33" s="101" t="e">
        <f>HLOOKUP($I$2,[0]!week,D$55)</f>
        <v>#REF!</v>
      </c>
      <c r="E33" s="101" t="e">
        <f>HLOOKUP($I$2,[0]!week,E$55)</f>
        <v>#REF!</v>
      </c>
      <c r="F33" s="101" t="e">
        <f>HLOOKUP($I$2,[0]!week,F$55)</f>
        <v>#REF!</v>
      </c>
      <c r="G33" s="101" t="e">
        <f>HLOOKUP($I$2,[0]!week,G$55)</f>
        <v>#REF!</v>
      </c>
      <c r="H33" s="156"/>
      <c r="I33" s="156"/>
      <c r="J33" s="156"/>
      <c r="K33" s="19"/>
    </row>
    <row r="34" spans="1:11" x14ac:dyDescent="0.35">
      <c r="A34" t="s">
        <v>75</v>
      </c>
      <c r="B34" s="28">
        <v>1</v>
      </c>
      <c r="C34" s="101" t="e">
        <f>HLOOKUP($I$2,[0]!week,C$55)</f>
        <v>#REF!</v>
      </c>
      <c r="D34" s="101" t="e">
        <f>HLOOKUP($I$2,[0]!week,D$55)</f>
        <v>#REF!</v>
      </c>
      <c r="E34" s="101" t="e">
        <f>HLOOKUP($I$2,[0]!week,E$55)</f>
        <v>#REF!</v>
      </c>
      <c r="F34" s="101" t="e">
        <f>HLOOKUP($I$2,[0]!week,F$55)</f>
        <v>#REF!</v>
      </c>
      <c r="G34" s="101" t="e">
        <f>HLOOKUP($I$2,[0]!week,G$55)</f>
        <v>#REF!</v>
      </c>
      <c r="H34" s="156"/>
      <c r="I34" s="156"/>
      <c r="J34" s="156"/>
      <c r="K34" s="19"/>
    </row>
    <row r="35" spans="1:11" x14ac:dyDescent="0.35">
      <c r="A35" t="s">
        <v>63</v>
      </c>
      <c r="B35" s="28">
        <v>4</v>
      </c>
      <c r="C35" s="101" t="e">
        <f>HLOOKUP($I$2,[0]!week,C$55)</f>
        <v>#REF!</v>
      </c>
      <c r="D35" s="101" t="e">
        <f>HLOOKUP($I$2,[0]!week,D$55)</f>
        <v>#REF!</v>
      </c>
      <c r="E35" s="101" t="e">
        <f>HLOOKUP($I$2,[0]!week,E$55)</f>
        <v>#REF!</v>
      </c>
      <c r="F35" s="101" t="e">
        <f>HLOOKUP($I$2,[0]!week,F$55)</f>
        <v>#REF!</v>
      </c>
      <c r="G35" s="101" t="e">
        <f>HLOOKUP($I$2,[0]!week,G$55)</f>
        <v>#REF!</v>
      </c>
      <c r="H35" s="156"/>
      <c r="I35" s="156"/>
      <c r="J35" s="156"/>
      <c r="K35" s="19"/>
    </row>
    <row r="36" spans="1:11" x14ac:dyDescent="0.35">
      <c r="A36" t="e">
        <f>+#REF!</f>
        <v>#REF!</v>
      </c>
      <c r="B36" s="28">
        <v>1</v>
      </c>
      <c r="C36" s="101" t="e">
        <f>HLOOKUP($I$2,[0]!week,C$55)</f>
        <v>#REF!</v>
      </c>
      <c r="D36" s="101" t="e">
        <f>HLOOKUP($I$2,[0]!week,D$55)</f>
        <v>#REF!</v>
      </c>
      <c r="E36" s="101" t="e">
        <f>HLOOKUP($I$2,[0]!week,E$55)</f>
        <v>#REF!</v>
      </c>
      <c r="F36" s="101" t="e">
        <f>HLOOKUP($I$2,[0]!week,F$55)</f>
        <v>#REF!</v>
      </c>
      <c r="G36" s="101" t="e">
        <f>HLOOKUP($I$2,[0]!week,G$55)</f>
        <v>#REF!</v>
      </c>
      <c r="H36" s="156"/>
      <c r="I36" s="156"/>
      <c r="J36" s="156"/>
      <c r="K36" s="19"/>
    </row>
    <row r="37" spans="1:11" x14ac:dyDescent="0.35">
      <c r="A37" s="108" t="s">
        <v>30</v>
      </c>
      <c r="B37" s="28">
        <v>3</v>
      </c>
      <c r="C37" s="101" t="e">
        <f>HLOOKUP($I$2,[0]!week,C$56)</f>
        <v>#REF!</v>
      </c>
      <c r="D37" s="101" t="e">
        <f>HLOOKUP($I$2,[0]!week,D$56)</f>
        <v>#REF!</v>
      </c>
      <c r="E37" s="101" t="e">
        <f>HLOOKUP($I$2,[0]!week,E$56)</f>
        <v>#REF!</v>
      </c>
      <c r="F37" s="101" t="e">
        <f>HLOOKUP($I$2,[0]!week,F$56)</f>
        <v>#REF!</v>
      </c>
      <c r="G37" s="101" t="e">
        <f>HLOOKUP($I$2,[0]!week,G$56)</f>
        <v>#REF!</v>
      </c>
      <c r="H37" s="156"/>
      <c r="I37" s="156"/>
      <c r="J37" s="156"/>
      <c r="K37" s="19"/>
    </row>
    <row r="38" spans="1:11" x14ac:dyDescent="0.35">
      <c r="A38" t="e">
        <f>+#REF!</f>
        <v>#REF!</v>
      </c>
      <c r="B38" s="28">
        <v>1</v>
      </c>
      <c r="C38" s="101" t="e">
        <f>HLOOKUP($I$2,[0]!week,C$55)</f>
        <v>#REF!</v>
      </c>
      <c r="D38" s="101" t="e">
        <f>HLOOKUP($I$2,[0]!week,D$55)</f>
        <v>#REF!</v>
      </c>
      <c r="E38" s="101" t="e">
        <f>HLOOKUP($I$2,[0]!week,E$55)</f>
        <v>#REF!</v>
      </c>
      <c r="F38" s="101" t="e">
        <f>HLOOKUP($I$2,[0]!week,F$55)</f>
        <v>#REF!</v>
      </c>
      <c r="G38" s="101" t="e">
        <f>HLOOKUP($I$2,[0]!week,G$55)</f>
        <v>#REF!</v>
      </c>
      <c r="H38" s="156"/>
      <c r="I38" s="156"/>
      <c r="J38" s="156"/>
      <c r="K38" s="19"/>
    </row>
    <row r="39" spans="1:11" x14ac:dyDescent="0.35">
      <c r="A39" t="e">
        <f>+#REF!</f>
        <v>#REF!</v>
      </c>
      <c r="B39" s="28">
        <v>2</v>
      </c>
      <c r="C39" s="101" t="e">
        <f>HLOOKUP($I$2,[0]!week,C$55)</f>
        <v>#REF!</v>
      </c>
      <c r="D39" s="101" t="e">
        <f>HLOOKUP($I$2,[0]!week,D$55)</f>
        <v>#REF!</v>
      </c>
      <c r="E39" s="101" t="e">
        <f>HLOOKUP($I$2,[0]!week,E$55)</f>
        <v>#REF!</v>
      </c>
      <c r="F39" s="101" t="e">
        <f>HLOOKUP($I$2,[0]!week,F$55)</f>
        <v>#REF!</v>
      </c>
      <c r="G39" s="101" t="e">
        <f>HLOOKUP($I$2,[0]!week,G$55)</f>
        <v>#REF!</v>
      </c>
      <c r="H39" s="156"/>
      <c r="I39" s="156"/>
      <c r="J39" s="156"/>
      <c r="K39" s="19"/>
    </row>
    <row r="40" spans="1:11" x14ac:dyDescent="0.35">
      <c r="A40" t="e">
        <f>+#REF!</f>
        <v>#REF!</v>
      </c>
      <c r="B40" s="28">
        <v>1</v>
      </c>
      <c r="C40" s="101" t="e">
        <f>HLOOKUP($I$2,[0]!week,C$55)</f>
        <v>#REF!</v>
      </c>
      <c r="D40" s="101" t="e">
        <f>HLOOKUP($I$2,[0]!week,D$55)</f>
        <v>#REF!</v>
      </c>
      <c r="E40" s="101" t="e">
        <f>HLOOKUP($I$2,[0]!week,E$55)</f>
        <v>#REF!</v>
      </c>
      <c r="F40" s="101" t="e">
        <f>HLOOKUP($I$2,[0]!week,F$55)</f>
        <v>#REF!</v>
      </c>
      <c r="G40" s="101" t="e">
        <f>HLOOKUP($I$2,[0]!week,G$55)</f>
        <v>#REF!</v>
      </c>
      <c r="H40" s="156"/>
      <c r="I40" s="156"/>
      <c r="J40" s="156"/>
      <c r="K40" s="19"/>
    </row>
    <row r="41" spans="1:11" x14ac:dyDescent="0.35">
      <c r="A41" t="e">
        <f>+#REF!</f>
        <v>#REF!</v>
      </c>
      <c r="B41" s="28">
        <v>2</v>
      </c>
      <c r="C41" s="101" t="e">
        <f>HLOOKUP($I$2,[0]!week,C$55)</f>
        <v>#REF!</v>
      </c>
      <c r="D41" s="101" t="e">
        <f>HLOOKUP($I$2,[0]!week,D$55)</f>
        <v>#REF!</v>
      </c>
      <c r="E41" s="101" t="e">
        <f>HLOOKUP($I$2,[0]!week,E$55)</f>
        <v>#REF!</v>
      </c>
      <c r="F41" s="101" t="e">
        <f>HLOOKUP($I$2,[0]!week,F$55)</f>
        <v>#REF!</v>
      </c>
      <c r="G41" s="101" t="e">
        <f>HLOOKUP($I$2,[0]!week,G$55)</f>
        <v>#REF!</v>
      </c>
      <c r="H41" s="156"/>
      <c r="I41" s="156"/>
      <c r="J41" s="156"/>
      <c r="K41" s="158"/>
    </row>
    <row r="42" spans="1:11" x14ac:dyDescent="0.35">
      <c r="A42" t="s">
        <v>61</v>
      </c>
      <c r="B42" s="28">
        <v>1</v>
      </c>
      <c r="C42" s="101" t="e">
        <f>HLOOKUP($I$2,[0]!week,C$55)</f>
        <v>#REF!</v>
      </c>
      <c r="D42" s="101" t="e">
        <f>HLOOKUP($I$2,[0]!week,D$55)</f>
        <v>#REF!</v>
      </c>
      <c r="E42" s="101" t="e">
        <f>HLOOKUP($I$2,[0]!week,E$55)</f>
        <v>#REF!</v>
      </c>
      <c r="F42" s="101" t="e">
        <f>HLOOKUP($I$2,[0]!week,F$55)</f>
        <v>#REF!</v>
      </c>
      <c r="G42" s="101" t="e">
        <f>HLOOKUP($I$2,[0]!week,G$55)</f>
        <v>#REF!</v>
      </c>
      <c r="H42" s="156"/>
      <c r="I42" s="156"/>
      <c r="J42" s="156"/>
      <c r="K42" s="19"/>
    </row>
    <row r="43" spans="1:11" x14ac:dyDescent="0.35">
      <c r="A43" t="e">
        <f>+#REF!</f>
        <v>#REF!</v>
      </c>
      <c r="B43" s="28">
        <v>2</v>
      </c>
      <c r="C43" s="101" t="e">
        <f>HLOOKUP($I$2,[0]!week,C$55)</f>
        <v>#REF!</v>
      </c>
      <c r="D43" s="101" t="e">
        <f>HLOOKUP($I$2,[0]!week,D$55)</f>
        <v>#REF!</v>
      </c>
      <c r="E43" s="101" t="e">
        <f>HLOOKUP($I$2,[0]!week,E$55)</f>
        <v>#REF!</v>
      </c>
      <c r="F43" s="101" t="e">
        <f>HLOOKUP($I$2,[0]!week,F$55)</f>
        <v>#REF!</v>
      </c>
      <c r="G43" s="101" t="e">
        <f>HLOOKUP($I$2,[0]!week,G$55)</f>
        <v>#REF!</v>
      </c>
      <c r="H43" s="156"/>
      <c r="I43" s="156"/>
      <c r="J43" s="156"/>
      <c r="K43" s="19"/>
    </row>
    <row r="44" spans="1:11" x14ac:dyDescent="0.35">
      <c r="A44" t="e">
        <f>+#REF!</f>
        <v>#REF!</v>
      </c>
      <c r="B44" s="28">
        <v>1</v>
      </c>
      <c r="C44" s="101" t="e">
        <f>HLOOKUP($I$2,[0]!week,C$55)</f>
        <v>#REF!</v>
      </c>
      <c r="D44" s="101" t="e">
        <f>HLOOKUP($I$2,[0]!week,D$55)</f>
        <v>#REF!</v>
      </c>
      <c r="E44" s="101" t="e">
        <f>HLOOKUP($I$2,[0]!week,E$55)</f>
        <v>#REF!</v>
      </c>
      <c r="F44" s="101" t="e">
        <f>HLOOKUP($I$2,[0]!week,F$55)</f>
        <v>#REF!</v>
      </c>
      <c r="G44" s="101" t="e">
        <f>HLOOKUP($I$2,[0]!week,G$55)</f>
        <v>#REF!</v>
      </c>
      <c r="H44" s="156"/>
      <c r="I44" s="156"/>
      <c r="J44" s="156"/>
      <c r="K44" s="19"/>
    </row>
    <row r="45" spans="1:11" x14ac:dyDescent="0.35">
      <c r="A45" s="108" t="s">
        <v>55</v>
      </c>
      <c r="B45" s="28">
        <v>3</v>
      </c>
      <c r="C45" s="101" t="e">
        <f>HLOOKUP($I$2,[0]!week,C$56)</f>
        <v>#REF!</v>
      </c>
      <c r="D45" s="101" t="e">
        <f>HLOOKUP($I$2,[0]!week,D$56)</f>
        <v>#REF!</v>
      </c>
      <c r="E45" s="101" t="e">
        <f>HLOOKUP($I$2,[0]!week,E$56)</f>
        <v>#REF!</v>
      </c>
      <c r="F45" s="101" t="e">
        <f>HLOOKUP($I$2,[0]!week,F$56)</f>
        <v>#REF!</v>
      </c>
      <c r="G45" s="101" t="e">
        <f>HLOOKUP($I$2,[0]!week,G$56)</f>
        <v>#REF!</v>
      </c>
      <c r="H45" s="156"/>
      <c r="I45" s="156"/>
      <c r="J45" s="156"/>
      <c r="K45" s="19"/>
    </row>
    <row r="46" spans="1:11" x14ac:dyDescent="0.35">
      <c r="A46" t="s">
        <v>62</v>
      </c>
      <c r="B46" s="28">
        <v>1</v>
      </c>
      <c r="C46" s="101" t="e">
        <f>HLOOKUP($I$2,[0]!week,C$55)</f>
        <v>#REF!</v>
      </c>
      <c r="D46" s="101" t="e">
        <f>HLOOKUP($I$2,[0]!week,D$55)</f>
        <v>#REF!</v>
      </c>
      <c r="E46" s="101" t="e">
        <f>HLOOKUP($I$2,[0]!week,E$55)</f>
        <v>#REF!</v>
      </c>
      <c r="F46" s="101" t="e">
        <f>HLOOKUP($I$2,[0]!week,F$55)</f>
        <v>#REF!</v>
      </c>
      <c r="G46" s="101" t="e">
        <f>HLOOKUP($I$2,[0]!week,G$55)</f>
        <v>#REF!</v>
      </c>
      <c r="H46" s="156"/>
      <c r="I46" s="156"/>
      <c r="J46" s="156"/>
      <c r="K46" s="144"/>
    </row>
    <row r="47" spans="1:11" x14ac:dyDescent="0.35">
      <c r="A47" t="s">
        <v>56</v>
      </c>
      <c r="B47" s="28">
        <v>3</v>
      </c>
      <c r="C47" s="101" t="e">
        <f>HLOOKUP($I$2,[0]!week,C$55)</f>
        <v>#REF!</v>
      </c>
      <c r="D47" s="101" t="e">
        <f>HLOOKUP($I$2,[0]!week,D$55)</f>
        <v>#REF!</v>
      </c>
      <c r="E47" s="101" t="e">
        <f>HLOOKUP($I$2,[0]!week,E$55)</f>
        <v>#REF!</v>
      </c>
      <c r="F47" s="101" t="e">
        <f>HLOOKUP($I$2,[0]!week,F$55)</f>
        <v>#REF!</v>
      </c>
      <c r="G47" s="101" t="e">
        <f>HLOOKUP($I$2,[0]!week,G$55)</f>
        <v>#REF!</v>
      </c>
      <c r="H47" s="156"/>
      <c r="I47" s="156"/>
      <c r="J47" s="156"/>
      <c r="K47" s="19"/>
    </row>
    <row r="48" spans="1:11" x14ac:dyDescent="0.35">
      <c r="A48" t="e">
        <f>+#REF!</f>
        <v>#REF!</v>
      </c>
      <c r="B48" s="28">
        <v>2</v>
      </c>
      <c r="C48" s="101" t="e">
        <f>HLOOKUP($I$2,[0]!week,C$55)</f>
        <v>#REF!</v>
      </c>
      <c r="D48" s="101" t="e">
        <f>HLOOKUP($I$2,[0]!week,D$55)</f>
        <v>#REF!</v>
      </c>
      <c r="E48" s="101" t="e">
        <f>HLOOKUP($I$2,[0]!week,E$55)</f>
        <v>#REF!</v>
      </c>
      <c r="F48" s="101" t="e">
        <f>HLOOKUP($I$2,[0]!week,F$55)</f>
        <v>#REF!</v>
      </c>
      <c r="G48" s="101" t="e">
        <f>HLOOKUP($I$2,[0]!week,G$55)</f>
        <v>#REF!</v>
      </c>
      <c r="H48" s="156"/>
      <c r="I48" s="156"/>
      <c r="J48" s="156"/>
      <c r="K48" s="19"/>
    </row>
    <row r="49" spans="1:11" x14ac:dyDescent="0.35">
      <c r="A49" t="s">
        <v>67</v>
      </c>
      <c r="B49" s="28">
        <v>4</v>
      </c>
      <c r="C49" s="101" t="e">
        <f>HLOOKUP($I$2,[0]!week,C$56)</f>
        <v>#REF!</v>
      </c>
      <c r="D49" s="101" t="e">
        <f>HLOOKUP($I$2,[0]!week,D$56)</f>
        <v>#REF!</v>
      </c>
      <c r="E49" s="101" t="e">
        <f>HLOOKUP($I$2,[0]!week,E$56)</f>
        <v>#REF!</v>
      </c>
      <c r="F49" s="101" t="e">
        <f>HLOOKUP($I$2,[0]!week,F$56)</f>
        <v>#REF!</v>
      </c>
      <c r="G49" s="101" t="e">
        <f>HLOOKUP($I$2,[0]!week,G$56)</f>
        <v>#REF!</v>
      </c>
      <c r="H49" s="156"/>
      <c r="I49" s="156"/>
      <c r="J49" s="156"/>
      <c r="K49" s="19"/>
    </row>
    <row r="50" spans="1:11" x14ac:dyDescent="0.35">
      <c r="E50" s="154"/>
      <c r="F50" s="159"/>
      <c r="G50" s="155"/>
      <c r="H50" s="156"/>
      <c r="I50" s="156"/>
      <c r="J50" s="156"/>
    </row>
    <row r="55" spans="1:11" x14ac:dyDescent="0.35">
      <c r="A55" t="s">
        <v>68</v>
      </c>
      <c r="C55" s="102">
        <v>7</v>
      </c>
      <c r="D55" s="102">
        <v>18</v>
      </c>
      <c r="E55" s="26">
        <v>19</v>
      </c>
      <c r="F55" s="102">
        <v>20</v>
      </c>
      <c r="G55" s="102">
        <v>21</v>
      </c>
      <c r="H55" s="26"/>
      <c r="I55" s="26"/>
      <c r="J55" s="26"/>
    </row>
    <row r="56" spans="1:11" x14ac:dyDescent="0.35">
      <c r="A56" t="s">
        <v>69</v>
      </c>
      <c r="C56" s="152">
        <f>+C55+3</f>
        <v>10</v>
      </c>
      <c r="D56" s="152">
        <f>+D55+3</f>
        <v>21</v>
      </c>
      <c r="E56" s="152">
        <f>+E55+3</f>
        <v>22</v>
      </c>
      <c r="F56" s="152">
        <f>+F55+3</f>
        <v>23</v>
      </c>
      <c r="G56" s="152">
        <f>+G55+3</f>
        <v>24</v>
      </c>
      <c r="H56" s="107"/>
      <c r="I56" s="107"/>
      <c r="J56" s="107"/>
    </row>
    <row r="57" spans="1:11" x14ac:dyDescent="0.35">
      <c r="D57" s="152">
        <v>27</v>
      </c>
      <c r="E57" s="20">
        <v>28</v>
      </c>
      <c r="F57" s="152">
        <v>29</v>
      </c>
      <c r="G57" s="152">
        <v>30</v>
      </c>
    </row>
    <row r="58" spans="1:11" x14ac:dyDescent="0.35">
      <c r="D58" s="152" t="e">
        <f t="shared" ref="D58:J58" si="0">MAX(D8:D49)</f>
        <v>#REF!</v>
      </c>
      <c r="E58" s="152" t="e">
        <f t="shared" si="0"/>
        <v>#REF!</v>
      </c>
      <c r="F58" s="152" t="e">
        <f t="shared" si="0"/>
        <v>#REF!</v>
      </c>
      <c r="G58" s="152" t="e">
        <f t="shared" si="0"/>
        <v>#REF!</v>
      </c>
      <c r="H58" s="152">
        <f t="shared" si="0"/>
        <v>0</v>
      </c>
      <c r="I58" s="152">
        <f t="shared" si="0"/>
        <v>0</v>
      </c>
      <c r="J58" s="152">
        <f t="shared" si="0"/>
        <v>0</v>
      </c>
    </row>
  </sheetData>
  <phoneticPr fontId="0" type="noConversion"/>
  <pageMargins left="0.38" right="0.37" top="0.49" bottom="1" header="0.5" footer="0.5"/>
  <pageSetup scale="90" orientation="portrait" horizontalDpi="4294967293" r:id="rId1"/>
  <headerFooter alignWithMargins="0">
    <oddFooter>&amp;L&amp;F=&amp;A&amp;C&amp;D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Y40"/>
  <sheetViews>
    <sheetView zoomScale="90" zoomScaleNormal="90" workbookViewId="0"/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175</v>
      </c>
      <c r="G2" s="203" t="s">
        <v>176</v>
      </c>
      <c r="H2" s="224"/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0</v>
      </c>
      <c r="D21" s="19">
        <f>MAX(D$9:D$14)+$I$5</f>
        <v>0</v>
      </c>
      <c r="E21" s="19" t="e">
        <f t="shared" ref="E21:X21" si="8">MAX(E$9:E$14)+D18</f>
        <v>#DIV/0!</v>
      </c>
      <c r="F21" s="19" t="e">
        <f t="shared" si="8"/>
        <v>#DIV/0!</v>
      </c>
      <c r="G21" s="19" t="e">
        <f t="shared" si="8"/>
        <v>#DIV/0!</v>
      </c>
      <c r="H21" s="19" t="e">
        <f t="shared" si="8"/>
        <v>#DIV/0!</v>
      </c>
      <c r="I21" s="19" t="e">
        <f t="shared" si="8"/>
        <v>#DIV/0!</v>
      </c>
      <c r="J21" s="19" t="e">
        <f t="shared" si="8"/>
        <v>#DIV/0!</v>
      </c>
      <c r="K21" s="19" t="e">
        <f t="shared" si="8"/>
        <v>#DIV/0!</v>
      </c>
      <c r="L21" s="19" t="e">
        <f t="shared" si="8"/>
        <v>#DIV/0!</v>
      </c>
      <c r="M21" s="19" t="e">
        <f t="shared" si="8"/>
        <v>#DIV/0!</v>
      </c>
      <c r="N21" s="19" t="e">
        <f t="shared" si="8"/>
        <v>#DIV/0!</v>
      </c>
      <c r="O21" s="19" t="e">
        <f t="shared" si="8"/>
        <v>#DIV/0!</v>
      </c>
      <c r="P21" s="19" t="e">
        <f t="shared" si="8"/>
        <v>#DIV/0!</v>
      </c>
      <c r="Q21" s="19" t="e">
        <f t="shared" si="8"/>
        <v>#DIV/0!</v>
      </c>
      <c r="R21" s="19" t="e">
        <f t="shared" si="8"/>
        <v>#DIV/0!</v>
      </c>
      <c r="S21" s="19" t="e">
        <f t="shared" si="8"/>
        <v>#DIV/0!</v>
      </c>
      <c r="T21" s="19" t="e">
        <f t="shared" si="8"/>
        <v>#DIV/0!</v>
      </c>
      <c r="U21" s="19" t="e">
        <f t="shared" si="8"/>
        <v>#DIV/0!</v>
      </c>
      <c r="V21" s="19" t="e">
        <f t="shared" si="8"/>
        <v>#DIV/0!</v>
      </c>
      <c r="W21" s="19" t="e">
        <f t="shared" si="8"/>
        <v>#DIV/0!</v>
      </c>
      <c r="X21" s="19" t="e">
        <f t="shared" si="8"/>
        <v>#DIV/0!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0</v>
      </c>
      <c r="D23" s="19">
        <f>MAX(SUM(D$9:D$11),SUM(D$12:D$14))+$I$5*3</f>
        <v>0</v>
      </c>
      <c r="E23" s="19" t="e">
        <f t="shared" ref="E23:X23" si="10">MAX(SUM(E$9:E$11),SUM(E$12:E$14))+D18*3</f>
        <v>#DIV/0!</v>
      </c>
      <c r="F23" s="19" t="e">
        <f t="shared" si="10"/>
        <v>#DIV/0!</v>
      </c>
      <c r="G23" s="19" t="e">
        <f t="shared" si="10"/>
        <v>#DIV/0!</v>
      </c>
      <c r="H23" s="19" t="e">
        <f t="shared" si="10"/>
        <v>#DIV/0!</v>
      </c>
      <c r="I23" s="19" t="e">
        <f t="shared" si="10"/>
        <v>#DIV/0!</v>
      </c>
      <c r="J23" s="19" t="e">
        <f t="shared" si="10"/>
        <v>#DIV/0!</v>
      </c>
      <c r="K23" s="19" t="e">
        <f t="shared" si="10"/>
        <v>#DIV/0!</v>
      </c>
      <c r="L23" s="19" t="e">
        <f t="shared" si="10"/>
        <v>#DIV/0!</v>
      </c>
      <c r="M23" s="19" t="e">
        <f t="shared" si="10"/>
        <v>#DIV/0!</v>
      </c>
      <c r="N23" s="19" t="e">
        <f t="shared" si="10"/>
        <v>#DIV/0!</v>
      </c>
      <c r="O23" s="19" t="e">
        <f t="shared" si="10"/>
        <v>#DIV/0!</v>
      </c>
      <c r="P23" s="19" t="e">
        <f t="shared" si="10"/>
        <v>#DIV/0!</v>
      </c>
      <c r="Q23" s="19" t="e">
        <f t="shared" si="10"/>
        <v>#DIV/0!</v>
      </c>
      <c r="R23" s="19" t="e">
        <f t="shared" si="10"/>
        <v>#DIV/0!</v>
      </c>
      <c r="S23" s="19" t="e">
        <f t="shared" si="10"/>
        <v>#DIV/0!</v>
      </c>
      <c r="T23" s="19" t="e">
        <f t="shared" si="10"/>
        <v>#DIV/0!</v>
      </c>
      <c r="U23" s="19" t="e">
        <f t="shared" si="10"/>
        <v>#DIV/0!</v>
      </c>
      <c r="V23" s="19" t="e">
        <f t="shared" si="10"/>
        <v>#DIV/0!</v>
      </c>
      <c r="W23" s="19" t="e">
        <f t="shared" si="10"/>
        <v>#DIV/0!</v>
      </c>
      <c r="X23" s="19" t="e">
        <f t="shared" si="10"/>
        <v>#DIV/0!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0</v>
      </c>
      <c r="D28" s="107">
        <f>MAX($C21:D21)</f>
        <v>0</v>
      </c>
      <c r="E28" s="107" t="e">
        <f>MAX($C21:E21)</f>
        <v>#DIV/0!</v>
      </c>
      <c r="F28" s="107" t="e">
        <f>MAX($C21:F21)</f>
        <v>#DIV/0!</v>
      </c>
      <c r="G28" s="107" t="e">
        <f>MAX($C21:G21)</f>
        <v>#DIV/0!</v>
      </c>
      <c r="H28" s="107" t="e">
        <f>MAX($C21:H21)</f>
        <v>#DIV/0!</v>
      </c>
      <c r="I28" s="107" t="e">
        <f>MAX($C21:I21)</f>
        <v>#DIV/0!</v>
      </c>
      <c r="J28" s="107" t="e">
        <f>MAX($C21:J21)</f>
        <v>#DIV/0!</v>
      </c>
      <c r="K28" s="107" t="e">
        <f>MAX($C21:K21)</f>
        <v>#DIV/0!</v>
      </c>
      <c r="L28" s="107" t="e">
        <f>MAX($C21:L21)</f>
        <v>#DIV/0!</v>
      </c>
      <c r="M28" s="107" t="e">
        <f>MAX($C21:M21)</f>
        <v>#DIV/0!</v>
      </c>
      <c r="N28" s="107" t="e">
        <f>MAX($C21:N21)</f>
        <v>#DIV/0!</v>
      </c>
      <c r="O28" s="107" t="e">
        <f>MAX($C21:O21)</f>
        <v>#DIV/0!</v>
      </c>
      <c r="P28" s="107" t="e">
        <f>MAX($C21:P21)</f>
        <v>#DIV/0!</v>
      </c>
      <c r="Q28" s="107" t="e">
        <f>MAX($C21:Q21)</f>
        <v>#DIV/0!</v>
      </c>
      <c r="R28" s="107" t="e">
        <f>MAX($C21:R21)</f>
        <v>#DIV/0!</v>
      </c>
      <c r="S28" s="107" t="e">
        <f>MAX($C21:S21)</f>
        <v>#DIV/0!</v>
      </c>
      <c r="T28" s="107" t="e">
        <f>MAX($C21:T21)</f>
        <v>#DIV/0!</v>
      </c>
      <c r="U28" s="107" t="e">
        <f>MAX($C21:U21)</f>
        <v>#DIV/0!</v>
      </c>
      <c r="V28" s="107" t="e">
        <f>MAX($C21:V21)</f>
        <v>#DIV/0!</v>
      </c>
      <c r="W28" s="107" t="e">
        <f>MAX($C21:W21)</f>
        <v>#DIV/0!</v>
      </c>
      <c r="X28" s="107" t="e">
        <f>MAX($C21:X21)</f>
        <v>#DIV/0!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0</v>
      </c>
      <c r="D30" s="107">
        <f>MAX($C23:D23)</f>
        <v>0</v>
      </c>
      <c r="E30" s="107" t="e">
        <f>MAX($C23:E23)</f>
        <v>#DIV/0!</v>
      </c>
      <c r="F30" s="107" t="e">
        <f>MAX($C23:F23)</f>
        <v>#DIV/0!</v>
      </c>
      <c r="G30" s="107" t="e">
        <f>MAX($C23:G23)</f>
        <v>#DIV/0!</v>
      </c>
      <c r="H30" s="107" t="e">
        <f>MAX($C23:H23)</f>
        <v>#DIV/0!</v>
      </c>
      <c r="I30" s="107" t="e">
        <f>MAX($C23:I23)</f>
        <v>#DIV/0!</v>
      </c>
      <c r="J30" s="107" t="e">
        <f>MAX($C23:J23)</f>
        <v>#DIV/0!</v>
      </c>
      <c r="K30" s="107" t="e">
        <f>MAX($C23:K23)</f>
        <v>#DIV/0!</v>
      </c>
      <c r="L30" s="107" t="e">
        <f>MAX($C23:L23)</f>
        <v>#DIV/0!</v>
      </c>
      <c r="M30" s="107" t="e">
        <f>MAX($C23:M23)</f>
        <v>#DIV/0!</v>
      </c>
      <c r="N30" s="107" t="e">
        <f>MAX($C23:N23)</f>
        <v>#DIV/0!</v>
      </c>
      <c r="O30" s="107" t="e">
        <f>MAX($C23:O23)</f>
        <v>#DIV/0!</v>
      </c>
      <c r="P30" s="107" t="e">
        <f>MAX($C23:P23)</f>
        <v>#DIV/0!</v>
      </c>
      <c r="Q30" s="107" t="e">
        <f>MAX($C23:Q23)</f>
        <v>#DIV/0!</v>
      </c>
      <c r="R30" s="107" t="e">
        <f>MAX($C23:R23)</f>
        <v>#DIV/0!</v>
      </c>
      <c r="S30" s="107" t="e">
        <f>MAX($C23:S23)</f>
        <v>#DIV/0!</v>
      </c>
      <c r="T30" s="107" t="e">
        <f>MAX($C23:T23)</f>
        <v>#DIV/0!</v>
      </c>
      <c r="U30" s="107" t="e">
        <f>MAX($C23:U23)</f>
        <v>#DIV/0!</v>
      </c>
      <c r="V30" s="107" t="e">
        <f>MAX($C23:V23)</f>
        <v>#DIV/0!</v>
      </c>
      <c r="W30" s="107" t="e">
        <f>MAX($C23:W23)</f>
        <v>#DIV/0!</v>
      </c>
      <c r="X30" s="107" t="e">
        <f>MAX($C23:X23)</f>
        <v>#DIV/0!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158</v>
      </c>
      <c r="G2" s="203" t="s">
        <v>159</v>
      </c>
      <c r="H2" s="224">
        <v>3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48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47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150</v>
      </c>
      <c r="F9">
        <v>140</v>
      </c>
      <c r="G9">
        <v>140</v>
      </c>
      <c r="J9">
        <v>137</v>
      </c>
      <c r="N9">
        <v>135</v>
      </c>
      <c r="O9">
        <v>145</v>
      </c>
      <c r="P9">
        <v>114</v>
      </c>
      <c r="Q9">
        <v>146</v>
      </c>
      <c r="R9">
        <v>177</v>
      </c>
      <c r="T9">
        <v>145</v>
      </c>
      <c r="U9">
        <v>222</v>
      </c>
    </row>
    <row r="10" spans="1:24" ht="13.15" x14ac:dyDescent="0.4">
      <c r="A10">
        <v>4</v>
      </c>
      <c r="B10" s="3" t="s">
        <v>15</v>
      </c>
      <c r="D10">
        <v>149</v>
      </c>
      <c r="F10">
        <v>127</v>
      </c>
      <c r="G10">
        <v>133</v>
      </c>
      <c r="J10">
        <v>161</v>
      </c>
      <c r="N10">
        <v>178</v>
      </c>
      <c r="O10">
        <v>188</v>
      </c>
      <c r="P10">
        <v>114</v>
      </c>
      <c r="Q10">
        <v>141</v>
      </c>
      <c r="R10">
        <v>144</v>
      </c>
      <c r="T10">
        <v>111</v>
      </c>
      <c r="U10">
        <v>150</v>
      </c>
    </row>
    <row r="11" spans="1:24" ht="13.15" x14ac:dyDescent="0.4">
      <c r="A11">
        <v>5</v>
      </c>
      <c r="B11" s="3" t="s">
        <v>16</v>
      </c>
      <c r="D11">
        <v>175</v>
      </c>
      <c r="F11">
        <v>150</v>
      </c>
      <c r="G11">
        <v>150</v>
      </c>
      <c r="J11">
        <v>143</v>
      </c>
      <c r="N11">
        <v>111</v>
      </c>
      <c r="O11">
        <v>156</v>
      </c>
      <c r="P11">
        <v>133</v>
      </c>
      <c r="Q11">
        <v>159</v>
      </c>
      <c r="R11">
        <v>130</v>
      </c>
      <c r="T11">
        <v>175</v>
      </c>
      <c r="U11">
        <v>127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474</v>
      </c>
      <c r="E15" s="18">
        <f t="shared" si="2"/>
        <v>0</v>
      </c>
      <c r="F15" s="18">
        <f t="shared" si="2"/>
        <v>417</v>
      </c>
      <c r="G15" s="18">
        <f t="shared" si="2"/>
        <v>423</v>
      </c>
      <c r="H15" s="18">
        <f t="shared" si="2"/>
        <v>0</v>
      </c>
      <c r="I15" s="18">
        <f t="shared" si="2"/>
        <v>0</v>
      </c>
      <c r="J15" s="18">
        <f t="shared" si="2"/>
        <v>441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424</v>
      </c>
      <c r="O15" s="18">
        <f t="shared" si="2"/>
        <v>489</v>
      </c>
      <c r="P15" s="18">
        <f t="shared" si="2"/>
        <v>361</v>
      </c>
      <c r="Q15" s="18">
        <f t="shared" si="2"/>
        <v>446</v>
      </c>
      <c r="R15" s="18">
        <f t="shared" si="2"/>
        <v>451</v>
      </c>
      <c r="S15" s="18">
        <f t="shared" si="2"/>
        <v>0</v>
      </c>
      <c r="T15" s="18">
        <f t="shared" si="2"/>
        <v>431</v>
      </c>
      <c r="U15" s="18">
        <f t="shared" si="2"/>
        <v>499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474</v>
      </c>
      <c r="E16" s="19">
        <f t="shared" si="3"/>
        <v>474</v>
      </c>
      <c r="F16" s="19">
        <f t="shared" si="3"/>
        <v>891</v>
      </c>
      <c r="G16" s="19">
        <f t="shared" si="3"/>
        <v>1314</v>
      </c>
      <c r="H16" s="19">
        <f t="shared" si="3"/>
        <v>1314</v>
      </c>
      <c r="I16" s="19">
        <f t="shared" si="3"/>
        <v>1314</v>
      </c>
      <c r="J16" s="19">
        <f t="shared" si="3"/>
        <v>1755</v>
      </c>
      <c r="K16" s="19">
        <f t="shared" si="3"/>
        <v>1755</v>
      </c>
      <c r="L16" s="19">
        <f t="shared" si="3"/>
        <v>1755</v>
      </c>
      <c r="M16" s="19">
        <f t="shared" si="3"/>
        <v>1755</v>
      </c>
      <c r="N16" s="19">
        <f t="shared" si="3"/>
        <v>2179</v>
      </c>
      <c r="O16" s="19">
        <f t="shared" si="3"/>
        <v>2668</v>
      </c>
      <c r="P16" s="19">
        <f t="shared" si="3"/>
        <v>3029</v>
      </c>
      <c r="Q16" s="19">
        <f t="shared" si="3"/>
        <v>3475</v>
      </c>
      <c r="R16" s="19">
        <f t="shared" si="3"/>
        <v>3926</v>
      </c>
      <c r="S16" s="19">
        <f t="shared" si="3"/>
        <v>3926</v>
      </c>
      <c r="T16" s="19">
        <f t="shared" si="3"/>
        <v>4357</v>
      </c>
      <c r="U16" s="19">
        <f t="shared" si="3"/>
        <v>4856</v>
      </c>
      <c r="V16" s="19">
        <f t="shared" si="3"/>
        <v>4856</v>
      </c>
      <c r="W16" s="19">
        <f t="shared" si="3"/>
        <v>4856</v>
      </c>
      <c r="X16" s="19">
        <f t="shared" si="3"/>
        <v>4856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158</v>
      </c>
      <c r="E17" s="20">
        <f t="shared" si="4"/>
        <v>158</v>
      </c>
      <c r="F17" s="20">
        <f t="shared" si="4"/>
        <v>148.5</v>
      </c>
      <c r="G17" s="20">
        <f t="shared" si="4"/>
        <v>146</v>
      </c>
      <c r="H17" s="20">
        <f t="shared" si="4"/>
        <v>146</v>
      </c>
      <c r="I17" s="20">
        <f t="shared" si="4"/>
        <v>146</v>
      </c>
      <c r="J17" s="20">
        <f t="shared" si="4"/>
        <v>146.25</v>
      </c>
      <c r="K17" s="20">
        <f t="shared" si="4"/>
        <v>146.25</v>
      </c>
      <c r="L17" s="20">
        <f t="shared" si="4"/>
        <v>146.25</v>
      </c>
      <c r="M17" s="20">
        <f t="shared" si="4"/>
        <v>146.25</v>
      </c>
      <c r="N17" s="20">
        <f t="shared" si="4"/>
        <v>145.26666666666668</v>
      </c>
      <c r="O17" s="20">
        <f t="shared" si="4"/>
        <v>148.22222222222223</v>
      </c>
      <c r="P17" s="20">
        <f t="shared" si="4"/>
        <v>144.23809523809524</v>
      </c>
      <c r="Q17" s="20">
        <f t="shared" si="4"/>
        <v>144.79166666666666</v>
      </c>
      <c r="R17" s="20">
        <f t="shared" si="4"/>
        <v>145.40740740740742</v>
      </c>
      <c r="S17" s="20">
        <f t="shared" si="4"/>
        <v>145.40740740740742</v>
      </c>
      <c r="T17" s="20">
        <f t="shared" si="4"/>
        <v>145.23333333333332</v>
      </c>
      <c r="U17" s="20">
        <f t="shared" si="4"/>
        <v>147.15151515151516</v>
      </c>
      <c r="V17" s="20">
        <f t="shared" si="4"/>
        <v>147.15151515151516</v>
      </c>
      <c r="W17" s="20">
        <f t="shared" si="4"/>
        <v>147.15151515151516</v>
      </c>
      <c r="X17" s="20">
        <f t="shared" si="4"/>
        <v>147.15151515151516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38</v>
      </c>
      <c r="E18" s="19">
        <f t="shared" si="5"/>
        <v>38</v>
      </c>
      <c r="F18" s="19">
        <f t="shared" si="5"/>
        <v>46</v>
      </c>
      <c r="G18" s="19">
        <f t="shared" si="5"/>
        <v>49</v>
      </c>
      <c r="H18" s="19">
        <f t="shared" si="5"/>
        <v>49</v>
      </c>
      <c r="I18" s="19">
        <f t="shared" si="5"/>
        <v>49</v>
      </c>
      <c r="J18" s="19">
        <f t="shared" si="5"/>
        <v>48</v>
      </c>
      <c r="K18" s="19">
        <f t="shared" si="5"/>
        <v>48</v>
      </c>
      <c r="L18" s="19">
        <f t="shared" si="5"/>
        <v>48</v>
      </c>
      <c r="M18" s="19">
        <f t="shared" si="5"/>
        <v>48</v>
      </c>
      <c r="N18" s="19">
        <f t="shared" si="5"/>
        <v>49</v>
      </c>
      <c r="O18" s="19">
        <f t="shared" si="5"/>
        <v>47</v>
      </c>
      <c r="P18" s="19">
        <f t="shared" si="5"/>
        <v>50</v>
      </c>
      <c r="Q18" s="19">
        <f t="shared" si="5"/>
        <v>50</v>
      </c>
      <c r="R18" s="19">
        <f t="shared" si="5"/>
        <v>49</v>
      </c>
      <c r="S18" s="19">
        <f t="shared" si="5"/>
        <v>49</v>
      </c>
      <c r="T18" s="19">
        <f t="shared" si="5"/>
        <v>49</v>
      </c>
      <c r="U18" s="19">
        <f t="shared" si="5"/>
        <v>48</v>
      </c>
      <c r="V18" s="19">
        <f t="shared" si="5"/>
        <v>48</v>
      </c>
      <c r="W18" s="19">
        <f t="shared" si="5"/>
        <v>48</v>
      </c>
      <c r="X18" s="19">
        <f t="shared" si="5"/>
        <v>48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3</v>
      </c>
      <c r="F19" s="19">
        <f t="shared" si="6"/>
        <v>6</v>
      </c>
      <c r="G19" s="19">
        <f t="shared" si="6"/>
        <v>9</v>
      </c>
      <c r="H19" s="19">
        <f t="shared" si="6"/>
        <v>9</v>
      </c>
      <c r="I19" s="19">
        <f t="shared" si="6"/>
        <v>9</v>
      </c>
      <c r="J19" s="19">
        <f t="shared" si="6"/>
        <v>12</v>
      </c>
      <c r="K19" s="19">
        <f t="shared" si="6"/>
        <v>12</v>
      </c>
      <c r="L19" s="19">
        <f t="shared" si="6"/>
        <v>12</v>
      </c>
      <c r="M19" s="19">
        <f t="shared" si="6"/>
        <v>12</v>
      </c>
      <c r="N19" s="19">
        <f t="shared" si="6"/>
        <v>15</v>
      </c>
      <c r="O19" s="19">
        <f t="shared" si="6"/>
        <v>18</v>
      </c>
      <c r="P19" s="19">
        <f t="shared" si="6"/>
        <v>21</v>
      </c>
      <c r="Q19" s="19">
        <f t="shared" si="6"/>
        <v>24</v>
      </c>
      <c r="R19" s="19">
        <f t="shared" si="6"/>
        <v>27</v>
      </c>
      <c r="S19" s="19">
        <f t="shared" si="6"/>
        <v>27</v>
      </c>
      <c r="T19" s="19">
        <f t="shared" si="6"/>
        <v>30</v>
      </c>
      <c r="U19" s="19">
        <f t="shared" si="6"/>
        <v>33</v>
      </c>
      <c r="V19" s="19">
        <f t="shared" si="6"/>
        <v>33</v>
      </c>
      <c r="W19" s="19">
        <f t="shared" si="6"/>
        <v>33</v>
      </c>
      <c r="X19" s="19">
        <f t="shared" si="6"/>
        <v>33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175</v>
      </c>
      <c r="E20" s="19">
        <f t="shared" si="7"/>
        <v>0</v>
      </c>
      <c r="F20" s="19">
        <f t="shared" si="7"/>
        <v>150</v>
      </c>
      <c r="G20" s="19">
        <f t="shared" si="7"/>
        <v>150</v>
      </c>
      <c r="H20" s="19">
        <f t="shared" si="7"/>
        <v>0</v>
      </c>
      <c r="I20" s="19">
        <f t="shared" si="7"/>
        <v>0</v>
      </c>
      <c r="J20" s="19">
        <f t="shared" si="7"/>
        <v>161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178</v>
      </c>
      <c r="O20" s="19">
        <f t="shared" si="7"/>
        <v>188</v>
      </c>
      <c r="P20" s="19">
        <f t="shared" si="7"/>
        <v>133</v>
      </c>
      <c r="Q20" s="19">
        <f t="shared" si="7"/>
        <v>159</v>
      </c>
      <c r="R20" s="19">
        <f t="shared" si="7"/>
        <v>177</v>
      </c>
      <c r="S20" s="19">
        <f t="shared" si="7"/>
        <v>0</v>
      </c>
      <c r="T20" s="19">
        <f t="shared" si="7"/>
        <v>175</v>
      </c>
      <c r="U20" s="19">
        <f t="shared" si="7"/>
        <v>222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47</v>
      </c>
      <c r="D21" s="19">
        <f>MAX(D$9:D$14)+$I$5</f>
        <v>222</v>
      </c>
      <c r="E21" s="19">
        <f>MAX(E$9:E$14)+$I$5</f>
        <v>47</v>
      </c>
      <c r="F21" s="19">
        <f>MAX(F$9:F$14)+$I$5</f>
        <v>197</v>
      </c>
      <c r="G21" s="19">
        <f t="shared" ref="G21:X21" si="8">MAX(G$9:G$14)+F18</f>
        <v>196</v>
      </c>
      <c r="H21" s="19">
        <f t="shared" si="8"/>
        <v>49</v>
      </c>
      <c r="I21" s="19">
        <f t="shared" si="8"/>
        <v>49</v>
      </c>
      <c r="J21" s="19">
        <f t="shared" si="8"/>
        <v>210</v>
      </c>
      <c r="K21" s="19">
        <f t="shared" si="8"/>
        <v>48</v>
      </c>
      <c r="L21" s="19">
        <f t="shared" si="8"/>
        <v>48</v>
      </c>
      <c r="M21" s="19">
        <f t="shared" si="8"/>
        <v>48</v>
      </c>
      <c r="N21" s="19">
        <f t="shared" si="8"/>
        <v>226</v>
      </c>
      <c r="O21" s="19">
        <f t="shared" si="8"/>
        <v>237</v>
      </c>
      <c r="P21" s="19">
        <f t="shared" si="8"/>
        <v>180</v>
      </c>
      <c r="Q21" s="19">
        <f t="shared" si="8"/>
        <v>209</v>
      </c>
      <c r="R21" s="19">
        <f t="shared" si="8"/>
        <v>227</v>
      </c>
      <c r="S21" s="19">
        <f t="shared" si="8"/>
        <v>49</v>
      </c>
      <c r="T21" s="19">
        <f t="shared" si="8"/>
        <v>224</v>
      </c>
      <c r="U21" s="19">
        <f t="shared" si="8"/>
        <v>271</v>
      </c>
      <c r="V21" s="19">
        <f t="shared" si="8"/>
        <v>48</v>
      </c>
      <c r="W21" s="19">
        <f t="shared" si="8"/>
        <v>48</v>
      </c>
      <c r="X21" s="19">
        <f t="shared" si="8"/>
        <v>48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474</v>
      </c>
      <c r="E22" s="19">
        <f t="shared" si="9"/>
        <v>0</v>
      </c>
      <c r="F22" s="19">
        <f t="shared" si="9"/>
        <v>417</v>
      </c>
      <c r="G22" s="19">
        <f t="shared" si="9"/>
        <v>423</v>
      </c>
      <c r="H22" s="19">
        <f t="shared" si="9"/>
        <v>0</v>
      </c>
      <c r="I22" s="19">
        <f t="shared" si="9"/>
        <v>0</v>
      </c>
      <c r="J22" s="19">
        <f t="shared" si="9"/>
        <v>441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424</v>
      </c>
      <c r="O22" s="19">
        <f t="shared" si="9"/>
        <v>489</v>
      </c>
      <c r="P22" s="19">
        <f t="shared" si="9"/>
        <v>361</v>
      </c>
      <c r="Q22" s="19">
        <f t="shared" si="9"/>
        <v>446</v>
      </c>
      <c r="R22" s="19">
        <f t="shared" si="9"/>
        <v>451</v>
      </c>
      <c r="S22" s="19">
        <f t="shared" si="9"/>
        <v>0</v>
      </c>
      <c r="T22" s="19">
        <f t="shared" si="9"/>
        <v>431</v>
      </c>
      <c r="U22" s="19">
        <f t="shared" si="9"/>
        <v>499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141</v>
      </c>
      <c r="D23" s="19">
        <f>MAX(SUM(D$9:D$11),SUM(D$12:D$14))+$I$5*3</f>
        <v>615</v>
      </c>
      <c r="E23" s="19">
        <f>MAX(SUM(E$9:E$11),SUM(E$12:E$14))+$I$5*3</f>
        <v>141</v>
      </c>
      <c r="F23" s="19">
        <f>MAX(SUM(F$9:F$11),SUM(F$12:F$14))+$I$5*3</f>
        <v>558</v>
      </c>
      <c r="G23" s="19">
        <f t="shared" ref="G23:X23" si="10">MAX(SUM(G$9:G$11),SUM(G$12:G$14))+F18*3</f>
        <v>561</v>
      </c>
      <c r="H23" s="19">
        <f t="shared" si="10"/>
        <v>147</v>
      </c>
      <c r="I23" s="19">
        <f t="shared" si="10"/>
        <v>147</v>
      </c>
      <c r="J23" s="19">
        <f t="shared" si="10"/>
        <v>588</v>
      </c>
      <c r="K23" s="19">
        <f t="shared" si="10"/>
        <v>144</v>
      </c>
      <c r="L23" s="19">
        <f t="shared" si="10"/>
        <v>144</v>
      </c>
      <c r="M23" s="19">
        <f t="shared" si="10"/>
        <v>144</v>
      </c>
      <c r="N23" s="19">
        <f t="shared" si="10"/>
        <v>568</v>
      </c>
      <c r="O23" s="19">
        <f t="shared" si="10"/>
        <v>636</v>
      </c>
      <c r="P23" s="19">
        <f t="shared" si="10"/>
        <v>502</v>
      </c>
      <c r="Q23" s="19">
        <f t="shared" si="10"/>
        <v>596</v>
      </c>
      <c r="R23" s="19">
        <f t="shared" si="10"/>
        <v>601</v>
      </c>
      <c r="S23" s="19">
        <f t="shared" si="10"/>
        <v>147</v>
      </c>
      <c r="T23" s="19">
        <f t="shared" si="10"/>
        <v>578</v>
      </c>
      <c r="U23" s="19">
        <f t="shared" si="10"/>
        <v>646</v>
      </c>
      <c r="V23" s="19">
        <f t="shared" si="10"/>
        <v>144</v>
      </c>
      <c r="W23" s="19">
        <f t="shared" si="10"/>
        <v>144</v>
      </c>
      <c r="X23" s="19">
        <f t="shared" si="10"/>
        <v>144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175</v>
      </c>
      <c r="E27" s="107">
        <f>MAX($C20:E20)</f>
        <v>175</v>
      </c>
      <c r="F27" s="107">
        <f>MAX($C20:F20)</f>
        <v>175</v>
      </c>
      <c r="G27" s="107">
        <f>MAX($C20:G20)</f>
        <v>175</v>
      </c>
      <c r="H27" s="107">
        <f>MAX($C20:H20)</f>
        <v>175</v>
      </c>
      <c r="I27" s="107">
        <f>MAX($C20:I20)</f>
        <v>175</v>
      </c>
      <c r="J27" s="107">
        <f>MAX($C20:J20)</f>
        <v>175</v>
      </c>
      <c r="K27" s="107">
        <f>MAX($C20:K20)</f>
        <v>175</v>
      </c>
      <c r="L27" s="107">
        <f>MAX($C20:L20)</f>
        <v>175</v>
      </c>
      <c r="M27" s="107">
        <f>MAX($C20:M20)</f>
        <v>175</v>
      </c>
      <c r="N27" s="107">
        <f>MAX($C20:N20)</f>
        <v>178</v>
      </c>
      <c r="O27" s="107">
        <f>MAX($C20:O20)</f>
        <v>188</v>
      </c>
      <c r="P27" s="107">
        <f>MAX($C20:P20)</f>
        <v>188</v>
      </c>
      <c r="Q27" s="107">
        <f>MAX($C20:Q20)</f>
        <v>188</v>
      </c>
      <c r="R27" s="107">
        <f>MAX($C20:R20)</f>
        <v>188</v>
      </c>
      <c r="S27" s="107">
        <f>MAX($C20:S20)</f>
        <v>188</v>
      </c>
      <c r="T27" s="107">
        <f>MAX($C20:T20)</f>
        <v>188</v>
      </c>
      <c r="U27" s="107">
        <f>MAX($C20:U20)</f>
        <v>222</v>
      </c>
      <c r="V27" s="107">
        <f>MAX($C20:V20)</f>
        <v>222</v>
      </c>
      <c r="W27" s="107">
        <f>MAX($C20:W20)</f>
        <v>222</v>
      </c>
      <c r="X27" s="107">
        <f>MAX($C20:X20)</f>
        <v>222</v>
      </c>
    </row>
    <row r="28" spans="1:25" ht="13.15" x14ac:dyDescent="0.4">
      <c r="A28">
        <v>22</v>
      </c>
      <c r="B28" s="151" t="s">
        <v>78</v>
      </c>
      <c r="C28" s="19">
        <f>MAX(C21)</f>
        <v>47</v>
      </c>
      <c r="D28" s="107">
        <f>MAX($C21:D21)</f>
        <v>222</v>
      </c>
      <c r="E28" s="107">
        <f>MAX($C21:E21)</f>
        <v>222</v>
      </c>
      <c r="F28" s="107">
        <f>MAX($C21:F21)</f>
        <v>222</v>
      </c>
      <c r="G28" s="107">
        <f>MAX($C21:G21)</f>
        <v>222</v>
      </c>
      <c r="H28" s="107">
        <f>MAX($C21:H21)</f>
        <v>222</v>
      </c>
      <c r="I28" s="107">
        <f>MAX($C21:I21)</f>
        <v>222</v>
      </c>
      <c r="J28" s="107">
        <f>MAX($C21:J21)</f>
        <v>222</v>
      </c>
      <c r="K28" s="107">
        <f>MAX($C21:K21)</f>
        <v>222</v>
      </c>
      <c r="L28" s="107">
        <f>MAX($C21:L21)</f>
        <v>222</v>
      </c>
      <c r="M28" s="107">
        <f>MAX($C21:M21)</f>
        <v>222</v>
      </c>
      <c r="N28" s="107">
        <f>MAX($C21:N21)</f>
        <v>226</v>
      </c>
      <c r="O28" s="107">
        <f>MAX($C21:O21)</f>
        <v>237</v>
      </c>
      <c r="P28" s="107">
        <f>MAX($C21:P21)</f>
        <v>237</v>
      </c>
      <c r="Q28" s="107">
        <f>MAX($C21:Q21)</f>
        <v>237</v>
      </c>
      <c r="R28" s="107">
        <f>MAX($C21:R21)</f>
        <v>237</v>
      </c>
      <c r="S28" s="107">
        <f>MAX($C21:S21)</f>
        <v>237</v>
      </c>
      <c r="T28" s="107">
        <f>MAX($C21:T21)</f>
        <v>237</v>
      </c>
      <c r="U28" s="107">
        <f>MAX($C21:U21)</f>
        <v>271</v>
      </c>
      <c r="V28" s="107">
        <f>MAX($C21:V21)</f>
        <v>271</v>
      </c>
      <c r="W28" s="107">
        <f>MAX($C21:W21)</f>
        <v>271</v>
      </c>
      <c r="X28" s="107">
        <f>MAX($C21:X21)</f>
        <v>271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474</v>
      </c>
      <c r="E29" s="107">
        <f>MAX($C22:E22)</f>
        <v>474</v>
      </c>
      <c r="F29" s="107">
        <f>MAX($C22:F22)</f>
        <v>474</v>
      </c>
      <c r="G29" s="107">
        <f>MAX($C22:G22)</f>
        <v>474</v>
      </c>
      <c r="H29" s="107">
        <f>MAX($C22:H22)</f>
        <v>474</v>
      </c>
      <c r="I29" s="107">
        <f>MAX($C22:I22)</f>
        <v>474</v>
      </c>
      <c r="J29" s="107">
        <f>MAX($C22:J22)</f>
        <v>474</v>
      </c>
      <c r="K29" s="107">
        <f>MAX($C22:K22)</f>
        <v>474</v>
      </c>
      <c r="L29" s="107">
        <f>MAX($C22:L22)</f>
        <v>474</v>
      </c>
      <c r="M29" s="107">
        <f>MAX($C22:M22)</f>
        <v>474</v>
      </c>
      <c r="N29" s="107">
        <f>MAX($C22:N22)</f>
        <v>474</v>
      </c>
      <c r="O29" s="107">
        <f>MAX($C22:O22)</f>
        <v>489</v>
      </c>
      <c r="P29" s="107">
        <f>MAX($C22:P22)</f>
        <v>489</v>
      </c>
      <c r="Q29" s="107">
        <f>MAX($C22:Q22)</f>
        <v>489</v>
      </c>
      <c r="R29" s="107">
        <f>MAX($C22:R22)</f>
        <v>489</v>
      </c>
      <c r="S29" s="107">
        <f>MAX($C22:S22)</f>
        <v>489</v>
      </c>
      <c r="T29" s="107">
        <f>MAX($C22:T22)</f>
        <v>489</v>
      </c>
      <c r="U29" s="107">
        <f>MAX($C22:U22)</f>
        <v>499</v>
      </c>
      <c r="V29" s="107">
        <f>MAX($C22:V22)</f>
        <v>499</v>
      </c>
      <c r="W29" s="107">
        <f>MAX($C22:W22)</f>
        <v>499</v>
      </c>
      <c r="X29" s="107">
        <f>MAX($C22:X22)</f>
        <v>499</v>
      </c>
    </row>
    <row r="30" spans="1:25" ht="13.15" x14ac:dyDescent="0.4">
      <c r="A30">
        <v>24</v>
      </c>
      <c r="B30" s="151" t="s">
        <v>80</v>
      </c>
      <c r="C30" s="19">
        <f>MAX(C23)</f>
        <v>141</v>
      </c>
      <c r="D30" s="107">
        <f>MAX($C23:D23)</f>
        <v>615</v>
      </c>
      <c r="E30" s="107">
        <f>MAX($C23:E23)</f>
        <v>615</v>
      </c>
      <c r="F30" s="107">
        <f>MAX($C23:F23)</f>
        <v>615</v>
      </c>
      <c r="G30" s="107">
        <f>MAX($C23:G23)</f>
        <v>615</v>
      </c>
      <c r="H30" s="107">
        <f>MAX($C23:H23)</f>
        <v>615</v>
      </c>
      <c r="I30" s="107">
        <f>MAX($C23:I23)</f>
        <v>615</v>
      </c>
      <c r="J30" s="107">
        <f>MAX($C23:J23)</f>
        <v>615</v>
      </c>
      <c r="K30" s="107">
        <f>MAX($C23:K23)</f>
        <v>615</v>
      </c>
      <c r="L30" s="107">
        <f>MAX($C23:L23)</f>
        <v>615</v>
      </c>
      <c r="M30" s="107">
        <f>MAX($C23:M23)</f>
        <v>615</v>
      </c>
      <c r="N30" s="107">
        <f>MAX($C23:N23)</f>
        <v>615</v>
      </c>
      <c r="O30" s="107">
        <f>MAX($C23:O23)</f>
        <v>636</v>
      </c>
      <c r="P30" s="107">
        <f>MAX($C23:P23)</f>
        <v>636</v>
      </c>
      <c r="Q30" s="107">
        <f>MAX($C23:Q23)</f>
        <v>636</v>
      </c>
      <c r="R30" s="107">
        <f>MAX($C23:R23)</f>
        <v>636</v>
      </c>
      <c r="S30" s="107">
        <f>MAX($C23:S23)</f>
        <v>636</v>
      </c>
      <c r="T30" s="107">
        <f>MAX($C23:T23)</f>
        <v>636</v>
      </c>
      <c r="U30" s="107">
        <f>MAX($C23:U23)</f>
        <v>646</v>
      </c>
      <c r="V30" s="107">
        <f>MAX($C23:V23)</f>
        <v>646</v>
      </c>
      <c r="W30" s="107">
        <f>MAX($C23:W23)</f>
        <v>646</v>
      </c>
      <c r="X30" s="107">
        <f>MAX($C23:X23)</f>
        <v>646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180</v>
      </c>
      <c r="G2" s="203" t="s">
        <v>179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46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48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F9">
        <v>176</v>
      </c>
      <c r="I9">
        <v>145</v>
      </c>
      <c r="J9">
        <v>135</v>
      </c>
      <c r="K9">
        <v>149</v>
      </c>
      <c r="L9">
        <v>150</v>
      </c>
      <c r="M9">
        <v>127</v>
      </c>
      <c r="N9">
        <v>175</v>
      </c>
      <c r="O9">
        <v>127</v>
      </c>
      <c r="Q9">
        <v>166</v>
      </c>
      <c r="R9">
        <v>156</v>
      </c>
    </row>
    <row r="10" spans="1:24" ht="13.15" x14ac:dyDescent="0.4">
      <c r="A10">
        <v>4</v>
      </c>
      <c r="B10" s="3" t="s">
        <v>15</v>
      </c>
      <c r="F10">
        <v>165</v>
      </c>
      <c r="I10">
        <v>128</v>
      </c>
      <c r="J10">
        <v>131</v>
      </c>
      <c r="K10">
        <v>193</v>
      </c>
      <c r="L10">
        <v>193</v>
      </c>
      <c r="M10">
        <v>173</v>
      </c>
      <c r="N10">
        <v>141</v>
      </c>
      <c r="O10">
        <v>133</v>
      </c>
      <c r="Q10">
        <v>127</v>
      </c>
      <c r="R10">
        <v>151</v>
      </c>
    </row>
    <row r="11" spans="1:24" ht="13.15" x14ac:dyDescent="0.4">
      <c r="A11">
        <v>5</v>
      </c>
      <c r="B11" s="3" t="s">
        <v>16</v>
      </c>
      <c r="F11">
        <v>179</v>
      </c>
      <c r="I11">
        <v>124</v>
      </c>
      <c r="J11">
        <v>124</v>
      </c>
      <c r="K11">
        <v>143</v>
      </c>
      <c r="N11">
        <v>150</v>
      </c>
      <c r="O11">
        <v>156</v>
      </c>
      <c r="Q11">
        <v>118</v>
      </c>
      <c r="R11">
        <v>128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520</v>
      </c>
      <c r="G15" s="18">
        <f t="shared" si="2"/>
        <v>0</v>
      </c>
      <c r="H15" s="18">
        <f t="shared" si="2"/>
        <v>0</v>
      </c>
      <c r="I15" s="18">
        <f t="shared" si="2"/>
        <v>397</v>
      </c>
      <c r="J15" s="18">
        <f t="shared" si="2"/>
        <v>390</v>
      </c>
      <c r="K15" s="18">
        <f t="shared" si="2"/>
        <v>485</v>
      </c>
      <c r="L15" s="18">
        <f t="shared" si="2"/>
        <v>343</v>
      </c>
      <c r="M15" s="18">
        <f t="shared" si="2"/>
        <v>300</v>
      </c>
      <c r="N15" s="18">
        <f t="shared" si="2"/>
        <v>466</v>
      </c>
      <c r="O15" s="18">
        <f t="shared" si="2"/>
        <v>416</v>
      </c>
      <c r="P15" s="18">
        <f t="shared" si="2"/>
        <v>0</v>
      </c>
      <c r="Q15" s="18">
        <f t="shared" si="2"/>
        <v>411</v>
      </c>
      <c r="R15" s="18">
        <f t="shared" si="2"/>
        <v>435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520</v>
      </c>
      <c r="G16" s="19">
        <f t="shared" si="3"/>
        <v>520</v>
      </c>
      <c r="H16" s="19">
        <f t="shared" si="3"/>
        <v>520</v>
      </c>
      <c r="I16" s="19">
        <f t="shared" si="3"/>
        <v>917</v>
      </c>
      <c r="J16" s="19">
        <f t="shared" si="3"/>
        <v>1307</v>
      </c>
      <c r="K16" s="19">
        <f t="shared" si="3"/>
        <v>1792</v>
      </c>
      <c r="L16" s="19">
        <f t="shared" si="3"/>
        <v>2135</v>
      </c>
      <c r="M16" s="19">
        <f t="shared" si="3"/>
        <v>2435</v>
      </c>
      <c r="N16" s="19">
        <f t="shared" si="3"/>
        <v>2901</v>
      </c>
      <c r="O16" s="19">
        <f t="shared" si="3"/>
        <v>3317</v>
      </c>
      <c r="P16" s="19">
        <f t="shared" si="3"/>
        <v>3317</v>
      </c>
      <c r="Q16" s="19">
        <f t="shared" si="3"/>
        <v>3728</v>
      </c>
      <c r="R16" s="19">
        <f t="shared" si="3"/>
        <v>4163</v>
      </c>
      <c r="S16" s="19">
        <f t="shared" si="3"/>
        <v>4163</v>
      </c>
      <c r="T16" s="19">
        <f t="shared" si="3"/>
        <v>4163</v>
      </c>
      <c r="U16" s="19">
        <f t="shared" si="3"/>
        <v>4163</v>
      </c>
      <c r="V16" s="19">
        <f t="shared" si="3"/>
        <v>4163</v>
      </c>
      <c r="W16" s="19">
        <f t="shared" si="3"/>
        <v>4163</v>
      </c>
      <c r="X16" s="19">
        <f t="shared" si="3"/>
        <v>4163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>
        <f t="shared" si="4"/>
        <v>173.33333333333334</v>
      </c>
      <c r="G17" s="20">
        <f t="shared" si="4"/>
        <v>173.33333333333334</v>
      </c>
      <c r="H17" s="20">
        <f t="shared" si="4"/>
        <v>173.33333333333334</v>
      </c>
      <c r="I17" s="20">
        <f t="shared" si="4"/>
        <v>152.83333333333334</v>
      </c>
      <c r="J17" s="20">
        <f t="shared" si="4"/>
        <v>145.22222222222223</v>
      </c>
      <c r="K17" s="20">
        <f t="shared" si="4"/>
        <v>149.33333333333334</v>
      </c>
      <c r="L17" s="20">
        <f t="shared" si="4"/>
        <v>152.5</v>
      </c>
      <c r="M17" s="20">
        <f t="shared" si="4"/>
        <v>152.1875</v>
      </c>
      <c r="N17" s="20">
        <f t="shared" si="4"/>
        <v>152.68421052631578</v>
      </c>
      <c r="O17" s="20">
        <f t="shared" si="4"/>
        <v>150.77272727272728</v>
      </c>
      <c r="P17" s="20">
        <f t="shared" si="4"/>
        <v>150.77272727272728</v>
      </c>
      <c r="Q17" s="20">
        <f t="shared" si="4"/>
        <v>149.12</v>
      </c>
      <c r="R17" s="20">
        <f t="shared" si="4"/>
        <v>148.67857142857142</v>
      </c>
      <c r="S17" s="20">
        <f t="shared" si="4"/>
        <v>148.67857142857142</v>
      </c>
      <c r="T17" s="20">
        <f t="shared" si="4"/>
        <v>148.67857142857142</v>
      </c>
      <c r="U17" s="20">
        <f t="shared" si="4"/>
        <v>148.67857142857142</v>
      </c>
      <c r="V17" s="20">
        <f t="shared" si="4"/>
        <v>148.67857142857142</v>
      </c>
      <c r="W17" s="20">
        <f t="shared" si="4"/>
        <v>148.67857142857142</v>
      </c>
      <c r="X17" s="20">
        <f t="shared" si="4"/>
        <v>148.67857142857142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>
        <f t="shared" si="5"/>
        <v>24</v>
      </c>
      <c r="G18" s="19">
        <f t="shared" si="5"/>
        <v>24</v>
      </c>
      <c r="H18" s="19">
        <f t="shared" si="5"/>
        <v>24</v>
      </c>
      <c r="I18" s="19">
        <f t="shared" si="5"/>
        <v>42</v>
      </c>
      <c r="J18" s="19">
        <f t="shared" si="5"/>
        <v>49</v>
      </c>
      <c r="K18" s="19">
        <f t="shared" si="5"/>
        <v>46</v>
      </c>
      <c r="L18" s="19">
        <f t="shared" si="5"/>
        <v>43</v>
      </c>
      <c r="M18" s="19">
        <f t="shared" si="5"/>
        <v>43</v>
      </c>
      <c r="N18" s="19">
        <f t="shared" si="5"/>
        <v>43</v>
      </c>
      <c r="O18" s="19">
        <f t="shared" si="5"/>
        <v>44</v>
      </c>
      <c r="P18" s="19">
        <f t="shared" si="5"/>
        <v>44</v>
      </c>
      <c r="Q18" s="19">
        <f t="shared" si="5"/>
        <v>46</v>
      </c>
      <c r="R18" s="19">
        <f t="shared" si="5"/>
        <v>46</v>
      </c>
      <c r="S18" s="19">
        <f t="shared" si="5"/>
        <v>46</v>
      </c>
      <c r="T18" s="19">
        <f t="shared" si="5"/>
        <v>46</v>
      </c>
      <c r="U18" s="19">
        <f t="shared" si="5"/>
        <v>46</v>
      </c>
      <c r="V18" s="19">
        <f t="shared" si="5"/>
        <v>46</v>
      </c>
      <c r="W18" s="19">
        <f t="shared" si="5"/>
        <v>46</v>
      </c>
      <c r="X18" s="19">
        <f t="shared" si="5"/>
        <v>46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3</v>
      </c>
      <c r="G19" s="19">
        <f t="shared" si="6"/>
        <v>3</v>
      </c>
      <c r="H19" s="19">
        <f t="shared" si="6"/>
        <v>3</v>
      </c>
      <c r="I19" s="19">
        <f t="shared" si="6"/>
        <v>6</v>
      </c>
      <c r="J19" s="19">
        <f t="shared" si="6"/>
        <v>9</v>
      </c>
      <c r="K19" s="19">
        <f t="shared" si="6"/>
        <v>12</v>
      </c>
      <c r="L19" s="19">
        <f t="shared" si="6"/>
        <v>14</v>
      </c>
      <c r="M19" s="19">
        <f t="shared" si="6"/>
        <v>16</v>
      </c>
      <c r="N19" s="19">
        <f t="shared" si="6"/>
        <v>19</v>
      </c>
      <c r="O19" s="19">
        <f t="shared" si="6"/>
        <v>22</v>
      </c>
      <c r="P19" s="19">
        <f t="shared" si="6"/>
        <v>22</v>
      </c>
      <c r="Q19" s="19">
        <f t="shared" si="6"/>
        <v>25</v>
      </c>
      <c r="R19" s="19">
        <f t="shared" si="6"/>
        <v>28</v>
      </c>
      <c r="S19" s="19">
        <f t="shared" si="6"/>
        <v>28</v>
      </c>
      <c r="T19" s="19">
        <f t="shared" si="6"/>
        <v>28</v>
      </c>
      <c r="U19" s="19">
        <f t="shared" si="6"/>
        <v>28</v>
      </c>
      <c r="V19" s="19">
        <f t="shared" si="6"/>
        <v>28</v>
      </c>
      <c r="W19" s="19">
        <f t="shared" si="6"/>
        <v>28</v>
      </c>
      <c r="X19" s="19">
        <f t="shared" si="6"/>
        <v>28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179</v>
      </c>
      <c r="G20" s="19">
        <f t="shared" si="7"/>
        <v>0</v>
      </c>
      <c r="H20" s="19">
        <f t="shared" si="7"/>
        <v>0</v>
      </c>
      <c r="I20" s="19">
        <f t="shared" si="7"/>
        <v>145</v>
      </c>
      <c r="J20" s="19">
        <f t="shared" si="7"/>
        <v>135</v>
      </c>
      <c r="K20" s="19">
        <f t="shared" si="7"/>
        <v>193</v>
      </c>
      <c r="L20" s="19">
        <f t="shared" si="7"/>
        <v>193</v>
      </c>
      <c r="M20" s="19">
        <f t="shared" si="7"/>
        <v>173</v>
      </c>
      <c r="N20" s="19">
        <f t="shared" si="7"/>
        <v>175</v>
      </c>
      <c r="O20" s="19">
        <f t="shared" si="7"/>
        <v>156</v>
      </c>
      <c r="P20" s="19">
        <f t="shared" si="7"/>
        <v>0</v>
      </c>
      <c r="Q20" s="19">
        <f t="shared" si="7"/>
        <v>166</v>
      </c>
      <c r="R20" s="19">
        <f t="shared" si="7"/>
        <v>156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I21" si="8">MAX(C$9:C$14)+$I$5</f>
        <v>48</v>
      </c>
      <c r="D21" s="19">
        <f t="shared" si="8"/>
        <v>48</v>
      </c>
      <c r="E21" s="19">
        <f t="shared" si="8"/>
        <v>48</v>
      </c>
      <c r="F21" s="19">
        <f t="shared" si="8"/>
        <v>227</v>
      </c>
      <c r="G21" s="19">
        <f t="shared" si="8"/>
        <v>48</v>
      </c>
      <c r="H21" s="19">
        <f t="shared" si="8"/>
        <v>48</v>
      </c>
      <c r="I21" s="19">
        <f t="shared" si="8"/>
        <v>193</v>
      </c>
      <c r="J21" s="19">
        <f t="shared" ref="J21:X21" si="9">MAX(J$9:J$14)+I18</f>
        <v>177</v>
      </c>
      <c r="K21" s="19">
        <f t="shared" si="9"/>
        <v>242</v>
      </c>
      <c r="L21" s="19">
        <f t="shared" si="9"/>
        <v>239</v>
      </c>
      <c r="M21" s="19">
        <f t="shared" si="9"/>
        <v>216</v>
      </c>
      <c r="N21" s="19">
        <f t="shared" si="9"/>
        <v>218</v>
      </c>
      <c r="O21" s="19">
        <f t="shared" si="9"/>
        <v>199</v>
      </c>
      <c r="P21" s="19">
        <f t="shared" si="9"/>
        <v>44</v>
      </c>
      <c r="Q21" s="19">
        <f t="shared" si="9"/>
        <v>210</v>
      </c>
      <c r="R21" s="19">
        <f t="shared" si="9"/>
        <v>202</v>
      </c>
      <c r="S21" s="19">
        <f t="shared" si="9"/>
        <v>46</v>
      </c>
      <c r="T21" s="19">
        <f t="shared" si="9"/>
        <v>46</v>
      </c>
      <c r="U21" s="19">
        <f t="shared" si="9"/>
        <v>46</v>
      </c>
      <c r="V21" s="19">
        <f t="shared" si="9"/>
        <v>46</v>
      </c>
      <c r="W21" s="19">
        <f t="shared" si="9"/>
        <v>46</v>
      </c>
      <c r="X21" s="19">
        <f t="shared" si="9"/>
        <v>46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0</v>
      </c>
      <c r="F22" s="19">
        <f t="shared" si="10"/>
        <v>520</v>
      </c>
      <c r="G22" s="19">
        <f t="shared" si="10"/>
        <v>0</v>
      </c>
      <c r="H22" s="19">
        <f t="shared" si="10"/>
        <v>0</v>
      </c>
      <c r="I22" s="19">
        <f t="shared" si="10"/>
        <v>397</v>
      </c>
      <c r="J22" s="19">
        <f t="shared" si="10"/>
        <v>390</v>
      </c>
      <c r="K22" s="19">
        <f t="shared" si="10"/>
        <v>485</v>
      </c>
      <c r="L22" s="19">
        <f t="shared" si="10"/>
        <v>343</v>
      </c>
      <c r="M22" s="19">
        <f t="shared" si="10"/>
        <v>300</v>
      </c>
      <c r="N22" s="19">
        <f t="shared" si="10"/>
        <v>466</v>
      </c>
      <c r="O22" s="19">
        <f t="shared" si="10"/>
        <v>416</v>
      </c>
      <c r="P22" s="19">
        <f t="shared" si="10"/>
        <v>0</v>
      </c>
      <c r="Q22" s="19">
        <f t="shared" si="10"/>
        <v>411</v>
      </c>
      <c r="R22" s="19">
        <f t="shared" si="10"/>
        <v>435</v>
      </c>
      <c r="S22" s="19">
        <f t="shared" si="10"/>
        <v>0</v>
      </c>
      <c r="T22" s="19">
        <f t="shared" si="10"/>
        <v>0</v>
      </c>
      <c r="U22" s="19">
        <f t="shared" si="10"/>
        <v>0</v>
      </c>
      <c r="V22" s="19">
        <f t="shared" si="10"/>
        <v>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144</v>
      </c>
      <c r="D23" s="19">
        <f t="shared" ref="D23:I23" si="11">MAX(SUM(D$9:D$11),SUM(D$12:D$14))+$I$5*3</f>
        <v>144</v>
      </c>
      <c r="E23" s="19">
        <f t="shared" si="11"/>
        <v>144</v>
      </c>
      <c r="F23" s="19">
        <f t="shared" si="11"/>
        <v>664</v>
      </c>
      <c r="G23" s="19">
        <f t="shared" si="11"/>
        <v>144</v>
      </c>
      <c r="H23" s="19">
        <f t="shared" si="11"/>
        <v>144</v>
      </c>
      <c r="I23" s="19">
        <f t="shared" si="11"/>
        <v>541</v>
      </c>
      <c r="J23" s="19">
        <f t="shared" ref="J23:X23" si="12">MAX(SUM(J$9:J$11),SUM(J$12:J$14))+I18*3</f>
        <v>516</v>
      </c>
      <c r="K23" s="19">
        <f t="shared" si="12"/>
        <v>632</v>
      </c>
      <c r="L23" s="19">
        <f t="shared" si="12"/>
        <v>481</v>
      </c>
      <c r="M23" s="19">
        <f t="shared" si="12"/>
        <v>429</v>
      </c>
      <c r="N23" s="19">
        <f t="shared" si="12"/>
        <v>595</v>
      </c>
      <c r="O23" s="19">
        <f t="shared" si="12"/>
        <v>545</v>
      </c>
      <c r="P23" s="19">
        <f t="shared" si="12"/>
        <v>132</v>
      </c>
      <c r="Q23" s="19">
        <f t="shared" si="12"/>
        <v>543</v>
      </c>
      <c r="R23" s="19">
        <f t="shared" si="12"/>
        <v>573</v>
      </c>
      <c r="S23" s="19">
        <f t="shared" si="12"/>
        <v>138</v>
      </c>
      <c r="T23" s="19">
        <f t="shared" si="12"/>
        <v>138</v>
      </c>
      <c r="U23" s="19">
        <f t="shared" si="12"/>
        <v>138</v>
      </c>
      <c r="V23" s="19">
        <f t="shared" si="12"/>
        <v>138</v>
      </c>
      <c r="W23" s="19">
        <f t="shared" si="12"/>
        <v>138</v>
      </c>
      <c r="X23" s="19">
        <f t="shared" si="12"/>
        <v>138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179</v>
      </c>
      <c r="G27" s="107">
        <f>MAX($C20:G20)</f>
        <v>179</v>
      </c>
      <c r="H27" s="107">
        <f>MAX($C20:H20)</f>
        <v>179</v>
      </c>
      <c r="I27" s="107">
        <f>MAX($C20:I20)</f>
        <v>179</v>
      </c>
      <c r="J27" s="107">
        <f>MAX($C20:J20)</f>
        <v>179</v>
      </c>
      <c r="K27" s="107">
        <f>MAX($C20:K20)</f>
        <v>193</v>
      </c>
      <c r="L27" s="107">
        <f>MAX($C20:L20)</f>
        <v>193</v>
      </c>
      <c r="M27" s="107">
        <f>MAX($C20:M20)</f>
        <v>193</v>
      </c>
      <c r="N27" s="107">
        <f>MAX($C20:N20)</f>
        <v>193</v>
      </c>
      <c r="O27" s="107">
        <f>MAX($C20:O20)</f>
        <v>193</v>
      </c>
      <c r="P27" s="107">
        <f>MAX($C20:P20)</f>
        <v>193</v>
      </c>
      <c r="Q27" s="107">
        <f>MAX($C20:Q20)</f>
        <v>193</v>
      </c>
      <c r="R27" s="107">
        <f>MAX($C20:R20)</f>
        <v>193</v>
      </c>
      <c r="S27" s="107">
        <f>MAX($C20:S20)</f>
        <v>193</v>
      </c>
      <c r="T27" s="107">
        <f>MAX($C20:T20)</f>
        <v>193</v>
      </c>
      <c r="U27" s="107">
        <f>MAX($C20:U20)</f>
        <v>193</v>
      </c>
      <c r="V27" s="107">
        <f>MAX($C20:V20)</f>
        <v>193</v>
      </c>
      <c r="W27" s="107">
        <f>MAX($C20:W20)</f>
        <v>193</v>
      </c>
      <c r="X27" s="107">
        <f>MAX($C20:X20)</f>
        <v>193</v>
      </c>
    </row>
    <row r="28" spans="1:25" ht="13.15" x14ac:dyDescent="0.4">
      <c r="A28">
        <v>22</v>
      </c>
      <c r="B28" s="151" t="s">
        <v>78</v>
      </c>
      <c r="C28" s="19">
        <f>MAX(C21)</f>
        <v>48</v>
      </c>
      <c r="D28" s="107">
        <f>MAX($C21:D21)</f>
        <v>48</v>
      </c>
      <c r="E28" s="107">
        <f>MAX($C21:E21)</f>
        <v>48</v>
      </c>
      <c r="F28" s="107">
        <f>MAX($C21:F21)</f>
        <v>227</v>
      </c>
      <c r="G28" s="107">
        <f>MAX($C21:G21)</f>
        <v>227</v>
      </c>
      <c r="H28" s="107">
        <f>MAX($C21:H21)</f>
        <v>227</v>
      </c>
      <c r="I28" s="107">
        <f>MAX($C21:I21)</f>
        <v>227</v>
      </c>
      <c r="J28" s="107">
        <f>MAX($C21:J21)</f>
        <v>227</v>
      </c>
      <c r="K28" s="107">
        <f>MAX($C21:K21)</f>
        <v>242</v>
      </c>
      <c r="L28" s="107">
        <f>MAX($C21:L21)</f>
        <v>242</v>
      </c>
      <c r="M28" s="107">
        <f>MAX($C21:M21)</f>
        <v>242</v>
      </c>
      <c r="N28" s="107">
        <f>MAX($C21:N21)</f>
        <v>242</v>
      </c>
      <c r="O28" s="107">
        <f>MAX($C21:O21)</f>
        <v>242</v>
      </c>
      <c r="P28" s="107">
        <f>MAX($C21:P21)</f>
        <v>242</v>
      </c>
      <c r="Q28" s="107">
        <f>MAX($C21:Q21)</f>
        <v>242</v>
      </c>
      <c r="R28" s="107">
        <f>MAX($C21:R21)</f>
        <v>242</v>
      </c>
      <c r="S28" s="107">
        <f>MAX($C21:S21)</f>
        <v>242</v>
      </c>
      <c r="T28" s="107">
        <f>MAX($C21:T21)</f>
        <v>242</v>
      </c>
      <c r="U28" s="107">
        <f>MAX($C21:U21)</f>
        <v>242</v>
      </c>
      <c r="V28" s="107">
        <f>MAX($C21:V21)</f>
        <v>242</v>
      </c>
      <c r="W28" s="107">
        <f>MAX($C21:W21)</f>
        <v>242</v>
      </c>
      <c r="X28" s="107">
        <f>MAX($C21:X21)</f>
        <v>242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520</v>
      </c>
      <c r="G29" s="107">
        <f>MAX($C22:G22)</f>
        <v>520</v>
      </c>
      <c r="H29" s="107">
        <f>MAX($C22:H22)</f>
        <v>520</v>
      </c>
      <c r="I29" s="107">
        <f>MAX($C22:I22)</f>
        <v>520</v>
      </c>
      <c r="J29" s="107">
        <f>MAX($C22:J22)</f>
        <v>520</v>
      </c>
      <c r="K29" s="107">
        <f>MAX($C22:K22)</f>
        <v>520</v>
      </c>
      <c r="L29" s="107">
        <f>MAX($C22:L22)</f>
        <v>520</v>
      </c>
      <c r="M29" s="107">
        <f>MAX($C22:M22)</f>
        <v>520</v>
      </c>
      <c r="N29" s="107">
        <f>MAX($C22:N22)</f>
        <v>520</v>
      </c>
      <c r="O29" s="107">
        <f>MAX($C22:O22)</f>
        <v>520</v>
      </c>
      <c r="P29" s="107">
        <f>MAX($C22:P22)</f>
        <v>520</v>
      </c>
      <c r="Q29" s="107">
        <f>MAX($C22:Q22)</f>
        <v>520</v>
      </c>
      <c r="R29" s="107">
        <f>MAX($C22:R22)</f>
        <v>520</v>
      </c>
      <c r="S29" s="107">
        <f>MAX($C22:S22)</f>
        <v>520</v>
      </c>
      <c r="T29" s="107">
        <f>MAX($C22:T22)</f>
        <v>520</v>
      </c>
      <c r="U29" s="107">
        <f>MAX($C22:U22)</f>
        <v>520</v>
      </c>
      <c r="V29" s="107">
        <f>MAX($C22:V22)</f>
        <v>520</v>
      </c>
      <c r="W29" s="107">
        <f>MAX($C22:W22)</f>
        <v>520</v>
      </c>
      <c r="X29" s="107">
        <f>MAX($C22:X22)</f>
        <v>520</v>
      </c>
    </row>
    <row r="30" spans="1:25" ht="13.15" x14ac:dyDescent="0.4">
      <c r="A30">
        <v>24</v>
      </c>
      <c r="B30" s="151" t="s">
        <v>80</v>
      </c>
      <c r="C30" s="19">
        <f>MAX(C23)</f>
        <v>144</v>
      </c>
      <c r="D30" s="107">
        <f>MAX($C23:D23)</f>
        <v>144</v>
      </c>
      <c r="E30" s="107">
        <f>MAX($C23:E23)</f>
        <v>144</v>
      </c>
      <c r="F30" s="107">
        <f>MAX($C23:F23)</f>
        <v>664</v>
      </c>
      <c r="G30" s="107">
        <f>MAX($C23:G23)</f>
        <v>664</v>
      </c>
      <c r="H30" s="107">
        <f>MAX($C23:H23)</f>
        <v>664</v>
      </c>
      <c r="I30" s="107">
        <f>MAX($C23:I23)</f>
        <v>664</v>
      </c>
      <c r="J30" s="107">
        <f>MAX($C23:J23)</f>
        <v>664</v>
      </c>
      <c r="K30" s="107">
        <f>MAX($C23:K23)</f>
        <v>664</v>
      </c>
      <c r="L30" s="107">
        <f>MAX($C23:L23)</f>
        <v>664</v>
      </c>
      <c r="M30" s="107">
        <f>MAX($C23:M23)</f>
        <v>664</v>
      </c>
      <c r="N30" s="107">
        <f>MAX($C23:N23)</f>
        <v>664</v>
      </c>
      <c r="O30" s="107">
        <f>MAX($C23:O23)</f>
        <v>664</v>
      </c>
      <c r="P30" s="107">
        <f>MAX($C23:P23)</f>
        <v>664</v>
      </c>
      <c r="Q30" s="107">
        <f>MAX($C23:Q23)</f>
        <v>664</v>
      </c>
      <c r="R30" s="107">
        <f>MAX($C23:R23)</f>
        <v>664</v>
      </c>
      <c r="S30" s="107">
        <f>MAX($C23:S23)</f>
        <v>664</v>
      </c>
      <c r="T30" s="107">
        <f>MAX($C23:T23)</f>
        <v>664</v>
      </c>
      <c r="U30" s="107">
        <f>MAX($C23:U23)</f>
        <v>664</v>
      </c>
      <c r="V30" s="107">
        <f>MAX($C23:V23)</f>
        <v>664</v>
      </c>
      <c r="W30" s="107">
        <f>MAX($C23:W23)</f>
        <v>664</v>
      </c>
      <c r="X30" s="107">
        <f>MAX($C23:X23)</f>
        <v>664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268</v>
      </c>
      <c r="G2" s="203" t="s">
        <v>157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60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65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110</v>
      </c>
      <c r="D9">
        <v>175</v>
      </c>
      <c r="F9">
        <v>135</v>
      </c>
      <c r="H9">
        <v>144</v>
      </c>
      <c r="J9">
        <v>144</v>
      </c>
      <c r="M9">
        <v>146</v>
      </c>
      <c r="N9">
        <v>146</v>
      </c>
      <c r="R9">
        <v>146</v>
      </c>
      <c r="U9">
        <v>113</v>
      </c>
    </row>
    <row r="10" spans="1:24" ht="13.15" x14ac:dyDescent="0.4">
      <c r="A10">
        <v>4</v>
      </c>
      <c r="B10" s="3" t="s">
        <v>15</v>
      </c>
      <c r="C10">
        <v>142</v>
      </c>
      <c r="D10">
        <v>127</v>
      </c>
      <c r="F10">
        <v>116</v>
      </c>
      <c r="H10">
        <v>156</v>
      </c>
      <c r="J10">
        <v>107</v>
      </c>
      <c r="M10">
        <v>133</v>
      </c>
      <c r="N10">
        <v>115</v>
      </c>
      <c r="R10">
        <v>151</v>
      </c>
      <c r="U10">
        <v>125</v>
      </c>
    </row>
    <row r="11" spans="1:24" ht="13.15" x14ac:dyDescent="0.4">
      <c r="A11">
        <v>5</v>
      </c>
      <c r="B11" s="3" t="s">
        <v>16</v>
      </c>
      <c r="C11">
        <v>122</v>
      </c>
      <c r="F11">
        <v>137</v>
      </c>
      <c r="H11">
        <v>105</v>
      </c>
      <c r="J11">
        <v>110</v>
      </c>
      <c r="M11">
        <v>120</v>
      </c>
      <c r="N11">
        <v>165</v>
      </c>
      <c r="R11">
        <v>116</v>
      </c>
      <c r="U11">
        <v>148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374</v>
      </c>
      <c r="D15" s="18">
        <f t="shared" si="2"/>
        <v>302</v>
      </c>
      <c r="E15" s="18">
        <f t="shared" si="2"/>
        <v>0</v>
      </c>
      <c r="F15" s="18">
        <f t="shared" si="2"/>
        <v>388</v>
      </c>
      <c r="G15" s="18">
        <f t="shared" si="2"/>
        <v>0</v>
      </c>
      <c r="H15" s="18">
        <f t="shared" si="2"/>
        <v>405</v>
      </c>
      <c r="I15" s="18">
        <f t="shared" si="2"/>
        <v>0</v>
      </c>
      <c r="J15" s="18">
        <f t="shared" si="2"/>
        <v>361</v>
      </c>
      <c r="K15" s="18">
        <f t="shared" si="2"/>
        <v>0</v>
      </c>
      <c r="L15" s="18">
        <f t="shared" si="2"/>
        <v>0</v>
      </c>
      <c r="M15" s="18">
        <f t="shared" si="2"/>
        <v>399</v>
      </c>
      <c r="N15" s="18">
        <f t="shared" si="2"/>
        <v>426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413</v>
      </c>
      <c r="S15" s="18">
        <f t="shared" si="2"/>
        <v>0</v>
      </c>
      <c r="T15" s="18">
        <f t="shared" si="2"/>
        <v>0</v>
      </c>
      <c r="U15" s="18">
        <f t="shared" si="2"/>
        <v>386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374</v>
      </c>
      <c r="D16" s="19">
        <f t="shared" ref="D16:X16" si="3">+D15+C16</f>
        <v>676</v>
      </c>
      <c r="E16" s="19">
        <f t="shared" si="3"/>
        <v>676</v>
      </c>
      <c r="F16" s="19">
        <f t="shared" si="3"/>
        <v>1064</v>
      </c>
      <c r="G16" s="19">
        <f t="shared" si="3"/>
        <v>1064</v>
      </c>
      <c r="H16" s="19">
        <f t="shared" si="3"/>
        <v>1469</v>
      </c>
      <c r="I16" s="19">
        <f t="shared" si="3"/>
        <v>1469</v>
      </c>
      <c r="J16" s="19">
        <f t="shared" si="3"/>
        <v>1830</v>
      </c>
      <c r="K16" s="19">
        <f t="shared" si="3"/>
        <v>1830</v>
      </c>
      <c r="L16" s="19">
        <f t="shared" si="3"/>
        <v>1830</v>
      </c>
      <c r="M16" s="19">
        <f t="shared" si="3"/>
        <v>2229</v>
      </c>
      <c r="N16" s="19">
        <f t="shared" si="3"/>
        <v>2655</v>
      </c>
      <c r="O16" s="19">
        <f t="shared" si="3"/>
        <v>2655</v>
      </c>
      <c r="P16" s="19">
        <f t="shared" si="3"/>
        <v>2655</v>
      </c>
      <c r="Q16" s="19">
        <f t="shared" si="3"/>
        <v>2655</v>
      </c>
      <c r="R16" s="19">
        <f t="shared" si="3"/>
        <v>3068</v>
      </c>
      <c r="S16" s="19">
        <f t="shared" si="3"/>
        <v>3068</v>
      </c>
      <c r="T16" s="19">
        <f t="shared" si="3"/>
        <v>3068</v>
      </c>
      <c r="U16" s="19">
        <f t="shared" si="3"/>
        <v>3454</v>
      </c>
      <c r="V16" s="19">
        <f t="shared" si="3"/>
        <v>3454</v>
      </c>
      <c r="W16" s="19">
        <f t="shared" si="3"/>
        <v>3454</v>
      </c>
      <c r="X16" s="19">
        <f t="shared" si="3"/>
        <v>3454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124.66666666666667</v>
      </c>
      <c r="D17" s="20">
        <f t="shared" si="4"/>
        <v>135.19999999999999</v>
      </c>
      <c r="E17" s="20">
        <f t="shared" si="4"/>
        <v>135.19999999999999</v>
      </c>
      <c r="F17" s="20">
        <f t="shared" si="4"/>
        <v>133</v>
      </c>
      <c r="G17" s="20">
        <f t="shared" si="4"/>
        <v>133</v>
      </c>
      <c r="H17" s="20">
        <f t="shared" si="4"/>
        <v>133.54545454545453</v>
      </c>
      <c r="I17" s="20">
        <f t="shared" si="4"/>
        <v>133.54545454545453</v>
      </c>
      <c r="J17" s="20">
        <f t="shared" si="4"/>
        <v>130.71428571428572</v>
      </c>
      <c r="K17" s="20">
        <f t="shared" si="4"/>
        <v>130.71428571428572</v>
      </c>
      <c r="L17" s="20">
        <f t="shared" si="4"/>
        <v>130.71428571428572</v>
      </c>
      <c r="M17" s="20">
        <f t="shared" si="4"/>
        <v>131.11764705882354</v>
      </c>
      <c r="N17" s="20">
        <f t="shared" si="4"/>
        <v>132.75</v>
      </c>
      <c r="O17" s="20">
        <f t="shared" si="4"/>
        <v>132.75</v>
      </c>
      <c r="P17" s="20">
        <f t="shared" si="4"/>
        <v>132.75</v>
      </c>
      <c r="Q17" s="20">
        <f t="shared" si="4"/>
        <v>132.75</v>
      </c>
      <c r="R17" s="20">
        <f t="shared" si="4"/>
        <v>133.39130434782609</v>
      </c>
      <c r="S17" s="20">
        <f t="shared" si="4"/>
        <v>133.39130434782609</v>
      </c>
      <c r="T17" s="20">
        <f t="shared" si="4"/>
        <v>133.39130434782609</v>
      </c>
      <c r="U17" s="20">
        <f t="shared" si="4"/>
        <v>132.84615384615384</v>
      </c>
      <c r="V17" s="20">
        <f t="shared" si="4"/>
        <v>132.84615384615384</v>
      </c>
      <c r="W17" s="20">
        <f t="shared" si="4"/>
        <v>132.84615384615384</v>
      </c>
      <c r="X17" s="20">
        <f t="shared" si="4"/>
        <v>132.84615384615384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68</v>
      </c>
      <c r="D18" s="19">
        <f t="shared" si="5"/>
        <v>58</v>
      </c>
      <c r="E18" s="19">
        <f t="shared" si="5"/>
        <v>58</v>
      </c>
      <c r="F18" s="19">
        <f t="shared" si="5"/>
        <v>60</v>
      </c>
      <c r="G18" s="19">
        <f t="shared" si="5"/>
        <v>60</v>
      </c>
      <c r="H18" s="19">
        <f t="shared" si="5"/>
        <v>60</v>
      </c>
      <c r="I18" s="19">
        <f t="shared" si="5"/>
        <v>60</v>
      </c>
      <c r="J18" s="19">
        <f t="shared" si="5"/>
        <v>62</v>
      </c>
      <c r="K18" s="19">
        <f t="shared" si="5"/>
        <v>62</v>
      </c>
      <c r="L18" s="19">
        <f t="shared" si="5"/>
        <v>62</v>
      </c>
      <c r="M18" s="19">
        <f t="shared" si="5"/>
        <v>62</v>
      </c>
      <c r="N18" s="19">
        <f t="shared" si="5"/>
        <v>61</v>
      </c>
      <c r="O18" s="19">
        <f t="shared" si="5"/>
        <v>61</v>
      </c>
      <c r="P18" s="19">
        <f t="shared" si="5"/>
        <v>61</v>
      </c>
      <c r="Q18" s="19">
        <f t="shared" si="5"/>
        <v>61</v>
      </c>
      <c r="R18" s="19">
        <f t="shared" si="5"/>
        <v>60</v>
      </c>
      <c r="S18" s="19">
        <f t="shared" si="5"/>
        <v>60</v>
      </c>
      <c r="T18" s="19">
        <f t="shared" si="5"/>
        <v>60</v>
      </c>
      <c r="U18" s="19">
        <f t="shared" si="5"/>
        <v>60</v>
      </c>
      <c r="V18" s="19">
        <f t="shared" si="5"/>
        <v>60</v>
      </c>
      <c r="W18" s="19">
        <f t="shared" si="5"/>
        <v>60</v>
      </c>
      <c r="X18" s="19">
        <f t="shared" si="5"/>
        <v>60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5</v>
      </c>
      <c r="E19" s="19">
        <f t="shared" si="6"/>
        <v>5</v>
      </c>
      <c r="F19" s="19">
        <f t="shared" si="6"/>
        <v>8</v>
      </c>
      <c r="G19" s="19">
        <f t="shared" si="6"/>
        <v>8</v>
      </c>
      <c r="H19" s="19">
        <f t="shared" si="6"/>
        <v>11</v>
      </c>
      <c r="I19" s="19">
        <f t="shared" si="6"/>
        <v>11</v>
      </c>
      <c r="J19" s="19">
        <f t="shared" si="6"/>
        <v>14</v>
      </c>
      <c r="K19" s="19">
        <f t="shared" si="6"/>
        <v>14</v>
      </c>
      <c r="L19" s="19">
        <f t="shared" si="6"/>
        <v>14</v>
      </c>
      <c r="M19" s="19">
        <f t="shared" si="6"/>
        <v>17</v>
      </c>
      <c r="N19" s="19">
        <f t="shared" si="6"/>
        <v>20</v>
      </c>
      <c r="O19" s="19">
        <f t="shared" si="6"/>
        <v>20</v>
      </c>
      <c r="P19" s="19">
        <f t="shared" si="6"/>
        <v>20</v>
      </c>
      <c r="Q19" s="19">
        <f t="shared" si="6"/>
        <v>20</v>
      </c>
      <c r="R19" s="19">
        <f t="shared" si="6"/>
        <v>23</v>
      </c>
      <c r="S19" s="19">
        <f t="shared" si="6"/>
        <v>23</v>
      </c>
      <c r="T19" s="19">
        <f t="shared" si="6"/>
        <v>23</v>
      </c>
      <c r="U19" s="19">
        <f t="shared" si="6"/>
        <v>26</v>
      </c>
      <c r="V19" s="19">
        <f t="shared" si="6"/>
        <v>26</v>
      </c>
      <c r="W19" s="19">
        <f t="shared" si="6"/>
        <v>26</v>
      </c>
      <c r="X19" s="19">
        <f t="shared" si="6"/>
        <v>26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142</v>
      </c>
      <c r="D20" s="19">
        <f t="shared" si="7"/>
        <v>175</v>
      </c>
      <c r="E20" s="19">
        <f t="shared" si="7"/>
        <v>0</v>
      </c>
      <c r="F20" s="19">
        <f t="shared" si="7"/>
        <v>137</v>
      </c>
      <c r="G20" s="19">
        <f t="shared" si="7"/>
        <v>0</v>
      </c>
      <c r="H20" s="19">
        <f t="shared" si="7"/>
        <v>156</v>
      </c>
      <c r="I20" s="19">
        <f t="shared" si="7"/>
        <v>0</v>
      </c>
      <c r="J20" s="19">
        <f t="shared" si="7"/>
        <v>144</v>
      </c>
      <c r="K20" s="19">
        <f t="shared" si="7"/>
        <v>0</v>
      </c>
      <c r="L20" s="19">
        <f t="shared" si="7"/>
        <v>0</v>
      </c>
      <c r="M20" s="19">
        <f t="shared" si="7"/>
        <v>146</v>
      </c>
      <c r="N20" s="19">
        <f t="shared" si="7"/>
        <v>165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151</v>
      </c>
      <c r="S20" s="19">
        <f t="shared" si="7"/>
        <v>0</v>
      </c>
      <c r="T20" s="19">
        <f t="shared" si="7"/>
        <v>0</v>
      </c>
      <c r="U20" s="19">
        <f t="shared" si="7"/>
        <v>148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207</v>
      </c>
      <c r="D21" s="19">
        <f>MAX(D$9:D$14)+$I$5</f>
        <v>240</v>
      </c>
      <c r="E21" s="19">
        <f t="shared" ref="E21:X21" si="8">MAX(E$9:E$14)+D18</f>
        <v>58</v>
      </c>
      <c r="F21" s="19">
        <f t="shared" si="8"/>
        <v>195</v>
      </c>
      <c r="G21" s="19">
        <f t="shared" si="8"/>
        <v>60</v>
      </c>
      <c r="H21" s="19">
        <f t="shared" si="8"/>
        <v>216</v>
      </c>
      <c r="I21" s="19">
        <f t="shared" si="8"/>
        <v>60</v>
      </c>
      <c r="J21" s="19">
        <f t="shared" si="8"/>
        <v>204</v>
      </c>
      <c r="K21" s="19">
        <f t="shared" si="8"/>
        <v>62</v>
      </c>
      <c r="L21" s="19">
        <f t="shared" si="8"/>
        <v>62</v>
      </c>
      <c r="M21" s="19">
        <f t="shared" si="8"/>
        <v>208</v>
      </c>
      <c r="N21" s="19">
        <f t="shared" si="8"/>
        <v>227</v>
      </c>
      <c r="O21" s="19">
        <f t="shared" si="8"/>
        <v>61</v>
      </c>
      <c r="P21" s="19">
        <f t="shared" si="8"/>
        <v>61</v>
      </c>
      <c r="Q21" s="19">
        <f t="shared" si="8"/>
        <v>61</v>
      </c>
      <c r="R21" s="19">
        <f t="shared" si="8"/>
        <v>212</v>
      </c>
      <c r="S21" s="19">
        <f t="shared" si="8"/>
        <v>60</v>
      </c>
      <c r="T21" s="19">
        <f t="shared" si="8"/>
        <v>60</v>
      </c>
      <c r="U21" s="19">
        <f t="shared" si="8"/>
        <v>208</v>
      </c>
      <c r="V21" s="19">
        <f t="shared" si="8"/>
        <v>60</v>
      </c>
      <c r="W21" s="19">
        <f t="shared" si="8"/>
        <v>60</v>
      </c>
      <c r="X21" s="19">
        <f t="shared" si="8"/>
        <v>60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374</v>
      </c>
      <c r="D22" s="19">
        <f t="shared" ref="D22:X22" si="9">MAX(SUM(D$9:D$11),SUM(D$12:D$14))</f>
        <v>302</v>
      </c>
      <c r="E22" s="19">
        <f t="shared" si="9"/>
        <v>0</v>
      </c>
      <c r="F22" s="19">
        <f t="shared" si="9"/>
        <v>388</v>
      </c>
      <c r="G22" s="19">
        <f t="shared" si="9"/>
        <v>0</v>
      </c>
      <c r="H22" s="19">
        <f t="shared" si="9"/>
        <v>405</v>
      </c>
      <c r="I22" s="19">
        <f t="shared" si="9"/>
        <v>0</v>
      </c>
      <c r="J22" s="19">
        <f t="shared" si="9"/>
        <v>361</v>
      </c>
      <c r="K22" s="19">
        <f t="shared" si="9"/>
        <v>0</v>
      </c>
      <c r="L22" s="19">
        <f t="shared" si="9"/>
        <v>0</v>
      </c>
      <c r="M22" s="19">
        <f t="shared" si="9"/>
        <v>399</v>
      </c>
      <c r="N22" s="19">
        <f t="shared" si="9"/>
        <v>426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413</v>
      </c>
      <c r="S22" s="19">
        <f t="shared" si="9"/>
        <v>0</v>
      </c>
      <c r="T22" s="19">
        <f t="shared" si="9"/>
        <v>0</v>
      </c>
      <c r="U22" s="19">
        <f t="shared" si="9"/>
        <v>386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569</v>
      </c>
      <c r="D23" s="19">
        <f>MAX(SUM(D$9:D$11),SUM(D$12:D$14))+$I$5*3</f>
        <v>497</v>
      </c>
      <c r="E23" s="19">
        <f t="shared" ref="E23:X23" si="10">MAX(SUM(E$9:E$11),SUM(E$12:E$14))+D18*3</f>
        <v>174</v>
      </c>
      <c r="F23" s="19">
        <f t="shared" si="10"/>
        <v>562</v>
      </c>
      <c r="G23" s="19">
        <f t="shared" si="10"/>
        <v>180</v>
      </c>
      <c r="H23" s="19">
        <f t="shared" si="10"/>
        <v>585</v>
      </c>
      <c r="I23" s="19">
        <f t="shared" si="10"/>
        <v>180</v>
      </c>
      <c r="J23" s="19">
        <f t="shared" si="10"/>
        <v>541</v>
      </c>
      <c r="K23" s="19">
        <f t="shared" si="10"/>
        <v>186</v>
      </c>
      <c r="L23" s="19">
        <f t="shared" si="10"/>
        <v>186</v>
      </c>
      <c r="M23" s="19">
        <f t="shared" si="10"/>
        <v>585</v>
      </c>
      <c r="N23" s="19">
        <f t="shared" si="10"/>
        <v>612</v>
      </c>
      <c r="O23" s="19">
        <f t="shared" si="10"/>
        <v>183</v>
      </c>
      <c r="P23" s="19">
        <f t="shared" si="10"/>
        <v>183</v>
      </c>
      <c r="Q23" s="19">
        <f t="shared" si="10"/>
        <v>183</v>
      </c>
      <c r="R23" s="19">
        <f t="shared" si="10"/>
        <v>596</v>
      </c>
      <c r="S23" s="19">
        <f t="shared" si="10"/>
        <v>180</v>
      </c>
      <c r="T23" s="19">
        <f t="shared" si="10"/>
        <v>180</v>
      </c>
      <c r="U23" s="19">
        <f t="shared" si="10"/>
        <v>566</v>
      </c>
      <c r="V23" s="19">
        <f t="shared" si="10"/>
        <v>180</v>
      </c>
      <c r="W23" s="19">
        <f t="shared" si="10"/>
        <v>180</v>
      </c>
      <c r="X23" s="19">
        <f t="shared" si="10"/>
        <v>180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142</v>
      </c>
      <c r="D27" s="107">
        <f>MAX($C20:D20)</f>
        <v>175</v>
      </c>
      <c r="E27" s="107">
        <f>MAX($C20:E20)</f>
        <v>175</v>
      </c>
      <c r="F27" s="107">
        <f>MAX($C20:F20)</f>
        <v>175</v>
      </c>
      <c r="G27" s="107">
        <f>MAX($C20:G20)</f>
        <v>175</v>
      </c>
      <c r="H27" s="107">
        <f>MAX($C20:H20)</f>
        <v>175</v>
      </c>
      <c r="I27" s="107">
        <f>MAX($C20:I20)</f>
        <v>175</v>
      </c>
      <c r="J27" s="107">
        <f>MAX($C20:J20)</f>
        <v>175</v>
      </c>
      <c r="K27" s="107">
        <f>MAX($C20:K20)</f>
        <v>175</v>
      </c>
      <c r="L27" s="107">
        <f>MAX($C20:L20)</f>
        <v>175</v>
      </c>
      <c r="M27" s="107">
        <f>MAX($C20:M20)</f>
        <v>175</v>
      </c>
      <c r="N27" s="107">
        <f>MAX($C20:N20)</f>
        <v>175</v>
      </c>
      <c r="O27" s="107">
        <f>MAX($C20:O20)</f>
        <v>175</v>
      </c>
      <c r="P27" s="107">
        <f>MAX($C20:P20)</f>
        <v>175</v>
      </c>
      <c r="Q27" s="107">
        <f>MAX($C20:Q20)</f>
        <v>175</v>
      </c>
      <c r="R27" s="107">
        <f>MAX($C20:R20)</f>
        <v>175</v>
      </c>
      <c r="S27" s="107">
        <f>MAX($C20:S20)</f>
        <v>175</v>
      </c>
      <c r="T27" s="107">
        <f>MAX($C20:T20)</f>
        <v>175</v>
      </c>
      <c r="U27" s="107">
        <f>MAX($C20:U20)</f>
        <v>175</v>
      </c>
      <c r="V27" s="107">
        <f>MAX($C20:V20)</f>
        <v>175</v>
      </c>
      <c r="W27" s="107">
        <f>MAX($C20:W20)</f>
        <v>175</v>
      </c>
      <c r="X27" s="107">
        <f>MAX($C20:X20)</f>
        <v>175</v>
      </c>
    </row>
    <row r="28" spans="1:25" ht="13.15" x14ac:dyDescent="0.4">
      <c r="A28">
        <v>22</v>
      </c>
      <c r="B28" s="151" t="s">
        <v>78</v>
      </c>
      <c r="C28" s="19">
        <f>MAX(C21)</f>
        <v>207</v>
      </c>
      <c r="D28" s="107">
        <f>MAX($C21:D21)</f>
        <v>240</v>
      </c>
      <c r="E28" s="107">
        <f>MAX($C21:E21)</f>
        <v>240</v>
      </c>
      <c r="F28" s="107">
        <f>MAX($C21:F21)</f>
        <v>240</v>
      </c>
      <c r="G28" s="107">
        <f>MAX($C21:G21)</f>
        <v>240</v>
      </c>
      <c r="H28" s="107">
        <f>MAX($C21:H21)</f>
        <v>240</v>
      </c>
      <c r="I28" s="107">
        <f>MAX($C21:I21)</f>
        <v>240</v>
      </c>
      <c r="J28" s="107">
        <f>MAX($C21:J21)</f>
        <v>240</v>
      </c>
      <c r="K28" s="107">
        <f>MAX($C21:K21)</f>
        <v>240</v>
      </c>
      <c r="L28" s="107">
        <f>MAX($C21:L21)</f>
        <v>240</v>
      </c>
      <c r="M28" s="107">
        <f>MAX($C21:M21)</f>
        <v>240</v>
      </c>
      <c r="N28" s="107">
        <f>MAX($C21:N21)</f>
        <v>240</v>
      </c>
      <c r="O28" s="107">
        <f>MAX($C21:O21)</f>
        <v>240</v>
      </c>
      <c r="P28" s="107">
        <f>MAX($C21:P21)</f>
        <v>240</v>
      </c>
      <c r="Q28" s="107">
        <f>MAX($C21:Q21)</f>
        <v>240</v>
      </c>
      <c r="R28" s="107">
        <f>MAX($C21:R21)</f>
        <v>240</v>
      </c>
      <c r="S28" s="107">
        <f>MAX($C21:S21)</f>
        <v>240</v>
      </c>
      <c r="T28" s="107">
        <f>MAX($C21:T21)</f>
        <v>240</v>
      </c>
      <c r="U28" s="107">
        <f>MAX($C21:U21)</f>
        <v>240</v>
      </c>
      <c r="V28" s="107">
        <f>MAX($C21:V21)</f>
        <v>240</v>
      </c>
      <c r="W28" s="107">
        <f>MAX($C21:W21)</f>
        <v>240</v>
      </c>
      <c r="X28" s="107">
        <f>MAX($C21:X21)</f>
        <v>240</v>
      </c>
    </row>
    <row r="29" spans="1:25" ht="26.25" x14ac:dyDescent="0.4">
      <c r="A29">
        <v>23</v>
      </c>
      <c r="B29" s="151" t="s">
        <v>79</v>
      </c>
      <c r="C29" s="19">
        <f>MAX(C22)</f>
        <v>374</v>
      </c>
      <c r="D29" s="107">
        <f>MAX($C22:D22)</f>
        <v>374</v>
      </c>
      <c r="E29" s="107">
        <f>MAX($C22:E22)</f>
        <v>374</v>
      </c>
      <c r="F29" s="107">
        <f>MAX($C22:F22)</f>
        <v>388</v>
      </c>
      <c r="G29" s="107">
        <f>MAX($C22:G22)</f>
        <v>388</v>
      </c>
      <c r="H29" s="107">
        <f>MAX($C22:H22)</f>
        <v>405</v>
      </c>
      <c r="I29" s="107">
        <f>MAX($C22:I22)</f>
        <v>405</v>
      </c>
      <c r="J29" s="107">
        <f>MAX($C22:J22)</f>
        <v>405</v>
      </c>
      <c r="K29" s="107">
        <f>MAX($C22:K22)</f>
        <v>405</v>
      </c>
      <c r="L29" s="107">
        <f>MAX($C22:L22)</f>
        <v>405</v>
      </c>
      <c r="M29" s="107">
        <f>MAX($C22:M22)</f>
        <v>405</v>
      </c>
      <c r="N29" s="107">
        <f>MAX($C22:N22)</f>
        <v>426</v>
      </c>
      <c r="O29" s="107">
        <f>MAX($C22:O22)</f>
        <v>426</v>
      </c>
      <c r="P29" s="107">
        <f>MAX($C22:P22)</f>
        <v>426</v>
      </c>
      <c r="Q29" s="107">
        <f>MAX($C22:Q22)</f>
        <v>426</v>
      </c>
      <c r="R29" s="107">
        <f>MAX($C22:R22)</f>
        <v>426</v>
      </c>
      <c r="S29" s="107">
        <f>MAX($C22:S22)</f>
        <v>426</v>
      </c>
      <c r="T29" s="107">
        <f>MAX($C22:T22)</f>
        <v>426</v>
      </c>
      <c r="U29" s="107">
        <f>MAX($C22:U22)</f>
        <v>426</v>
      </c>
      <c r="V29" s="107">
        <f>MAX($C22:V22)</f>
        <v>426</v>
      </c>
      <c r="W29" s="107">
        <f>MAX($C22:W22)</f>
        <v>426</v>
      </c>
      <c r="X29" s="107">
        <f>MAX($C22:X22)</f>
        <v>426</v>
      </c>
    </row>
    <row r="30" spans="1:25" ht="13.15" x14ac:dyDescent="0.4">
      <c r="A30">
        <v>24</v>
      </c>
      <c r="B30" s="151" t="s">
        <v>80</v>
      </c>
      <c r="C30" s="19">
        <f>MAX(C23)</f>
        <v>569</v>
      </c>
      <c r="D30" s="107">
        <f>MAX($C23:D23)</f>
        <v>569</v>
      </c>
      <c r="E30" s="107">
        <f>MAX($C23:E23)</f>
        <v>569</v>
      </c>
      <c r="F30" s="107">
        <f>MAX($C23:F23)</f>
        <v>569</v>
      </c>
      <c r="G30" s="107">
        <f>MAX($C23:G23)</f>
        <v>569</v>
      </c>
      <c r="H30" s="107">
        <f>MAX($C23:H23)</f>
        <v>585</v>
      </c>
      <c r="I30" s="107">
        <f>MAX($C23:I23)</f>
        <v>585</v>
      </c>
      <c r="J30" s="107">
        <f>MAX($C23:J23)</f>
        <v>585</v>
      </c>
      <c r="K30" s="107">
        <f>MAX($C23:K23)</f>
        <v>585</v>
      </c>
      <c r="L30" s="107">
        <f>MAX($C23:L23)</f>
        <v>585</v>
      </c>
      <c r="M30" s="107">
        <f>MAX($C23:M23)</f>
        <v>585</v>
      </c>
      <c r="N30" s="107">
        <f>MAX($C23:N23)</f>
        <v>612</v>
      </c>
      <c r="O30" s="107">
        <f>MAX($C23:O23)</f>
        <v>612</v>
      </c>
      <c r="P30" s="107">
        <f>MAX($C23:P23)</f>
        <v>612</v>
      </c>
      <c r="Q30" s="107">
        <f>MAX($C23:Q23)</f>
        <v>612</v>
      </c>
      <c r="R30" s="107">
        <f>MAX($C23:R23)</f>
        <v>612</v>
      </c>
      <c r="S30" s="107">
        <f>MAX($C23:S23)</f>
        <v>612</v>
      </c>
      <c r="T30" s="107">
        <f>MAX($C23:T23)</f>
        <v>612</v>
      </c>
      <c r="U30" s="107">
        <f>MAX($C23:U23)</f>
        <v>612</v>
      </c>
      <c r="V30" s="107">
        <f>MAX($C23:V23)</f>
        <v>612</v>
      </c>
      <c r="W30" s="107">
        <f>MAX($C23:W23)</f>
        <v>612</v>
      </c>
      <c r="X30" s="107">
        <f>MAX($C23:X23)</f>
        <v>612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206</v>
      </c>
      <c r="G2" s="203" t="s">
        <v>32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57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61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K9">
        <v>112</v>
      </c>
      <c r="M9">
        <v>141</v>
      </c>
      <c r="N9">
        <v>121</v>
      </c>
      <c r="Q9">
        <v>164</v>
      </c>
      <c r="T9">
        <v>141</v>
      </c>
    </row>
    <row r="10" spans="1:24" ht="13.15" x14ac:dyDescent="0.4">
      <c r="A10">
        <v>4</v>
      </c>
      <c r="B10" s="3" t="s">
        <v>15</v>
      </c>
      <c r="K10">
        <v>124</v>
      </c>
      <c r="M10">
        <v>138</v>
      </c>
      <c r="Q10">
        <v>129</v>
      </c>
    </row>
    <row r="11" spans="1:24" ht="13.15" x14ac:dyDescent="0.4">
      <c r="A11">
        <v>5</v>
      </c>
      <c r="B11" s="3" t="s">
        <v>16</v>
      </c>
      <c r="K11">
        <v>126</v>
      </c>
      <c r="M11">
        <v>174</v>
      </c>
      <c r="Q11">
        <v>139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362</v>
      </c>
      <c r="L15" s="18">
        <f t="shared" si="2"/>
        <v>0</v>
      </c>
      <c r="M15" s="18">
        <f t="shared" si="2"/>
        <v>453</v>
      </c>
      <c r="N15" s="18">
        <f t="shared" si="2"/>
        <v>121</v>
      </c>
      <c r="O15" s="18">
        <f t="shared" si="2"/>
        <v>0</v>
      </c>
      <c r="P15" s="18">
        <f t="shared" si="2"/>
        <v>0</v>
      </c>
      <c r="Q15" s="18">
        <f t="shared" si="2"/>
        <v>432</v>
      </c>
      <c r="R15" s="18">
        <f t="shared" si="2"/>
        <v>0</v>
      </c>
      <c r="S15" s="18">
        <f t="shared" si="2"/>
        <v>0</v>
      </c>
      <c r="T15" s="18">
        <f t="shared" si="2"/>
        <v>141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362</v>
      </c>
      <c r="L16" s="19">
        <f t="shared" si="3"/>
        <v>362</v>
      </c>
      <c r="M16" s="19">
        <f t="shared" si="3"/>
        <v>815</v>
      </c>
      <c r="N16" s="19">
        <f t="shared" si="3"/>
        <v>936</v>
      </c>
      <c r="O16" s="19">
        <f t="shared" si="3"/>
        <v>936</v>
      </c>
      <c r="P16" s="19">
        <f t="shared" si="3"/>
        <v>936</v>
      </c>
      <c r="Q16" s="19">
        <f t="shared" si="3"/>
        <v>1368</v>
      </c>
      <c r="R16" s="19">
        <f t="shared" si="3"/>
        <v>1368</v>
      </c>
      <c r="S16" s="19">
        <f t="shared" si="3"/>
        <v>1368</v>
      </c>
      <c r="T16" s="19">
        <f t="shared" si="3"/>
        <v>1509</v>
      </c>
      <c r="U16" s="19">
        <f t="shared" si="3"/>
        <v>1509</v>
      </c>
      <c r="V16" s="19">
        <f t="shared" si="3"/>
        <v>1509</v>
      </c>
      <c r="W16" s="19">
        <f t="shared" si="3"/>
        <v>1509</v>
      </c>
      <c r="X16" s="19">
        <f t="shared" si="3"/>
        <v>1509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>
        <f t="shared" si="4"/>
        <v>120.66666666666667</v>
      </c>
      <c r="L17" s="20">
        <f t="shared" si="4"/>
        <v>120.66666666666667</v>
      </c>
      <c r="M17" s="20">
        <f t="shared" si="4"/>
        <v>135.83333333333334</v>
      </c>
      <c r="N17" s="20">
        <f t="shared" si="4"/>
        <v>133.71428571428572</v>
      </c>
      <c r="O17" s="20">
        <f t="shared" si="4"/>
        <v>133.71428571428572</v>
      </c>
      <c r="P17" s="20">
        <f t="shared" si="4"/>
        <v>133.71428571428572</v>
      </c>
      <c r="Q17" s="20">
        <f t="shared" si="4"/>
        <v>136.80000000000001</v>
      </c>
      <c r="R17" s="20">
        <f t="shared" si="4"/>
        <v>136.80000000000001</v>
      </c>
      <c r="S17" s="20">
        <f t="shared" si="4"/>
        <v>136.80000000000001</v>
      </c>
      <c r="T17" s="20">
        <f t="shared" si="4"/>
        <v>137.18181818181819</v>
      </c>
      <c r="U17" s="20">
        <f t="shared" si="4"/>
        <v>137.18181818181819</v>
      </c>
      <c r="V17" s="20">
        <f t="shared" si="4"/>
        <v>137.18181818181819</v>
      </c>
      <c r="W17" s="20">
        <f t="shared" si="4"/>
        <v>137.18181818181819</v>
      </c>
      <c r="X17" s="20">
        <f t="shared" si="4"/>
        <v>137.18181818181819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>
        <f t="shared" si="5"/>
        <v>71</v>
      </c>
      <c r="L18" s="19">
        <f t="shared" si="5"/>
        <v>71</v>
      </c>
      <c r="M18" s="19">
        <f t="shared" si="5"/>
        <v>58</v>
      </c>
      <c r="N18" s="19">
        <f t="shared" si="5"/>
        <v>60</v>
      </c>
      <c r="O18" s="19">
        <f t="shared" si="5"/>
        <v>60</v>
      </c>
      <c r="P18" s="19">
        <f t="shared" si="5"/>
        <v>60</v>
      </c>
      <c r="Q18" s="19">
        <f t="shared" si="5"/>
        <v>57</v>
      </c>
      <c r="R18" s="19">
        <f t="shared" si="5"/>
        <v>57</v>
      </c>
      <c r="S18" s="19">
        <f t="shared" si="5"/>
        <v>57</v>
      </c>
      <c r="T18" s="19">
        <f t="shared" si="5"/>
        <v>57</v>
      </c>
      <c r="U18" s="19">
        <f t="shared" si="5"/>
        <v>57</v>
      </c>
      <c r="V18" s="19">
        <f t="shared" si="5"/>
        <v>57</v>
      </c>
      <c r="W18" s="19">
        <f t="shared" si="5"/>
        <v>57</v>
      </c>
      <c r="X18" s="19">
        <f t="shared" si="5"/>
        <v>57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3</v>
      </c>
      <c r="L19" s="19">
        <f t="shared" si="6"/>
        <v>3</v>
      </c>
      <c r="M19" s="19">
        <f t="shared" si="6"/>
        <v>6</v>
      </c>
      <c r="N19" s="19">
        <f t="shared" si="6"/>
        <v>7</v>
      </c>
      <c r="O19" s="19">
        <f t="shared" si="6"/>
        <v>7</v>
      </c>
      <c r="P19" s="19">
        <f t="shared" si="6"/>
        <v>7</v>
      </c>
      <c r="Q19" s="19">
        <f t="shared" si="6"/>
        <v>10</v>
      </c>
      <c r="R19" s="19">
        <f t="shared" si="6"/>
        <v>10</v>
      </c>
      <c r="S19" s="19">
        <f t="shared" si="6"/>
        <v>10</v>
      </c>
      <c r="T19" s="19">
        <f t="shared" si="6"/>
        <v>11</v>
      </c>
      <c r="U19" s="19">
        <f t="shared" si="6"/>
        <v>11</v>
      </c>
      <c r="V19" s="19">
        <f t="shared" si="6"/>
        <v>11</v>
      </c>
      <c r="W19" s="19">
        <f t="shared" si="6"/>
        <v>11</v>
      </c>
      <c r="X19" s="19">
        <f t="shared" si="6"/>
        <v>11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126</v>
      </c>
      <c r="L20" s="19">
        <f t="shared" si="7"/>
        <v>0</v>
      </c>
      <c r="M20" s="19">
        <f t="shared" si="7"/>
        <v>174</v>
      </c>
      <c r="N20" s="19">
        <f t="shared" si="7"/>
        <v>121</v>
      </c>
      <c r="O20" s="19">
        <f t="shared" si="7"/>
        <v>0</v>
      </c>
      <c r="P20" s="19">
        <f t="shared" si="7"/>
        <v>0</v>
      </c>
      <c r="Q20" s="19">
        <f t="shared" si="7"/>
        <v>164</v>
      </c>
      <c r="R20" s="19">
        <f t="shared" si="7"/>
        <v>0</v>
      </c>
      <c r="S20" s="19">
        <f t="shared" si="7"/>
        <v>0</v>
      </c>
      <c r="T20" s="19">
        <f t="shared" si="7"/>
        <v>141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M21" si="8">MAX(C$9:C$14)+$I$5</f>
        <v>61</v>
      </c>
      <c r="D21" s="19">
        <f t="shared" si="8"/>
        <v>61</v>
      </c>
      <c r="E21" s="19">
        <f t="shared" si="8"/>
        <v>61</v>
      </c>
      <c r="F21" s="19">
        <f t="shared" si="8"/>
        <v>61</v>
      </c>
      <c r="G21" s="19">
        <f t="shared" si="8"/>
        <v>61</v>
      </c>
      <c r="H21" s="19">
        <f t="shared" si="8"/>
        <v>61</v>
      </c>
      <c r="I21" s="19">
        <f t="shared" si="8"/>
        <v>61</v>
      </c>
      <c r="J21" s="19">
        <f t="shared" si="8"/>
        <v>61</v>
      </c>
      <c r="K21" s="19">
        <f t="shared" si="8"/>
        <v>187</v>
      </c>
      <c r="L21" s="19">
        <f t="shared" si="8"/>
        <v>61</v>
      </c>
      <c r="M21" s="19">
        <f t="shared" si="8"/>
        <v>235</v>
      </c>
      <c r="N21" s="19">
        <f t="shared" ref="N21:X21" si="9">MAX(N$9:N$14)+M18</f>
        <v>179</v>
      </c>
      <c r="O21" s="19">
        <f t="shared" si="9"/>
        <v>60</v>
      </c>
      <c r="P21" s="19">
        <f t="shared" si="9"/>
        <v>60</v>
      </c>
      <c r="Q21" s="19">
        <f t="shared" si="9"/>
        <v>224</v>
      </c>
      <c r="R21" s="19">
        <f t="shared" si="9"/>
        <v>57</v>
      </c>
      <c r="S21" s="19">
        <f t="shared" si="9"/>
        <v>57</v>
      </c>
      <c r="T21" s="19">
        <f t="shared" si="9"/>
        <v>198</v>
      </c>
      <c r="U21" s="19">
        <f t="shared" si="9"/>
        <v>57</v>
      </c>
      <c r="V21" s="19">
        <f t="shared" si="9"/>
        <v>57</v>
      </c>
      <c r="W21" s="19">
        <f t="shared" si="9"/>
        <v>57</v>
      </c>
      <c r="X21" s="19">
        <f t="shared" si="9"/>
        <v>57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0</v>
      </c>
      <c r="F22" s="19">
        <f t="shared" si="10"/>
        <v>0</v>
      </c>
      <c r="G22" s="19">
        <f t="shared" si="10"/>
        <v>0</v>
      </c>
      <c r="H22" s="19">
        <f t="shared" si="10"/>
        <v>0</v>
      </c>
      <c r="I22" s="19">
        <f t="shared" si="10"/>
        <v>0</v>
      </c>
      <c r="J22" s="19">
        <f t="shared" si="10"/>
        <v>0</v>
      </c>
      <c r="K22" s="19">
        <f t="shared" si="10"/>
        <v>362</v>
      </c>
      <c r="L22" s="19">
        <f t="shared" si="10"/>
        <v>0</v>
      </c>
      <c r="M22" s="19">
        <f t="shared" si="10"/>
        <v>453</v>
      </c>
      <c r="N22" s="19">
        <f t="shared" si="10"/>
        <v>121</v>
      </c>
      <c r="O22" s="19">
        <f t="shared" si="10"/>
        <v>0</v>
      </c>
      <c r="P22" s="19">
        <f t="shared" si="10"/>
        <v>0</v>
      </c>
      <c r="Q22" s="19">
        <f t="shared" si="10"/>
        <v>432</v>
      </c>
      <c r="R22" s="19">
        <f t="shared" si="10"/>
        <v>0</v>
      </c>
      <c r="S22" s="19">
        <f t="shared" si="10"/>
        <v>0</v>
      </c>
      <c r="T22" s="19">
        <f t="shared" si="10"/>
        <v>141</v>
      </c>
      <c r="U22" s="19">
        <f t="shared" si="10"/>
        <v>0</v>
      </c>
      <c r="V22" s="19">
        <f t="shared" si="10"/>
        <v>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183</v>
      </c>
      <c r="D23" s="19">
        <f t="shared" ref="D23:M23" si="11">MAX(SUM(D$9:D$11),SUM(D$12:D$14))+$I$5*3</f>
        <v>183</v>
      </c>
      <c r="E23" s="19">
        <f t="shared" si="11"/>
        <v>183</v>
      </c>
      <c r="F23" s="19">
        <f t="shared" si="11"/>
        <v>183</v>
      </c>
      <c r="G23" s="19">
        <f t="shared" si="11"/>
        <v>183</v>
      </c>
      <c r="H23" s="19">
        <f t="shared" si="11"/>
        <v>183</v>
      </c>
      <c r="I23" s="19">
        <f t="shared" si="11"/>
        <v>183</v>
      </c>
      <c r="J23" s="19">
        <f t="shared" si="11"/>
        <v>183</v>
      </c>
      <c r="K23" s="19">
        <f t="shared" si="11"/>
        <v>545</v>
      </c>
      <c r="L23" s="19">
        <f t="shared" si="11"/>
        <v>183</v>
      </c>
      <c r="M23" s="19">
        <f t="shared" si="11"/>
        <v>636</v>
      </c>
      <c r="N23" s="19">
        <f t="shared" ref="N23:X23" si="12">MAX(SUM(N$9:N$11),SUM(N$12:N$14))+M18*3</f>
        <v>295</v>
      </c>
      <c r="O23" s="19">
        <f t="shared" si="12"/>
        <v>180</v>
      </c>
      <c r="P23" s="19">
        <f t="shared" si="12"/>
        <v>180</v>
      </c>
      <c r="Q23" s="19">
        <f t="shared" si="12"/>
        <v>612</v>
      </c>
      <c r="R23" s="19">
        <f t="shared" si="12"/>
        <v>171</v>
      </c>
      <c r="S23" s="19">
        <f t="shared" si="12"/>
        <v>171</v>
      </c>
      <c r="T23" s="19">
        <f t="shared" si="12"/>
        <v>312</v>
      </c>
      <c r="U23" s="19">
        <f t="shared" si="12"/>
        <v>171</v>
      </c>
      <c r="V23" s="19">
        <f t="shared" si="12"/>
        <v>171</v>
      </c>
      <c r="W23" s="19">
        <f t="shared" si="12"/>
        <v>171</v>
      </c>
      <c r="X23" s="19">
        <f t="shared" si="12"/>
        <v>171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126</v>
      </c>
      <c r="L27" s="107">
        <f>MAX($C20:L20)</f>
        <v>126</v>
      </c>
      <c r="M27" s="107">
        <f>MAX($C20:M20)</f>
        <v>174</v>
      </c>
      <c r="N27" s="107">
        <f>MAX($C20:N20)</f>
        <v>174</v>
      </c>
      <c r="O27" s="107">
        <f>MAX($C20:O20)</f>
        <v>174</v>
      </c>
      <c r="P27" s="107">
        <f>MAX($C20:P20)</f>
        <v>174</v>
      </c>
      <c r="Q27" s="107">
        <f>MAX($C20:Q20)</f>
        <v>174</v>
      </c>
      <c r="R27" s="107">
        <f>MAX($C20:R20)</f>
        <v>174</v>
      </c>
      <c r="S27" s="107">
        <f>MAX($C20:S20)</f>
        <v>174</v>
      </c>
      <c r="T27" s="107">
        <f>MAX($C20:T20)</f>
        <v>174</v>
      </c>
      <c r="U27" s="107">
        <f>MAX($C20:U20)</f>
        <v>174</v>
      </c>
      <c r="V27" s="107">
        <f>MAX($C20:V20)</f>
        <v>174</v>
      </c>
      <c r="W27" s="107">
        <f>MAX($C20:W20)</f>
        <v>174</v>
      </c>
      <c r="X27" s="107">
        <f>MAX($C20:X20)</f>
        <v>174</v>
      </c>
    </row>
    <row r="28" spans="1:25" ht="13.15" x14ac:dyDescent="0.4">
      <c r="A28">
        <v>22</v>
      </c>
      <c r="B28" s="151" t="s">
        <v>78</v>
      </c>
      <c r="C28" s="19">
        <f>MAX(C21)</f>
        <v>61</v>
      </c>
      <c r="D28" s="107">
        <f>MAX($C21:D21)</f>
        <v>61</v>
      </c>
      <c r="E28" s="107">
        <f>MAX($C21:E21)</f>
        <v>61</v>
      </c>
      <c r="F28" s="107">
        <f>MAX($C21:F21)</f>
        <v>61</v>
      </c>
      <c r="G28" s="107">
        <f>MAX($C21:G21)</f>
        <v>61</v>
      </c>
      <c r="H28" s="107">
        <f>MAX($C21:H21)</f>
        <v>61</v>
      </c>
      <c r="I28" s="107">
        <f>MAX($C21:I21)</f>
        <v>61</v>
      </c>
      <c r="J28" s="107">
        <f>MAX($C21:J21)</f>
        <v>61</v>
      </c>
      <c r="K28" s="107">
        <f>MAX($C21:K21)</f>
        <v>187</v>
      </c>
      <c r="L28" s="107">
        <f>MAX($C21:L21)</f>
        <v>187</v>
      </c>
      <c r="M28" s="107">
        <f>MAX($C21:M21)</f>
        <v>235</v>
      </c>
      <c r="N28" s="107">
        <f>MAX($C21:N21)</f>
        <v>235</v>
      </c>
      <c r="O28" s="107">
        <f>MAX($C21:O21)</f>
        <v>235</v>
      </c>
      <c r="P28" s="107">
        <f>MAX($C21:P21)</f>
        <v>235</v>
      </c>
      <c r="Q28" s="107">
        <f>MAX($C21:Q21)</f>
        <v>235</v>
      </c>
      <c r="R28" s="107">
        <f>MAX($C21:R21)</f>
        <v>235</v>
      </c>
      <c r="S28" s="107">
        <f>MAX($C21:S21)</f>
        <v>235</v>
      </c>
      <c r="T28" s="107">
        <f>MAX($C21:T21)</f>
        <v>235</v>
      </c>
      <c r="U28" s="107">
        <f>MAX($C21:U21)</f>
        <v>235</v>
      </c>
      <c r="V28" s="107">
        <f>MAX($C21:V21)</f>
        <v>235</v>
      </c>
      <c r="W28" s="107">
        <f>MAX($C21:W21)</f>
        <v>235</v>
      </c>
      <c r="X28" s="107">
        <f>MAX($C21:X21)</f>
        <v>235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362</v>
      </c>
      <c r="L29" s="107">
        <f>MAX($C22:L22)</f>
        <v>362</v>
      </c>
      <c r="M29" s="107">
        <f>MAX($C22:M22)</f>
        <v>453</v>
      </c>
      <c r="N29" s="107">
        <f>MAX($C22:N22)</f>
        <v>453</v>
      </c>
      <c r="O29" s="107">
        <f>MAX($C22:O22)</f>
        <v>453</v>
      </c>
      <c r="P29" s="107">
        <f>MAX($C22:P22)</f>
        <v>453</v>
      </c>
      <c r="Q29" s="107">
        <f>MAX($C22:Q22)</f>
        <v>453</v>
      </c>
      <c r="R29" s="107">
        <f>MAX($C22:R22)</f>
        <v>453</v>
      </c>
      <c r="S29" s="107">
        <f>MAX($C22:S22)</f>
        <v>453</v>
      </c>
      <c r="T29" s="107">
        <f>MAX($C22:T22)</f>
        <v>453</v>
      </c>
      <c r="U29" s="107">
        <f>MAX($C22:U22)</f>
        <v>453</v>
      </c>
      <c r="V29" s="107">
        <f>MAX($C22:V22)</f>
        <v>453</v>
      </c>
      <c r="W29" s="107">
        <f>MAX($C22:W22)</f>
        <v>453</v>
      </c>
      <c r="X29" s="107">
        <f>MAX($C22:X22)</f>
        <v>453</v>
      </c>
    </row>
    <row r="30" spans="1:25" ht="13.15" x14ac:dyDescent="0.4">
      <c r="A30">
        <v>24</v>
      </c>
      <c r="B30" s="151" t="s">
        <v>80</v>
      </c>
      <c r="C30" s="19">
        <f>MAX(C23)</f>
        <v>183</v>
      </c>
      <c r="D30" s="107">
        <f>MAX($C23:D23)</f>
        <v>183</v>
      </c>
      <c r="E30" s="107">
        <f>MAX($C23:E23)</f>
        <v>183</v>
      </c>
      <c r="F30" s="107">
        <f>MAX($C23:F23)</f>
        <v>183</v>
      </c>
      <c r="G30" s="107">
        <f>MAX($C23:G23)</f>
        <v>183</v>
      </c>
      <c r="H30" s="107">
        <f>MAX($C23:H23)</f>
        <v>183</v>
      </c>
      <c r="I30" s="107">
        <f>MAX($C23:I23)</f>
        <v>183</v>
      </c>
      <c r="J30" s="107">
        <f>MAX($C23:J23)</f>
        <v>183</v>
      </c>
      <c r="K30" s="107">
        <f>MAX($C23:K23)</f>
        <v>545</v>
      </c>
      <c r="L30" s="107">
        <f>MAX($C23:L23)</f>
        <v>545</v>
      </c>
      <c r="M30" s="107">
        <f>MAX($C23:M23)</f>
        <v>636</v>
      </c>
      <c r="N30" s="107">
        <f>MAX($C23:N23)</f>
        <v>636</v>
      </c>
      <c r="O30" s="107">
        <f>MAX($C23:O23)</f>
        <v>636</v>
      </c>
      <c r="P30" s="107">
        <f>MAX($C23:P23)</f>
        <v>636</v>
      </c>
      <c r="Q30" s="107">
        <f>MAX($C23:Q23)</f>
        <v>636</v>
      </c>
      <c r="R30" s="107">
        <f>MAX($C23:R23)</f>
        <v>636</v>
      </c>
      <c r="S30" s="107">
        <f>MAX($C23:S23)</f>
        <v>636</v>
      </c>
      <c r="T30" s="107">
        <f>MAX($C23:T23)</f>
        <v>636</v>
      </c>
      <c r="U30" s="107">
        <f>MAX($C23:U23)</f>
        <v>636</v>
      </c>
      <c r="V30" s="107">
        <f>MAX($C23:V23)</f>
        <v>636</v>
      </c>
      <c r="W30" s="107">
        <f>MAX($C23:W23)</f>
        <v>636</v>
      </c>
      <c r="X30" s="107">
        <f>MAX($C23:X23)</f>
        <v>636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201"/>
    </row>
    <row r="2" spans="1:24" ht="13.15" x14ac:dyDescent="0.4">
      <c r="B2" s="1" t="s">
        <v>1</v>
      </c>
      <c r="F2" s="202" t="s">
        <v>23</v>
      </c>
      <c r="G2" s="203" t="s">
        <v>24</v>
      </c>
      <c r="H2" s="224">
        <v>3</v>
      </c>
      <c r="I2" s="204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56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59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114</v>
      </c>
      <c r="F9">
        <v>132</v>
      </c>
      <c r="G9">
        <v>120</v>
      </c>
      <c r="H9">
        <v>116</v>
      </c>
      <c r="I9">
        <v>156</v>
      </c>
      <c r="J9">
        <v>149</v>
      </c>
      <c r="K9">
        <v>137</v>
      </c>
      <c r="M9">
        <v>119</v>
      </c>
    </row>
    <row r="10" spans="1:24" ht="13.15" x14ac:dyDescent="0.4">
      <c r="A10">
        <v>4</v>
      </c>
      <c r="B10" s="3" t="s">
        <v>15</v>
      </c>
      <c r="D10">
        <v>139</v>
      </c>
      <c r="F10">
        <v>136</v>
      </c>
      <c r="G10">
        <v>176</v>
      </c>
      <c r="H10">
        <v>128</v>
      </c>
      <c r="I10">
        <v>113</v>
      </c>
      <c r="J10">
        <v>126</v>
      </c>
      <c r="K10">
        <v>162</v>
      </c>
      <c r="M10">
        <v>102</v>
      </c>
    </row>
    <row r="11" spans="1:24" ht="13.15" x14ac:dyDescent="0.4">
      <c r="A11">
        <v>5</v>
      </c>
      <c r="B11" s="3" t="s">
        <v>16</v>
      </c>
      <c r="D11">
        <v>134</v>
      </c>
      <c r="F11">
        <v>137</v>
      </c>
      <c r="G11">
        <v>132</v>
      </c>
      <c r="H11">
        <v>153</v>
      </c>
      <c r="I11">
        <v>179</v>
      </c>
      <c r="J11">
        <v>127</v>
      </c>
      <c r="K11">
        <v>144</v>
      </c>
    </row>
    <row r="12" spans="1:24" ht="13.15" x14ac:dyDescent="0.4">
      <c r="A12">
        <v>6</v>
      </c>
      <c r="B12" s="3" t="s">
        <v>64</v>
      </c>
      <c r="K12">
        <v>157</v>
      </c>
    </row>
    <row r="13" spans="1:24" ht="13.15" x14ac:dyDescent="0.4">
      <c r="A13">
        <v>7</v>
      </c>
      <c r="B13" s="3" t="s">
        <v>65</v>
      </c>
      <c r="K13">
        <v>140</v>
      </c>
    </row>
    <row r="14" spans="1:24" ht="13.15" x14ac:dyDescent="0.4">
      <c r="A14">
        <v>8</v>
      </c>
      <c r="B14" s="3" t="s">
        <v>66</v>
      </c>
      <c r="K14">
        <v>143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387</v>
      </c>
      <c r="E15" s="18">
        <f t="shared" si="2"/>
        <v>0</v>
      </c>
      <c r="F15" s="18">
        <f t="shared" si="2"/>
        <v>405</v>
      </c>
      <c r="G15" s="18">
        <f t="shared" si="2"/>
        <v>428</v>
      </c>
      <c r="H15" s="18">
        <f t="shared" si="2"/>
        <v>397</v>
      </c>
      <c r="I15" s="18">
        <f t="shared" si="2"/>
        <v>448</v>
      </c>
      <c r="J15" s="18">
        <f t="shared" si="2"/>
        <v>402</v>
      </c>
      <c r="K15" s="18">
        <f t="shared" si="2"/>
        <v>883</v>
      </c>
      <c r="L15" s="18">
        <f t="shared" si="2"/>
        <v>0</v>
      </c>
      <c r="M15" s="18">
        <f t="shared" si="2"/>
        <v>221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387</v>
      </c>
      <c r="E16" s="19">
        <f t="shared" si="3"/>
        <v>387</v>
      </c>
      <c r="F16" s="19">
        <f t="shared" si="3"/>
        <v>792</v>
      </c>
      <c r="G16" s="19">
        <f t="shared" si="3"/>
        <v>1220</v>
      </c>
      <c r="H16" s="19">
        <f t="shared" si="3"/>
        <v>1617</v>
      </c>
      <c r="I16" s="19">
        <f t="shared" si="3"/>
        <v>2065</v>
      </c>
      <c r="J16" s="19">
        <f t="shared" si="3"/>
        <v>2467</v>
      </c>
      <c r="K16" s="19">
        <f t="shared" si="3"/>
        <v>3350</v>
      </c>
      <c r="L16" s="19">
        <f t="shared" si="3"/>
        <v>3350</v>
      </c>
      <c r="M16" s="19">
        <f t="shared" si="3"/>
        <v>3571</v>
      </c>
      <c r="N16" s="19">
        <f t="shared" si="3"/>
        <v>3571</v>
      </c>
      <c r="O16" s="19">
        <f t="shared" si="3"/>
        <v>3571</v>
      </c>
      <c r="P16" s="19">
        <f t="shared" si="3"/>
        <v>3571</v>
      </c>
      <c r="Q16" s="19">
        <f t="shared" si="3"/>
        <v>3571</v>
      </c>
      <c r="R16" s="19">
        <f t="shared" si="3"/>
        <v>3571</v>
      </c>
      <c r="S16" s="19">
        <f t="shared" si="3"/>
        <v>3571</v>
      </c>
      <c r="T16" s="19">
        <f t="shared" si="3"/>
        <v>3571</v>
      </c>
      <c r="U16" s="19">
        <f t="shared" si="3"/>
        <v>3571</v>
      </c>
      <c r="V16" s="19">
        <f t="shared" si="3"/>
        <v>3571</v>
      </c>
      <c r="W16" s="19">
        <f t="shared" si="3"/>
        <v>3571</v>
      </c>
      <c r="X16" s="19">
        <f t="shared" si="3"/>
        <v>3571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129</v>
      </c>
      <c r="E17" s="20">
        <f t="shared" si="4"/>
        <v>129</v>
      </c>
      <c r="F17" s="20">
        <f t="shared" si="4"/>
        <v>132</v>
      </c>
      <c r="G17" s="20">
        <f t="shared" si="4"/>
        <v>135.55555555555554</v>
      </c>
      <c r="H17" s="20">
        <f t="shared" si="4"/>
        <v>134.75</v>
      </c>
      <c r="I17" s="20">
        <f t="shared" si="4"/>
        <v>137.66666666666666</v>
      </c>
      <c r="J17" s="20">
        <f t="shared" si="4"/>
        <v>137.05555555555554</v>
      </c>
      <c r="K17" s="20">
        <f t="shared" si="4"/>
        <v>139.58333333333334</v>
      </c>
      <c r="L17" s="20">
        <f t="shared" si="4"/>
        <v>139.58333333333334</v>
      </c>
      <c r="M17" s="20">
        <f t="shared" si="4"/>
        <v>137.34615384615384</v>
      </c>
      <c r="N17" s="20">
        <f t="shared" si="4"/>
        <v>137.34615384615384</v>
      </c>
      <c r="O17" s="20">
        <f t="shared" si="4"/>
        <v>137.34615384615384</v>
      </c>
      <c r="P17" s="20">
        <f t="shared" si="4"/>
        <v>137.34615384615384</v>
      </c>
      <c r="Q17" s="20">
        <f t="shared" si="4"/>
        <v>137.34615384615384</v>
      </c>
      <c r="R17" s="20">
        <f t="shared" si="4"/>
        <v>137.34615384615384</v>
      </c>
      <c r="S17" s="20">
        <f t="shared" si="4"/>
        <v>137.34615384615384</v>
      </c>
      <c r="T17" s="20">
        <f t="shared" si="4"/>
        <v>137.34615384615384</v>
      </c>
      <c r="U17" s="20">
        <f t="shared" si="4"/>
        <v>137.34615384615384</v>
      </c>
      <c r="V17" s="20">
        <f t="shared" si="4"/>
        <v>137.34615384615384</v>
      </c>
      <c r="W17" s="20">
        <f t="shared" si="4"/>
        <v>137.34615384615384</v>
      </c>
      <c r="X17" s="20">
        <f t="shared" si="4"/>
        <v>137.34615384615384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64</v>
      </c>
      <c r="E18" s="19">
        <f t="shared" si="5"/>
        <v>64</v>
      </c>
      <c r="F18" s="19">
        <f t="shared" si="5"/>
        <v>61</v>
      </c>
      <c r="G18" s="19">
        <f t="shared" si="5"/>
        <v>58</v>
      </c>
      <c r="H18" s="19">
        <f t="shared" si="5"/>
        <v>59</v>
      </c>
      <c r="I18" s="19">
        <f t="shared" si="5"/>
        <v>56</v>
      </c>
      <c r="J18" s="19">
        <f t="shared" si="5"/>
        <v>57</v>
      </c>
      <c r="K18" s="19">
        <f t="shared" si="5"/>
        <v>54</v>
      </c>
      <c r="L18" s="19">
        <f t="shared" si="5"/>
        <v>54</v>
      </c>
      <c r="M18" s="19">
        <f t="shared" si="5"/>
        <v>56</v>
      </c>
      <c r="N18" s="19">
        <f t="shared" si="5"/>
        <v>56</v>
      </c>
      <c r="O18" s="19">
        <f t="shared" si="5"/>
        <v>56</v>
      </c>
      <c r="P18" s="19">
        <f t="shared" si="5"/>
        <v>56</v>
      </c>
      <c r="Q18" s="19">
        <f t="shared" si="5"/>
        <v>56</v>
      </c>
      <c r="R18" s="19">
        <f t="shared" si="5"/>
        <v>56</v>
      </c>
      <c r="S18" s="19">
        <f t="shared" si="5"/>
        <v>56</v>
      </c>
      <c r="T18" s="19">
        <f t="shared" si="5"/>
        <v>56</v>
      </c>
      <c r="U18" s="19">
        <f t="shared" si="5"/>
        <v>56</v>
      </c>
      <c r="V18" s="19">
        <f t="shared" si="5"/>
        <v>56</v>
      </c>
      <c r="W18" s="19">
        <f t="shared" si="5"/>
        <v>56</v>
      </c>
      <c r="X18" s="19">
        <f t="shared" si="5"/>
        <v>56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3</v>
      </c>
      <c r="F19" s="19">
        <f t="shared" si="6"/>
        <v>6</v>
      </c>
      <c r="G19" s="19">
        <f t="shared" si="6"/>
        <v>9</v>
      </c>
      <c r="H19" s="19">
        <f t="shared" si="6"/>
        <v>12</v>
      </c>
      <c r="I19" s="19">
        <f t="shared" si="6"/>
        <v>15</v>
      </c>
      <c r="J19" s="19">
        <f t="shared" si="6"/>
        <v>18</v>
      </c>
      <c r="K19" s="19">
        <f t="shared" si="6"/>
        <v>24</v>
      </c>
      <c r="L19" s="19">
        <f t="shared" si="6"/>
        <v>24</v>
      </c>
      <c r="M19" s="19">
        <f t="shared" si="6"/>
        <v>26</v>
      </c>
      <c r="N19" s="19">
        <f t="shared" si="6"/>
        <v>26</v>
      </c>
      <c r="O19" s="19">
        <f t="shared" si="6"/>
        <v>26</v>
      </c>
      <c r="P19" s="19">
        <f t="shared" si="6"/>
        <v>26</v>
      </c>
      <c r="Q19" s="19">
        <f t="shared" si="6"/>
        <v>26</v>
      </c>
      <c r="R19" s="19">
        <f t="shared" si="6"/>
        <v>26</v>
      </c>
      <c r="S19" s="19">
        <f t="shared" si="6"/>
        <v>26</v>
      </c>
      <c r="T19" s="19">
        <f t="shared" si="6"/>
        <v>26</v>
      </c>
      <c r="U19" s="19">
        <f t="shared" si="6"/>
        <v>26</v>
      </c>
      <c r="V19" s="19">
        <f t="shared" si="6"/>
        <v>26</v>
      </c>
      <c r="W19" s="19">
        <f t="shared" si="6"/>
        <v>26</v>
      </c>
      <c r="X19" s="19">
        <f t="shared" si="6"/>
        <v>26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139</v>
      </c>
      <c r="E20" s="19">
        <f t="shared" si="7"/>
        <v>0</v>
      </c>
      <c r="F20" s="19">
        <f t="shared" si="7"/>
        <v>137</v>
      </c>
      <c r="G20" s="19">
        <f t="shared" si="7"/>
        <v>176</v>
      </c>
      <c r="H20" s="19">
        <f t="shared" si="7"/>
        <v>153</v>
      </c>
      <c r="I20" s="19">
        <f t="shared" si="7"/>
        <v>179</v>
      </c>
      <c r="J20" s="19">
        <f t="shared" si="7"/>
        <v>149</v>
      </c>
      <c r="K20" s="19">
        <f t="shared" si="7"/>
        <v>162</v>
      </c>
      <c r="L20" s="19">
        <f t="shared" si="7"/>
        <v>0</v>
      </c>
      <c r="M20" s="19">
        <f t="shared" si="7"/>
        <v>119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59</v>
      </c>
      <c r="D21" s="19">
        <f>MAX(D$9:D$14)+$I$5</f>
        <v>198</v>
      </c>
      <c r="E21" s="19">
        <f>MAX(E$9:E$14)+$I$5</f>
        <v>59</v>
      </c>
      <c r="F21" s="19">
        <f>MAX(F$9:F$14)+$I$5</f>
        <v>196</v>
      </c>
      <c r="G21" s="19">
        <f t="shared" ref="G21:X21" si="8">MAX(G$9:G$14)+F18</f>
        <v>237</v>
      </c>
      <c r="H21" s="19">
        <f t="shared" si="8"/>
        <v>211</v>
      </c>
      <c r="I21" s="19">
        <f t="shared" si="8"/>
        <v>238</v>
      </c>
      <c r="J21" s="19">
        <f t="shared" si="8"/>
        <v>205</v>
      </c>
      <c r="K21" s="19">
        <f t="shared" si="8"/>
        <v>219</v>
      </c>
      <c r="L21" s="19">
        <f t="shared" si="8"/>
        <v>54</v>
      </c>
      <c r="M21" s="19">
        <f t="shared" si="8"/>
        <v>173</v>
      </c>
      <c r="N21" s="19">
        <f t="shared" si="8"/>
        <v>56</v>
      </c>
      <c r="O21" s="19">
        <f t="shared" si="8"/>
        <v>56</v>
      </c>
      <c r="P21" s="19">
        <f t="shared" si="8"/>
        <v>56</v>
      </c>
      <c r="Q21" s="19">
        <f t="shared" si="8"/>
        <v>56</v>
      </c>
      <c r="R21" s="19">
        <f t="shared" si="8"/>
        <v>56</v>
      </c>
      <c r="S21" s="19">
        <f t="shared" si="8"/>
        <v>56</v>
      </c>
      <c r="T21" s="19">
        <f t="shared" si="8"/>
        <v>56</v>
      </c>
      <c r="U21" s="19">
        <f t="shared" si="8"/>
        <v>56</v>
      </c>
      <c r="V21" s="19">
        <f t="shared" si="8"/>
        <v>56</v>
      </c>
      <c r="W21" s="19">
        <f t="shared" si="8"/>
        <v>56</v>
      </c>
      <c r="X21" s="19">
        <f t="shared" si="8"/>
        <v>56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387</v>
      </c>
      <c r="E22" s="19">
        <f t="shared" si="9"/>
        <v>0</v>
      </c>
      <c r="F22" s="19">
        <f t="shared" si="9"/>
        <v>405</v>
      </c>
      <c r="G22" s="19">
        <f t="shared" si="9"/>
        <v>428</v>
      </c>
      <c r="H22" s="19">
        <f t="shared" si="9"/>
        <v>397</v>
      </c>
      <c r="I22" s="19">
        <f t="shared" si="9"/>
        <v>448</v>
      </c>
      <c r="J22" s="19">
        <f t="shared" si="9"/>
        <v>402</v>
      </c>
      <c r="K22" s="19">
        <f t="shared" si="9"/>
        <v>443</v>
      </c>
      <c r="L22" s="19">
        <f t="shared" si="9"/>
        <v>0</v>
      </c>
      <c r="M22" s="19">
        <f t="shared" si="9"/>
        <v>221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177</v>
      </c>
      <c r="D23" s="19">
        <f>MAX(SUM(D$9:D$11),SUM(D$12:D$14))+$I$5*3</f>
        <v>564</v>
      </c>
      <c r="E23" s="19">
        <f>MAX(SUM(E$9:E$11),SUM(E$12:E$14))+$I$5*3</f>
        <v>177</v>
      </c>
      <c r="F23" s="19">
        <f>MAX(SUM(F$9:F$11),SUM(F$12:F$14))+$I$5*3</f>
        <v>582</v>
      </c>
      <c r="G23" s="19">
        <f t="shared" ref="G23:X23" si="10">MAX(SUM(G$9:G$11),SUM(G$12:G$14))+F18*3</f>
        <v>611</v>
      </c>
      <c r="H23" s="19">
        <f t="shared" si="10"/>
        <v>571</v>
      </c>
      <c r="I23" s="19">
        <f t="shared" si="10"/>
        <v>625</v>
      </c>
      <c r="J23" s="19">
        <f t="shared" si="10"/>
        <v>570</v>
      </c>
      <c r="K23" s="19">
        <f t="shared" si="10"/>
        <v>614</v>
      </c>
      <c r="L23" s="19">
        <f t="shared" si="10"/>
        <v>162</v>
      </c>
      <c r="M23" s="19">
        <f t="shared" si="10"/>
        <v>383</v>
      </c>
      <c r="N23" s="19">
        <f t="shared" si="10"/>
        <v>168</v>
      </c>
      <c r="O23" s="19">
        <f t="shared" si="10"/>
        <v>168</v>
      </c>
      <c r="P23" s="19">
        <f t="shared" si="10"/>
        <v>168</v>
      </c>
      <c r="Q23" s="19">
        <f t="shared" si="10"/>
        <v>168</v>
      </c>
      <c r="R23" s="19">
        <f t="shared" si="10"/>
        <v>168</v>
      </c>
      <c r="S23" s="19">
        <f t="shared" si="10"/>
        <v>168</v>
      </c>
      <c r="T23" s="19">
        <f t="shared" si="10"/>
        <v>168</v>
      </c>
      <c r="U23" s="19">
        <f t="shared" si="10"/>
        <v>168</v>
      </c>
      <c r="V23" s="19">
        <f t="shared" si="10"/>
        <v>168</v>
      </c>
      <c r="W23" s="19">
        <f t="shared" si="10"/>
        <v>168</v>
      </c>
      <c r="X23" s="19">
        <f t="shared" si="10"/>
        <v>168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139</v>
      </c>
      <c r="E27" s="107">
        <f>MAX($C20:E20)</f>
        <v>139</v>
      </c>
      <c r="F27" s="107">
        <f>MAX($C20:F20)</f>
        <v>139</v>
      </c>
      <c r="G27" s="107">
        <f>MAX($C20:G20)</f>
        <v>176</v>
      </c>
      <c r="H27" s="107">
        <f>MAX($C20:H20)</f>
        <v>176</v>
      </c>
      <c r="I27" s="107">
        <f>MAX($C20:I20)</f>
        <v>179</v>
      </c>
      <c r="J27" s="107">
        <f>MAX($C20:J20)</f>
        <v>179</v>
      </c>
      <c r="K27" s="107">
        <f>MAX($C20:K20)</f>
        <v>179</v>
      </c>
      <c r="L27" s="107">
        <f>MAX($C20:L20)</f>
        <v>179</v>
      </c>
      <c r="M27" s="107">
        <f>MAX($C20:M20)</f>
        <v>179</v>
      </c>
      <c r="N27" s="107">
        <f>MAX($C20:N20)</f>
        <v>179</v>
      </c>
      <c r="O27" s="107">
        <f>MAX($C20:O20)</f>
        <v>179</v>
      </c>
      <c r="P27" s="107">
        <f>MAX($C20:P20)</f>
        <v>179</v>
      </c>
      <c r="Q27" s="107">
        <f>MAX($C20:Q20)</f>
        <v>179</v>
      </c>
      <c r="R27" s="107">
        <f>MAX($C20:R20)</f>
        <v>179</v>
      </c>
      <c r="S27" s="107">
        <f>MAX($C20:S20)</f>
        <v>179</v>
      </c>
      <c r="T27" s="107">
        <f>MAX($C20:T20)</f>
        <v>179</v>
      </c>
      <c r="U27" s="107">
        <f>MAX($C20:U20)</f>
        <v>179</v>
      </c>
      <c r="V27" s="107">
        <f>MAX($C20:V20)</f>
        <v>179</v>
      </c>
      <c r="W27" s="107">
        <f>MAX($C20:W20)</f>
        <v>179</v>
      </c>
      <c r="X27" s="107">
        <f>MAX($C20:X20)</f>
        <v>179</v>
      </c>
    </row>
    <row r="28" spans="1:25" ht="13.15" x14ac:dyDescent="0.4">
      <c r="A28">
        <v>22</v>
      </c>
      <c r="B28" s="151" t="s">
        <v>78</v>
      </c>
      <c r="C28" s="19">
        <f>MAX(C21)</f>
        <v>59</v>
      </c>
      <c r="D28" s="107">
        <f>MAX($C21:D21)</f>
        <v>198</v>
      </c>
      <c r="E28" s="107">
        <f>MAX($C21:E21)</f>
        <v>198</v>
      </c>
      <c r="F28" s="107">
        <f>MAX($C21:F21)</f>
        <v>198</v>
      </c>
      <c r="G28" s="107">
        <f>MAX($C21:G21)</f>
        <v>237</v>
      </c>
      <c r="H28" s="107">
        <f>MAX($C21:H21)</f>
        <v>237</v>
      </c>
      <c r="I28" s="107">
        <f>MAX($C21:I21)</f>
        <v>238</v>
      </c>
      <c r="J28" s="107">
        <f>MAX($C21:J21)</f>
        <v>238</v>
      </c>
      <c r="K28" s="107">
        <f>MAX($C21:K21)</f>
        <v>238</v>
      </c>
      <c r="L28" s="107">
        <f>MAX($C21:L21)</f>
        <v>238</v>
      </c>
      <c r="M28" s="107">
        <f>MAX($C21:M21)</f>
        <v>238</v>
      </c>
      <c r="N28" s="107">
        <f>MAX($C21:N21)</f>
        <v>238</v>
      </c>
      <c r="O28" s="107">
        <f>MAX($C21:O21)</f>
        <v>238</v>
      </c>
      <c r="P28" s="107">
        <f>MAX($C21:P21)</f>
        <v>238</v>
      </c>
      <c r="Q28" s="107">
        <f>MAX($C21:Q21)</f>
        <v>238</v>
      </c>
      <c r="R28" s="107">
        <f>MAX($C21:R21)</f>
        <v>238</v>
      </c>
      <c r="S28" s="107">
        <f>MAX($C21:S21)</f>
        <v>238</v>
      </c>
      <c r="T28" s="107">
        <f>MAX($C21:T21)</f>
        <v>238</v>
      </c>
      <c r="U28" s="107">
        <f>MAX($C21:U21)</f>
        <v>238</v>
      </c>
      <c r="V28" s="107">
        <f>MAX($C21:V21)</f>
        <v>238</v>
      </c>
      <c r="W28" s="107">
        <f>MAX($C21:W21)</f>
        <v>238</v>
      </c>
      <c r="X28" s="107">
        <f>MAX($C21:X21)</f>
        <v>238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387</v>
      </c>
      <c r="E29" s="107">
        <f>MAX($C22:E22)</f>
        <v>387</v>
      </c>
      <c r="F29" s="107">
        <f>MAX($C22:F22)</f>
        <v>405</v>
      </c>
      <c r="G29" s="107">
        <f>MAX($C22:G22)</f>
        <v>428</v>
      </c>
      <c r="H29" s="107">
        <f>MAX($C22:H22)</f>
        <v>428</v>
      </c>
      <c r="I29" s="107">
        <f>MAX($C22:I22)</f>
        <v>448</v>
      </c>
      <c r="J29" s="107">
        <f>MAX($C22:J22)</f>
        <v>448</v>
      </c>
      <c r="K29" s="107">
        <f>MAX($C22:K22)</f>
        <v>448</v>
      </c>
      <c r="L29" s="107">
        <f>MAX($C22:L22)</f>
        <v>448</v>
      </c>
      <c r="M29" s="107">
        <f>MAX($C22:M22)</f>
        <v>448</v>
      </c>
      <c r="N29" s="107">
        <f>MAX($C22:N22)</f>
        <v>448</v>
      </c>
      <c r="O29" s="107">
        <f>MAX($C22:O22)</f>
        <v>448</v>
      </c>
      <c r="P29" s="107">
        <f>MAX($C22:P22)</f>
        <v>448</v>
      </c>
      <c r="Q29" s="107">
        <f>MAX($C22:Q22)</f>
        <v>448</v>
      </c>
      <c r="R29" s="107">
        <f>MAX($C22:R22)</f>
        <v>448</v>
      </c>
      <c r="S29" s="107">
        <f>MAX($C22:S22)</f>
        <v>448</v>
      </c>
      <c r="T29" s="107">
        <f>MAX($C22:T22)</f>
        <v>448</v>
      </c>
      <c r="U29" s="107">
        <f>MAX($C22:U22)</f>
        <v>448</v>
      </c>
      <c r="V29" s="107">
        <f>MAX($C22:V22)</f>
        <v>448</v>
      </c>
      <c r="W29" s="107">
        <f>MAX($C22:W22)</f>
        <v>448</v>
      </c>
      <c r="X29" s="107">
        <f>MAX($C22:X22)</f>
        <v>448</v>
      </c>
    </row>
    <row r="30" spans="1:25" ht="13.15" x14ac:dyDescent="0.4">
      <c r="A30">
        <v>24</v>
      </c>
      <c r="B30" s="151" t="s">
        <v>80</v>
      </c>
      <c r="C30" s="19">
        <f>MAX(C23)</f>
        <v>177</v>
      </c>
      <c r="D30" s="107">
        <f>MAX($C23:D23)</f>
        <v>564</v>
      </c>
      <c r="E30" s="107">
        <f>MAX($C23:E23)</f>
        <v>564</v>
      </c>
      <c r="F30" s="107">
        <f>MAX($C23:F23)</f>
        <v>582</v>
      </c>
      <c r="G30" s="107">
        <f>MAX($C23:G23)</f>
        <v>611</v>
      </c>
      <c r="H30" s="107">
        <f>MAX($C23:H23)</f>
        <v>611</v>
      </c>
      <c r="I30" s="107">
        <f>MAX($C23:I23)</f>
        <v>625</v>
      </c>
      <c r="J30" s="107">
        <f>MAX($C23:J23)</f>
        <v>625</v>
      </c>
      <c r="K30" s="107">
        <f>MAX($C23:K23)</f>
        <v>625</v>
      </c>
      <c r="L30" s="107">
        <f>MAX($C23:L23)</f>
        <v>625</v>
      </c>
      <c r="M30" s="107">
        <f>MAX($C23:M23)</f>
        <v>625</v>
      </c>
      <c r="N30" s="107">
        <f>MAX($C23:N23)</f>
        <v>625</v>
      </c>
      <c r="O30" s="107">
        <f>MAX($C23:O23)</f>
        <v>625</v>
      </c>
      <c r="P30" s="107">
        <f>MAX($C23:P23)</f>
        <v>625</v>
      </c>
      <c r="Q30" s="107">
        <f>MAX($C23:Q23)</f>
        <v>625</v>
      </c>
      <c r="R30" s="107">
        <f>MAX($C23:R23)</f>
        <v>625</v>
      </c>
      <c r="S30" s="107">
        <f>MAX($C23:S23)</f>
        <v>625</v>
      </c>
      <c r="T30" s="107">
        <f>MAX($C23:T23)</f>
        <v>625</v>
      </c>
      <c r="U30" s="107">
        <f>MAX($C23:U23)</f>
        <v>625</v>
      </c>
      <c r="V30" s="107">
        <f>MAX($C23:V23)</f>
        <v>625</v>
      </c>
      <c r="W30" s="107">
        <f>MAX($C23:W23)</f>
        <v>625</v>
      </c>
      <c r="X30" s="107">
        <f>MAX($C23:X23)</f>
        <v>625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230</v>
      </c>
      <c r="G2" s="203" t="s">
        <v>25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69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67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141</v>
      </c>
      <c r="E9">
        <v>109</v>
      </c>
      <c r="G9">
        <v>98</v>
      </c>
      <c r="J9">
        <v>140</v>
      </c>
      <c r="L9">
        <v>100</v>
      </c>
      <c r="O9">
        <v>155</v>
      </c>
      <c r="R9">
        <v>164</v>
      </c>
      <c r="S9">
        <v>90</v>
      </c>
    </row>
    <row r="10" spans="1:24" ht="13.15" x14ac:dyDescent="0.4">
      <c r="A10">
        <v>4</v>
      </c>
      <c r="B10" s="3" t="s">
        <v>15</v>
      </c>
      <c r="D10">
        <v>102</v>
      </c>
      <c r="E10">
        <v>154</v>
      </c>
      <c r="G10">
        <v>121</v>
      </c>
      <c r="J10">
        <v>114</v>
      </c>
      <c r="L10">
        <v>114</v>
      </c>
      <c r="R10">
        <v>123</v>
      </c>
      <c r="S10">
        <v>93</v>
      </c>
    </row>
    <row r="11" spans="1:24" ht="13.15" x14ac:dyDescent="0.4">
      <c r="A11">
        <v>5</v>
      </c>
      <c r="B11" s="3" t="s">
        <v>16</v>
      </c>
      <c r="R11">
        <v>152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243</v>
      </c>
      <c r="E15" s="18">
        <f t="shared" si="2"/>
        <v>263</v>
      </c>
      <c r="F15" s="18">
        <f t="shared" si="2"/>
        <v>0</v>
      </c>
      <c r="G15" s="18">
        <f t="shared" si="2"/>
        <v>219</v>
      </c>
      <c r="H15" s="18">
        <f t="shared" si="2"/>
        <v>0</v>
      </c>
      <c r="I15" s="18">
        <f t="shared" si="2"/>
        <v>0</v>
      </c>
      <c r="J15" s="18">
        <f t="shared" si="2"/>
        <v>254</v>
      </c>
      <c r="K15" s="18">
        <f t="shared" si="2"/>
        <v>0</v>
      </c>
      <c r="L15" s="18">
        <f t="shared" si="2"/>
        <v>214</v>
      </c>
      <c r="M15" s="18">
        <f t="shared" si="2"/>
        <v>0</v>
      </c>
      <c r="N15" s="18">
        <f t="shared" si="2"/>
        <v>0</v>
      </c>
      <c r="O15" s="18">
        <f t="shared" si="2"/>
        <v>155</v>
      </c>
      <c r="P15" s="18">
        <f t="shared" si="2"/>
        <v>0</v>
      </c>
      <c r="Q15" s="18">
        <f t="shared" si="2"/>
        <v>0</v>
      </c>
      <c r="R15" s="18">
        <f t="shared" si="2"/>
        <v>439</v>
      </c>
      <c r="S15" s="18">
        <f t="shared" si="2"/>
        <v>183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243</v>
      </c>
      <c r="E16" s="19">
        <f t="shared" si="3"/>
        <v>506</v>
      </c>
      <c r="F16" s="19">
        <f t="shared" si="3"/>
        <v>506</v>
      </c>
      <c r="G16" s="19">
        <f t="shared" si="3"/>
        <v>725</v>
      </c>
      <c r="H16" s="19">
        <f t="shared" si="3"/>
        <v>725</v>
      </c>
      <c r="I16" s="19">
        <f t="shared" si="3"/>
        <v>725</v>
      </c>
      <c r="J16" s="19">
        <f t="shared" si="3"/>
        <v>979</v>
      </c>
      <c r="K16" s="19">
        <f t="shared" si="3"/>
        <v>979</v>
      </c>
      <c r="L16" s="19">
        <f t="shared" si="3"/>
        <v>1193</v>
      </c>
      <c r="M16" s="19">
        <f t="shared" si="3"/>
        <v>1193</v>
      </c>
      <c r="N16" s="19">
        <f t="shared" si="3"/>
        <v>1193</v>
      </c>
      <c r="O16" s="19">
        <f t="shared" si="3"/>
        <v>1348</v>
      </c>
      <c r="P16" s="19">
        <f t="shared" si="3"/>
        <v>1348</v>
      </c>
      <c r="Q16" s="19">
        <f t="shared" si="3"/>
        <v>1348</v>
      </c>
      <c r="R16" s="19">
        <f t="shared" si="3"/>
        <v>1787</v>
      </c>
      <c r="S16" s="19">
        <f t="shared" si="3"/>
        <v>1970</v>
      </c>
      <c r="T16" s="19">
        <f t="shared" si="3"/>
        <v>1970</v>
      </c>
      <c r="U16" s="19">
        <f t="shared" si="3"/>
        <v>1970</v>
      </c>
      <c r="V16" s="19">
        <f t="shared" si="3"/>
        <v>1970</v>
      </c>
      <c r="W16" s="19">
        <f t="shared" si="3"/>
        <v>1970</v>
      </c>
      <c r="X16" s="19">
        <f t="shared" si="3"/>
        <v>1970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121.5</v>
      </c>
      <c r="E17" s="20">
        <f t="shared" si="4"/>
        <v>126.5</v>
      </c>
      <c r="F17" s="20">
        <f t="shared" si="4"/>
        <v>126.5</v>
      </c>
      <c r="G17" s="20">
        <f t="shared" si="4"/>
        <v>120.83333333333333</v>
      </c>
      <c r="H17" s="20">
        <f t="shared" si="4"/>
        <v>120.83333333333333</v>
      </c>
      <c r="I17" s="20">
        <f t="shared" si="4"/>
        <v>120.83333333333333</v>
      </c>
      <c r="J17" s="20">
        <f t="shared" si="4"/>
        <v>122.375</v>
      </c>
      <c r="K17" s="20">
        <f t="shared" si="4"/>
        <v>122.375</v>
      </c>
      <c r="L17" s="20">
        <f t="shared" si="4"/>
        <v>119.3</v>
      </c>
      <c r="M17" s="20">
        <f t="shared" si="4"/>
        <v>119.3</v>
      </c>
      <c r="N17" s="20">
        <f t="shared" si="4"/>
        <v>119.3</v>
      </c>
      <c r="O17" s="20">
        <f t="shared" si="4"/>
        <v>122.54545454545455</v>
      </c>
      <c r="P17" s="20">
        <f t="shared" si="4"/>
        <v>122.54545454545455</v>
      </c>
      <c r="Q17" s="20">
        <f t="shared" si="4"/>
        <v>122.54545454545455</v>
      </c>
      <c r="R17" s="20">
        <f t="shared" si="4"/>
        <v>127.64285714285714</v>
      </c>
      <c r="S17" s="20">
        <f t="shared" si="4"/>
        <v>123.125</v>
      </c>
      <c r="T17" s="20">
        <f t="shared" si="4"/>
        <v>123.125</v>
      </c>
      <c r="U17" s="20">
        <f t="shared" si="4"/>
        <v>123.125</v>
      </c>
      <c r="V17" s="20">
        <f t="shared" si="4"/>
        <v>123.125</v>
      </c>
      <c r="W17" s="20">
        <f t="shared" si="4"/>
        <v>123.125</v>
      </c>
      <c r="X17" s="20">
        <f t="shared" si="4"/>
        <v>123.125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71</v>
      </c>
      <c r="E18" s="19">
        <f t="shared" si="5"/>
        <v>66</v>
      </c>
      <c r="F18" s="19">
        <f t="shared" si="5"/>
        <v>66</v>
      </c>
      <c r="G18" s="19">
        <f t="shared" si="5"/>
        <v>71</v>
      </c>
      <c r="H18" s="19">
        <f t="shared" si="5"/>
        <v>71</v>
      </c>
      <c r="I18" s="19">
        <f t="shared" si="5"/>
        <v>71</v>
      </c>
      <c r="J18" s="19">
        <f t="shared" si="5"/>
        <v>70</v>
      </c>
      <c r="K18" s="19">
        <f t="shared" si="5"/>
        <v>70</v>
      </c>
      <c r="L18" s="19">
        <f t="shared" si="5"/>
        <v>73</v>
      </c>
      <c r="M18" s="19">
        <f t="shared" si="5"/>
        <v>73</v>
      </c>
      <c r="N18" s="19">
        <f t="shared" si="5"/>
        <v>73</v>
      </c>
      <c r="O18" s="19">
        <f t="shared" si="5"/>
        <v>70</v>
      </c>
      <c r="P18" s="19">
        <f t="shared" si="5"/>
        <v>70</v>
      </c>
      <c r="Q18" s="19">
        <f t="shared" si="5"/>
        <v>70</v>
      </c>
      <c r="R18" s="19">
        <f t="shared" si="5"/>
        <v>65</v>
      </c>
      <c r="S18" s="19">
        <f t="shared" si="5"/>
        <v>69</v>
      </c>
      <c r="T18" s="19">
        <f t="shared" si="5"/>
        <v>69</v>
      </c>
      <c r="U18" s="19">
        <f t="shared" si="5"/>
        <v>69</v>
      </c>
      <c r="V18" s="19">
        <f t="shared" si="5"/>
        <v>69</v>
      </c>
      <c r="W18" s="19">
        <f t="shared" si="5"/>
        <v>69</v>
      </c>
      <c r="X18" s="19">
        <f t="shared" si="5"/>
        <v>69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2</v>
      </c>
      <c r="E19" s="19">
        <f t="shared" si="6"/>
        <v>4</v>
      </c>
      <c r="F19" s="19">
        <f t="shared" si="6"/>
        <v>4</v>
      </c>
      <c r="G19" s="19">
        <f t="shared" si="6"/>
        <v>6</v>
      </c>
      <c r="H19" s="19">
        <f t="shared" si="6"/>
        <v>6</v>
      </c>
      <c r="I19" s="19">
        <f t="shared" si="6"/>
        <v>6</v>
      </c>
      <c r="J19" s="19">
        <f t="shared" si="6"/>
        <v>8</v>
      </c>
      <c r="K19" s="19">
        <f t="shared" si="6"/>
        <v>8</v>
      </c>
      <c r="L19" s="19">
        <f t="shared" si="6"/>
        <v>10</v>
      </c>
      <c r="M19" s="19">
        <f t="shared" si="6"/>
        <v>10</v>
      </c>
      <c r="N19" s="19">
        <f t="shared" si="6"/>
        <v>10</v>
      </c>
      <c r="O19" s="19">
        <f t="shared" si="6"/>
        <v>11</v>
      </c>
      <c r="P19" s="19">
        <f t="shared" si="6"/>
        <v>11</v>
      </c>
      <c r="Q19" s="19">
        <f t="shared" si="6"/>
        <v>11</v>
      </c>
      <c r="R19" s="19">
        <f t="shared" si="6"/>
        <v>14</v>
      </c>
      <c r="S19" s="19">
        <f t="shared" si="6"/>
        <v>16</v>
      </c>
      <c r="T19" s="19">
        <f t="shared" si="6"/>
        <v>16</v>
      </c>
      <c r="U19" s="19">
        <f t="shared" si="6"/>
        <v>16</v>
      </c>
      <c r="V19" s="19">
        <f t="shared" si="6"/>
        <v>16</v>
      </c>
      <c r="W19" s="19">
        <f t="shared" si="6"/>
        <v>16</v>
      </c>
      <c r="X19" s="19">
        <f t="shared" si="6"/>
        <v>16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141</v>
      </c>
      <c r="E20" s="19">
        <f t="shared" si="7"/>
        <v>154</v>
      </c>
      <c r="F20" s="19">
        <f t="shared" si="7"/>
        <v>0</v>
      </c>
      <c r="G20" s="19">
        <f t="shared" si="7"/>
        <v>121</v>
      </c>
      <c r="H20" s="19">
        <f t="shared" si="7"/>
        <v>0</v>
      </c>
      <c r="I20" s="19">
        <f t="shared" si="7"/>
        <v>0</v>
      </c>
      <c r="J20" s="19">
        <f t="shared" si="7"/>
        <v>140</v>
      </c>
      <c r="K20" s="19">
        <f t="shared" si="7"/>
        <v>0</v>
      </c>
      <c r="L20" s="19">
        <f t="shared" si="7"/>
        <v>114</v>
      </c>
      <c r="M20" s="19">
        <f t="shared" si="7"/>
        <v>0</v>
      </c>
      <c r="N20" s="19">
        <f t="shared" si="7"/>
        <v>0</v>
      </c>
      <c r="O20" s="19">
        <f t="shared" si="7"/>
        <v>155</v>
      </c>
      <c r="P20" s="19">
        <f t="shared" si="7"/>
        <v>0</v>
      </c>
      <c r="Q20" s="19">
        <f t="shared" si="7"/>
        <v>0</v>
      </c>
      <c r="R20" s="19">
        <f t="shared" si="7"/>
        <v>164</v>
      </c>
      <c r="S20" s="19">
        <f t="shared" si="7"/>
        <v>93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67</v>
      </c>
      <c r="D21" s="19">
        <f>MAX(D$9:D$14)+$I$5</f>
        <v>208</v>
      </c>
      <c r="E21" s="19">
        <f>MAX(E$9:E$14)+$I$5</f>
        <v>221</v>
      </c>
      <c r="F21" s="19">
        <f t="shared" ref="F21:X21" si="8">MAX(F$9:F$14)+E18</f>
        <v>66</v>
      </c>
      <c r="G21" s="19">
        <f t="shared" si="8"/>
        <v>187</v>
      </c>
      <c r="H21" s="19">
        <f t="shared" si="8"/>
        <v>71</v>
      </c>
      <c r="I21" s="19">
        <f t="shared" si="8"/>
        <v>71</v>
      </c>
      <c r="J21" s="19">
        <f t="shared" si="8"/>
        <v>211</v>
      </c>
      <c r="K21" s="19">
        <f t="shared" si="8"/>
        <v>70</v>
      </c>
      <c r="L21" s="19">
        <f t="shared" si="8"/>
        <v>184</v>
      </c>
      <c r="M21" s="19">
        <f t="shared" si="8"/>
        <v>73</v>
      </c>
      <c r="N21" s="19">
        <f t="shared" si="8"/>
        <v>73</v>
      </c>
      <c r="O21" s="19">
        <f t="shared" si="8"/>
        <v>228</v>
      </c>
      <c r="P21" s="19">
        <f t="shared" si="8"/>
        <v>70</v>
      </c>
      <c r="Q21" s="19">
        <f t="shared" si="8"/>
        <v>70</v>
      </c>
      <c r="R21" s="19">
        <f t="shared" si="8"/>
        <v>234</v>
      </c>
      <c r="S21" s="19">
        <f t="shared" si="8"/>
        <v>158</v>
      </c>
      <c r="T21" s="19">
        <f t="shared" si="8"/>
        <v>69</v>
      </c>
      <c r="U21" s="19">
        <f t="shared" si="8"/>
        <v>69</v>
      </c>
      <c r="V21" s="19">
        <f t="shared" si="8"/>
        <v>69</v>
      </c>
      <c r="W21" s="19">
        <f t="shared" si="8"/>
        <v>69</v>
      </c>
      <c r="X21" s="19">
        <f t="shared" si="8"/>
        <v>69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243</v>
      </c>
      <c r="E22" s="19">
        <f t="shared" si="9"/>
        <v>263</v>
      </c>
      <c r="F22" s="19">
        <f t="shared" si="9"/>
        <v>0</v>
      </c>
      <c r="G22" s="19">
        <f t="shared" si="9"/>
        <v>219</v>
      </c>
      <c r="H22" s="19">
        <f t="shared" si="9"/>
        <v>0</v>
      </c>
      <c r="I22" s="19">
        <f t="shared" si="9"/>
        <v>0</v>
      </c>
      <c r="J22" s="19">
        <f t="shared" si="9"/>
        <v>254</v>
      </c>
      <c r="K22" s="19">
        <f t="shared" si="9"/>
        <v>0</v>
      </c>
      <c r="L22" s="19">
        <f t="shared" si="9"/>
        <v>214</v>
      </c>
      <c r="M22" s="19">
        <f t="shared" si="9"/>
        <v>0</v>
      </c>
      <c r="N22" s="19">
        <f t="shared" si="9"/>
        <v>0</v>
      </c>
      <c r="O22" s="19">
        <f t="shared" si="9"/>
        <v>155</v>
      </c>
      <c r="P22" s="19">
        <f t="shared" si="9"/>
        <v>0</v>
      </c>
      <c r="Q22" s="19">
        <f t="shared" si="9"/>
        <v>0</v>
      </c>
      <c r="R22" s="19">
        <f t="shared" si="9"/>
        <v>439</v>
      </c>
      <c r="S22" s="19">
        <f t="shared" si="9"/>
        <v>183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201</v>
      </c>
      <c r="D23" s="19">
        <f>MAX(SUM(D$9:D$11),SUM(D$12:D$14))+$I$5*3</f>
        <v>444</v>
      </c>
      <c r="E23" s="19">
        <f>MAX(SUM(E$9:E$11),SUM(E$12:E$14))+$I$5*3</f>
        <v>464</v>
      </c>
      <c r="F23" s="19">
        <f t="shared" ref="F23:X23" si="10">MAX(SUM(F$9:F$11),SUM(F$12:F$14))+E18*3</f>
        <v>198</v>
      </c>
      <c r="G23" s="19">
        <f t="shared" si="10"/>
        <v>417</v>
      </c>
      <c r="H23" s="19">
        <f t="shared" si="10"/>
        <v>213</v>
      </c>
      <c r="I23" s="19">
        <f t="shared" si="10"/>
        <v>213</v>
      </c>
      <c r="J23" s="19">
        <f t="shared" si="10"/>
        <v>467</v>
      </c>
      <c r="K23" s="19">
        <f t="shared" si="10"/>
        <v>210</v>
      </c>
      <c r="L23" s="19">
        <f t="shared" si="10"/>
        <v>424</v>
      </c>
      <c r="M23" s="19">
        <f t="shared" si="10"/>
        <v>219</v>
      </c>
      <c r="N23" s="19">
        <f t="shared" si="10"/>
        <v>219</v>
      </c>
      <c r="O23" s="19">
        <f t="shared" si="10"/>
        <v>374</v>
      </c>
      <c r="P23" s="19">
        <f t="shared" si="10"/>
        <v>210</v>
      </c>
      <c r="Q23" s="19">
        <f t="shared" si="10"/>
        <v>210</v>
      </c>
      <c r="R23" s="19">
        <f t="shared" si="10"/>
        <v>649</v>
      </c>
      <c r="S23" s="19">
        <f t="shared" si="10"/>
        <v>378</v>
      </c>
      <c r="T23" s="19">
        <f t="shared" si="10"/>
        <v>207</v>
      </c>
      <c r="U23" s="19">
        <f t="shared" si="10"/>
        <v>207</v>
      </c>
      <c r="V23" s="19">
        <f t="shared" si="10"/>
        <v>207</v>
      </c>
      <c r="W23" s="19">
        <f t="shared" si="10"/>
        <v>207</v>
      </c>
      <c r="X23" s="19">
        <f t="shared" si="10"/>
        <v>207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141</v>
      </c>
      <c r="E27" s="107">
        <f>MAX($C20:E20)</f>
        <v>154</v>
      </c>
      <c r="F27" s="107">
        <f>MAX($C20:F20)</f>
        <v>154</v>
      </c>
      <c r="G27" s="107">
        <f>MAX($C20:G20)</f>
        <v>154</v>
      </c>
      <c r="H27" s="107">
        <f>MAX($C20:H20)</f>
        <v>154</v>
      </c>
      <c r="I27" s="107">
        <f>MAX($C20:I20)</f>
        <v>154</v>
      </c>
      <c r="J27" s="107">
        <f>MAX($C20:J20)</f>
        <v>154</v>
      </c>
      <c r="K27" s="107">
        <f>MAX($C20:K20)</f>
        <v>154</v>
      </c>
      <c r="L27" s="107">
        <f>MAX($C20:L20)</f>
        <v>154</v>
      </c>
      <c r="M27" s="107">
        <f>MAX($C20:M20)</f>
        <v>154</v>
      </c>
      <c r="N27" s="107">
        <f>MAX($C20:N20)</f>
        <v>154</v>
      </c>
      <c r="O27" s="107">
        <f>MAX($C20:O20)</f>
        <v>155</v>
      </c>
      <c r="P27" s="107">
        <f>MAX($C20:P20)</f>
        <v>155</v>
      </c>
      <c r="Q27" s="107">
        <f>MAX($C20:Q20)</f>
        <v>155</v>
      </c>
      <c r="R27" s="107">
        <f>MAX($C20:R20)</f>
        <v>164</v>
      </c>
      <c r="S27" s="107">
        <f>MAX($C20:S20)</f>
        <v>164</v>
      </c>
      <c r="T27" s="107">
        <f>MAX($C20:T20)</f>
        <v>164</v>
      </c>
      <c r="U27" s="107">
        <f>MAX($C20:U20)</f>
        <v>164</v>
      </c>
      <c r="V27" s="107">
        <f>MAX($C20:V20)</f>
        <v>164</v>
      </c>
      <c r="W27" s="107">
        <f>MAX($C20:W20)</f>
        <v>164</v>
      </c>
      <c r="X27" s="107">
        <f>MAX($C20:X20)</f>
        <v>164</v>
      </c>
    </row>
    <row r="28" spans="1:25" ht="13.15" x14ac:dyDescent="0.4">
      <c r="A28">
        <v>22</v>
      </c>
      <c r="B28" s="151" t="s">
        <v>78</v>
      </c>
      <c r="C28" s="19">
        <f>MAX(C21)</f>
        <v>67</v>
      </c>
      <c r="D28" s="107">
        <f>MAX($C21:D21)</f>
        <v>208</v>
      </c>
      <c r="E28" s="107">
        <f>MAX($C21:E21)</f>
        <v>221</v>
      </c>
      <c r="F28" s="107">
        <f>MAX($C21:F21)</f>
        <v>221</v>
      </c>
      <c r="G28" s="107">
        <f>MAX($C21:G21)</f>
        <v>221</v>
      </c>
      <c r="H28" s="107">
        <f>MAX($C21:H21)</f>
        <v>221</v>
      </c>
      <c r="I28" s="107">
        <f>MAX($C21:I21)</f>
        <v>221</v>
      </c>
      <c r="J28" s="107">
        <f>MAX($C21:J21)</f>
        <v>221</v>
      </c>
      <c r="K28" s="107">
        <f>MAX($C21:K21)</f>
        <v>221</v>
      </c>
      <c r="L28" s="107">
        <f>MAX($C21:L21)</f>
        <v>221</v>
      </c>
      <c r="M28" s="107">
        <f>MAX($C21:M21)</f>
        <v>221</v>
      </c>
      <c r="N28" s="107">
        <f>MAX($C21:N21)</f>
        <v>221</v>
      </c>
      <c r="O28" s="107">
        <f>MAX($C21:O21)</f>
        <v>228</v>
      </c>
      <c r="P28" s="107">
        <f>MAX($C21:P21)</f>
        <v>228</v>
      </c>
      <c r="Q28" s="107">
        <f>MAX($C21:Q21)</f>
        <v>228</v>
      </c>
      <c r="R28" s="107">
        <f>MAX($C21:R21)</f>
        <v>234</v>
      </c>
      <c r="S28" s="107">
        <f>MAX($C21:S21)</f>
        <v>234</v>
      </c>
      <c r="T28" s="107">
        <f>MAX($C21:T21)</f>
        <v>234</v>
      </c>
      <c r="U28" s="107">
        <f>MAX($C21:U21)</f>
        <v>234</v>
      </c>
      <c r="V28" s="107">
        <f>MAX($C21:V21)</f>
        <v>234</v>
      </c>
      <c r="W28" s="107">
        <f>MAX($C21:W21)</f>
        <v>234</v>
      </c>
      <c r="X28" s="107">
        <f>MAX($C21:X21)</f>
        <v>234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243</v>
      </c>
      <c r="E29" s="107">
        <f>MAX($C22:E22)</f>
        <v>263</v>
      </c>
      <c r="F29" s="107">
        <f>MAX($C22:F22)</f>
        <v>263</v>
      </c>
      <c r="G29" s="107">
        <f>MAX($C22:G22)</f>
        <v>263</v>
      </c>
      <c r="H29" s="107">
        <f>MAX($C22:H22)</f>
        <v>263</v>
      </c>
      <c r="I29" s="107">
        <f>MAX($C22:I22)</f>
        <v>263</v>
      </c>
      <c r="J29" s="107">
        <f>MAX($C22:J22)</f>
        <v>263</v>
      </c>
      <c r="K29" s="107">
        <f>MAX($C22:K22)</f>
        <v>263</v>
      </c>
      <c r="L29" s="107">
        <f>MAX($C22:L22)</f>
        <v>263</v>
      </c>
      <c r="M29" s="107">
        <f>MAX($C22:M22)</f>
        <v>263</v>
      </c>
      <c r="N29" s="107">
        <f>MAX($C22:N22)</f>
        <v>263</v>
      </c>
      <c r="O29" s="107">
        <f>MAX($C22:O22)</f>
        <v>263</v>
      </c>
      <c r="P29" s="107">
        <f>MAX($C22:P22)</f>
        <v>263</v>
      </c>
      <c r="Q29" s="107">
        <f>MAX($C22:Q22)</f>
        <v>263</v>
      </c>
      <c r="R29" s="107">
        <f>MAX($C22:R22)</f>
        <v>439</v>
      </c>
      <c r="S29" s="107">
        <f>MAX($C22:S22)</f>
        <v>439</v>
      </c>
      <c r="T29" s="107">
        <f>MAX($C22:T22)</f>
        <v>439</v>
      </c>
      <c r="U29" s="107">
        <f>MAX($C22:U22)</f>
        <v>439</v>
      </c>
      <c r="V29" s="107">
        <f>MAX($C22:V22)</f>
        <v>439</v>
      </c>
      <c r="W29" s="107">
        <f>MAX($C22:W22)</f>
        <v>439</v>
      </c>
      <c r="X29" s="107">
        <f>MAX($C22:X22)</f>
        <v>439</v>
      </c>
    </row>
    <row r="30" spans="1:25" ht="13.15" x14ac:dyDescent="0.4">
      <c r="A30">
        <v>24</v>
      </c>
      <c r="B30" s="151" t="s">
        <v>80</v>
      </c>
      <c r="C30" s="19">
        <f>MAX(C23)</f>
        <v>201</v>
      </c>
      <c r="D30" s="107">
        <f>MAX($C23:D23)</f>
        <v>444</v>
      </c>
      <c r="E30" s="107">
        <f>MAX($C23:E23)</f>
        <v>464</v>
      </c>
      <c r="F30" s="107">
        <f>MAX($C23:F23)</f>
        <v>464</v>
      </c>
      <c r="G30" s="107">
        <f>MAX($C23:G23)</f>
        <v>464</v>
      </c>
      <c r="H30" s="107">
        <f>MAX($C23:H23)</f>
        <v>464</v>
      </c>
      <c r="I30" s="107">
        <f>MAX($C23:I23)</f>
        <v>464</v>
      </c>
      <c r="J30" s="107">
        <f>MAX($C23:J23)</f>
        <v>467</v>
      </c>
      <c r="K30" s="107">
        <f>MAX($C23:K23)</f>
        <v>467</v>
      </c>
      <c r="L30" s="107">
        <f>MAX($C23:L23)</f>
        <v>467</v>
      </c>
      <c r="M30" s="107">
        <f>MAX($C23:M23)</f>
        <v>467</v>
      </c>
      <c r="N30" s="107">
        <f>MAX($C23:N23)</f>
        <v>467</v>
      </c>
      <c r="O30" s="107">
        <f>MAX($C23:O23)</f>
        <v>467</v>
      </c>
      <c r="P30" s="107">
        <f>MAX($C23:P23)</f>
        <v>467</v>
      </c>
      <c r="Q30" s="107">
        <f>MAX($C23:Q23)</f>
        <v>467</v>
      </c>
      <c r="R30" s="107">
        <f>MAX($C23:R23)</f>
        <v>649</v>
      </c>
      <c r="S30" s="107">
        <f>MAX($C23:S23)</f>
        <v>649</v>
      </c>
      <c r="T30" s="107">
        <f>MAX($C23:T23)</f>
        <v>649</v>
      </c>
      <c r="U30" s="107">
        <f>MAX($C23:U23)</f>
        <v>649</v>
      </c>
      <c r="V30" s="107">
        <f>MAX($C23:V23)</f>
        <v>649</v>
      </c>
      <c r="W30" s="107">
        <f>MAX($C23:W23)</f>
        <v>649</v>
      </c>
      <c r="X30" s="107">
        <f>MAX($C23:X23)</f>
        <v>649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240</v>
      </c>
      <c r="G2" s="203" t="s">
        <v>118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66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66</v>
      </c>
      <c r="D21" s="19">
        <f t="shared" si="8"/>
        <v>66</v>
      </c>
      <c r="E21" s="19">
        <f t="shared" si="8"/>
        <v>66</v>
      </c>
      <c r="F21" s="19">
        <f t="shared" si="8"/>
        <v>66</v>
      </c>
      <c r="G21" s="19">
        <f t="shared" si="8"/>
        <v>66</v>
      </c>
      <c r="H21" s="19">
        <f t="shared" si="8"/>
        <v>66</v>
      </c>
      <c r="I21" s="19">
        <f t="shared" si="8"/>
        <v>66</v>
      </c>
      <c r="J21" s="19">
        <f t="shared" si="8"/>
        <v>66</v>
      </c>
      <c r="K21" s="19">
        <f t="shared" si="8"/>
        <v>66</v>
      </c>
      <c r="L21" s="19">
        <f t="shared" si="8"/>
        <v>66</v>
      </c>
      <c r="M21" s="19">
        <f t="shared" si="8"/>
        <v>66</v>
      </c>
      <c r="N21" s="19">
        <f t="shared" si="8"/>
        <v>66</v>
      </c>
      <c r="O21" s="19">
        <f t="shared" si="8"/>
        <v>66</v>
      </c>
      <c r="P21" s="19">
        <f t="shared" si="8"/>
        <v>66</v>
      </c>
      <c r="Q21" s="19">
        <f t="shared" si="8"/>
        <v>66</v>
      </c>
      <c r="R21" s="19">
        <f t="shared" si="8"/>
        <v>66</v>
      </c>
      <c r="S21" s="19">
        <f t="shared" si="8"/>
        <v>66</v>
      </c>
      <c r="T21" s="19">
        <f t="shared" si="8"/>
        <v>66</v>
      </c>
      <c r="U21" s="19">
        <f t="shared" si="8"/>
        <v>66</v>
      </c>
      <c r="V21" s="19">
        <f t="shared" si="8"/>
        <v>66</v>
      </c>
      <c r="W21" s="19">
        <f t="shared" si="8"/>
        <v>66</v>
      </c>
      <c r="X21" s="19">
        <f t="shared" si="8"/>
        <v>66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198</v>
      </c>
      <c r="D23" s="19">
        <f t="shared" ref="D23:X23" si="10">MAX(SUM(D$9:D$11),SUM(D$12:D$14))+$I$5*3</f>
        <v>198</v>
      </c>
      <c r="E23" s="19">
        <f t="shared" si="10"/>
        <v>198</v>
      </c>
      <c r="F23" s="19">
        <f t="shared" si="10"/>
        <v>198</v>
      </c>
      <c r="G23" s="19">
        <f t="shared" si="10"/>
        <v>198</v>
      </c>
      <c r="H23" s="19">
        <f t="shared" si="10"/>
        <v>198</v>
      </c>
      <c r="I23" s="19">
        <f t="shared" si="10"/>
        <v>198</v>
      </c>
      <c r="J23" s="19">
        <f t="shared" si="10"/>
        <v>198</v>
      </c>
      <c r="K23" s="19">
        <f t="shared" si="10"/>
        <v>198</v>
      </c>
      <c r="L23" s="19">
        <f t="shared" si="10"/>
        <v>198</v>
      </c>
      <c r="M23" s="19">
        <f t="shared" si="10"/>
        <v>198</v>
      </c>
      <c r="N23" s="19">
        <f t="shared" si="10"/>
        <v>198</v>
      </c>
      <c r="O23" s="19">
        <f t="shared" si="10"/>
        <v>198</v>
      </c>
      <c r="P23" s="19">
        <f t="shared" si="10"/>
        <v>198</v>
      </c>
      <c r="Q23" s="19">
        <f t="shared" si="10"/>
        <v>198</v>
      </c>
      <c r="R23" s="19">
        <f t="shared" si="10"/>
        <v>198</v>
      </c>
      <c r="S23" s="19">
        <f t="shared" si="10"/>
        <v>198</v>
      </c>
      <c r="T23" s="19">
        <f t="shared" si="10"/>
        <v>198</v>
      </c>
      <c r="U23" s="19">
        <f t="shared" si="10"/>
        <v>198</v>
      </c>
      <c r="V23" s="19">
        <f t="shared" si="10"/>
        <v>198</v>
      </c>
      <c r="W23" s="19">
        <f t="shared" si="10"/>
        <v>198</v>
      </c>
      <c r="X23" s="19">
        <f t="shared" si="10"/>
        <v>198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66</v>
      </c>
      <c r="D28" s="107">
        <f>MAX($C21:D21)</f>
        <v>66</v>
      </c>
      <c r="E28" s="107">
        <f>MAX($C21:E21)</f>
        <v>66</v>
      </c>
      <c r="F28" s="107">
        <f>MAX($C21:F21)</f>
        <v>66</v>
      </c>
      <c r="G28" s="107">
        <f>MAX($C21:G21)</f>
        <v>66</v>
      </c>
      <c r="H28" s="107">
        <f>MAX($C21:H21)</f>
        <v>66</v>
      </c>
      <c r="I28" s="107">
        <f>MAX($C21:I21)</f>
        <v>66</v>
      </c>
      <c r="J28" s="107">
        <f>MAX($C21:J21)</f>
        <v>66</v>
      </c>
      <c r="K28" s="107">
        <f>MAX($C21:K21)</f>
        <v>66</v>
      </c>
      <c r="L28" s="107">
        <f>MAX($C21:L21)</f>
        <v>66</v>
      </c>
      <c r="M28" s="107">
        <f>MAX($C21:M21)</f>
        <v>66</v>
      </c>
      <c r="N28" s="107">
        <f>MAX($C21:N21)</f>
        <v>66</v>
      </c>
      <c r="O28" s="107">
        <f>MAX($C21:O21)</f>
        <v>66</v>
      </c>
      <c r="P28" s="107">
        <f>MAX($C21:P21)</f>
        <v>66</v>
      </c>
      <c r="Q28" s="107">
        <f>MAX($C21:Q21)</f>
        <v>66</v>
      </c>
      <c r="R28" s="107">
        <f>MAX($C21:R21)</f>
        <v>66</v>
      </c>
      <c r="S28" s="107">
        <f>MAX($C21:S21)</f>
        <v>66</v>
      </c>
      <c r="T28" s="107">
        <f>MAX($C21:T21)</f>
        <v>66</v>
      </c>
      <c r="U28" s="107">
        <f>MAX($C21:U21)</f>
        <v>66</v>
      </c>
      <c r="V28" s="107">
        <f>MAX($C21:V21)</f>
        <v>66</v>
      </c>
      <c r="W28" s="107">
        <f>MAX($C21:W21)</f>
        <v>66</v>
      </c>
      <c r="X28" s="107">
        <f>MAX($C21:X21)</f>
        <v>66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198</v>
      </c>
      <c r="D30" s="107">
        <f>MAX($C23:D23)</f>
        <v>198</v>
      </c>
      <c r="E30" s="107">
        <f>MAX($C23:E23)</f>
        <v>198</v>
      </c>
      <c r="F30" s="107">
        <f>MAX($C23:F23)</f>
        <v>198</v>
      </c>
      <c r="G30" s="107">
        <f>MAX($C23:G23)</f>
        <v>198</v>
      </c>
      <c r="H30" s="107">
        <f>MAX($C23:H23)</f>
        <v>198</v>
      </c>
      <c r="I30" s="107">
        <f>MAX($C23:I23)</f>
        <v>198</v>
      </c>
      <c r="J30" s="107">
        <f>MAX($C23:J23)</f>
        <v>198</v>
      </c>
      <c r="K30" s="107">
        <f>MAX($C23:K23)</f>
        <v>198</v>
      </c>
      <c r="L30" s="107">
        <f>MAX($C23:L23)</f>
        <v>198</v>
      </c>
      <c r="M30" s="107">
        <f>MAX($C23:M23)</f>
        <v>198</v>
      </c>
      <c r="N30" s="107">
        <f>MAX($C23:N23)</f>
        <v>198</v>
      </c>
      <c r="O30" s="107">
        <f>MAX($C23:O23)</f>
        <v>198</v>
      </c>
      <c r="P30" s="107">
        <f>MAX($C23:P23)</f>
        <v>198</v>
      </c>
      <c r="Q30" s="107">
        <f>MAX($C23:Q23)</f>
        <v>198</v>
      </c>
      <c r="R30" s="107">
        <f>MAX($C23:R23)</f>
        <v>198</v>
      </c>
      <c r="S30" s="107">
        <f>MAX($C23:S23)</f>
        <v>198</v>
      </c>
      <c r="T30" s="107">
        <f>MAX($C23:T23)</f>
        <v>198</v>
      </c>
      <c r="U30" s="107">
        <f>MAX($C23:U23)</f>
        <v>198</v>
      </c>
      <c r="V30" s="107">
        <f>MAX($C23:V23)</f>
        <v>198</v>
      </c>
      <c r="W30" s="107">
        <f>MAX($C23:W23)</f>
        <v>198</v>
      </c>
      <c r="X30" s="107">
        <f>MAX($C23:X23)</f>
        <v>198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201"/>
    </row>
    <row r="2" spans="1:24" ht="13.15" x14ac:dyDescent="0.4">
      <c r="B2" s="1" t="s">
        <v>1</v>
      </c>
      <c r="F2" s="202" t="s">
        <v>116</v>
      </c>
      <c r="G2" s="203" t="s">
        <v>28</v>
      </c>
      <c r="H2" s="224">
        <v>3</v>
      </c>
      <c r="I2" s="204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59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67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105</v>
      </c>
      <c r="E9">
        <v>119</v>
      </c>
      <c r="F9">
        <v>103</v>
      </c>
      <c r="I9">
        <v>133</v>
      </c>
      <c r="J9">
        <v>151</v>
      </c>
      <c r="K9">
        <v>179</v>
      </c>
      <c r="L9">
        <v>124</v>
      </c>
      <c r="M9">
        <v>157</v>
      </c>
      <c r="N9">
        <v>133</v>
      </c>
      <c r="O9">
        <v>129</v>
      </c>
      <c r="P9">
        <v>161</v>
      </c>
      <c r="R9">
        <v>137</v>
      </c>
      <c r="S9">
        <v>138</v>
      </c>
      <c r="T9">
        <v>152</v>
      </c>
      <c r="V9">
        <v>108</v>
      </c>
    </row>
    <row r="10" spans="1:24" ht="13.15" x14ac:dyDescent="0.4">
      <c r="A10">
        <v>4</v>
      </c>
      <c r="B10" s="3" t="s">
        <v>15</v>
      </c>
      <c r="D10">
        <v>177</v>
      </c>
      <c r="E10">
        <v>129</v>
      </c>
      <c r="F10">
        <v>158</v>
      </c>
      <c r="I10">
        <v>145</v>
      </c>
      <c r="J10">
        <v>141</v>
      </c>
      <c r="K10">
        <v>127</v>
      </c>
      <c r="L10">
        <v>104</v>
      </c>
      <c r="M10">
        <v>122</v>
      </c>
      <c r="N10">
        <v>116</v>
      </c>
      <c r="O10">
        <v>92</v>
      </c>
      <c r="P10">
        <v>132</v>
      </c>
      <c r="R10">
        <v>131</v>
      </c>
      <c r="S10">
        <v>133</v>
      </c>
      <c r="T10">
        <v>119</v>
      </c>
      <c r="V10">
        <v>122</v>
      </c>
    </row>
    <row r="11" spans="1:24" ht="13.15" x14ac:dyDescent="0.4">
      <c r="A11">
        <v>5</v>
      </c>
      <c r="B11" s="3" t="s">
        <v>16</v>
      </c>
      <c r="D11">
        <v>162</v>
      </c>
      <c r="E11">
        <v>147</v>
      </c>
      <c r="F11">
        <v>124</v>
      </c>
      <c r="I11">
        <v>143</v>
      </c>
      <c r="J11">
        <v>134</v>
      </c>
      <c r="K11">
        <v>142</v>
      </c>
      <c r="L11">
        <v>179</v>
      </c>
      <c r="M11">
        <v>142</v>
      </c>
      <c r="N11">
        <v>134</v>
      </c>
      <c r="O11">
        <v>125</v>
      </c>
      <c r="P11">
        <v>110</v>
      </c>
      <c r="R11">
        <v>141</v>
      </c>
      <c r="S11">
        <v>129</v>
      </c>
      <c r="T11">
        <v>137</v>
      </c>
      <c r="V11">
        <v>112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444</v>
      </c>
      <c r="E15" s="18">
        <f t="shared" si="2"/>
        <v>395</v>
      </c>
      <c r="F15" s="18">
        <f t="shared" si="2"/>
        <v>385</v>
      </c>
      <c r="G15" s="18">
        <f t="shared" si="2"/>
        <v>0</v>
      </c>
      <c r="H15" s="18">
        <f t="shared" si="2"/>
        <v>0</v>
      </c>
      <c r="I15" s="18">
        <f t="shared" si="2"/>
        <v>421</v>
      </c>
      <c r="J15" s="18">
        <f t="shared" si="2"/>
        <v>426</v>
      </c>
      <c r="K15" s="18">
        <f t="shared" si="2"/>
        <v>448</v>
      </c>
      <c r="L15" s="18">
        <f t="shared" si="2"/>
        <v>407</v>
      </c>
      <c r="M15" s="18">
        <f t="shared" si="2"/>
        <v>421</v>
      </c>
      <c r="N15" s="18">
        <f t="shared" si="2"/>
        <v>383</v>
      </c>
      <c r="O15" s="18">
        <f t="shared" si="2"/>
        <v>346</v>
      </c>
      <c r="P15" s="18">
        <f t="shared" si="2"/>
        <v>403</v>
      </c>
      <c r="Q15" s="18">
        <f t="shared" si="2"/>
        <v>0</v>
      </c>
      <c r="R15" s="18">
        <f t="shared" si="2"/>
        <v>409</v>
      </c>
      <c r="S15" s="18">
        <f t="shared" si="2"/>
        <v>400</v>
      </c>
      <c r="T15" s="18">
        <f t="shared" si="2"/>
        <v>408</v>
      </c>
      <c r="U15" s="18">
        <f t="shared" si="2"/>
        <v>0</v>
      </c>
      <c r="V15" s="18">
        <f t="shared" si="2"/>
        <v>342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444</v>
      </c>
      <c r="E16" s="19">
        <f t="shared" si="3"/>
        <v>839</v>
      </c>
      <c r="F16" s="19">
        <f t="shared" si="3"/>
        <v>1224</v>
      </c>
      <c r="G16" s="19">
        <f t="shared" si="3"/>
        <v>1224</v>
      </c>
      <c r="H16" s="19">
        <f t="shared" si="3"/>
        <v>1224</v>
      </c>
      <c r="I16" s="19">
        <f t="shared" si="3"/>
        <v>1645</v>
      </c>
      <c r="J16" s="19">
        <f t="shared" si="3"/>
        <v>2071</v>
      </c>
      <c r="K16" s="19">
        <f t="shared" si="3"/>
        <v>2519</v>
      </c>
      <c r="L16" s="19">
        <f t="shared" si="3"/>
        <v>2926</v>
      </c>
      <c r="M16" s="19">
        <f t="shared" si="3"/>
        <v>3347</v>
      </c>
      <c r="N16" s="19">
        <f t="shared" si="3"/>
        <v>3730</v>
      </c>
      <c r="O16" s="19">
        <f t="shared" si="3"/>
        <v>4076</v>
      </c>
      <c r="P16" s="19">
        <f t="shared" si="3"/>
        <v>4479</v>
      </c>
      <c r="Q16" s="19">
        <f t="shared" si="3"/>
        <v>4479</v>
      </c>
      <c r="R16" s="19">
        <f t="shared" si="3"/>
        <v>4888</v>
      </c>
      <c r="S16" s="19">
        <f t="shared" si="3"/>
        <v>5288</v>
      </c>
      <c r="T16" s="19">
        <f t="shared" si="3"/>
        <v>5696</v>
      </c>
      <c r="U16" s="19">
        <f t="shared" si="3"/>
        <v>5696</v>
      </c>
      <c r="V16" s="19">
        <f t="shared" si="3"/>
        <v>6038</v>
      </c>
      <c r="W16" s="19">
        <f t="shared" si="3"/>
        <v>6038</v>
      </c>
      <c r="X16" s="19">
        <f t="shared" si="3"/>
        <v>6038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148</v>
      </c>
      <c r="E17" s="20">
        <f t="shared" si="4"/>
        <v>139.83333333333334</v>
      </c>
      <c r="F17" s="20">
        <f t="shared" si="4"/>
        <v>136</v>
      </c>
      <c r="G17" s="20">
        <f t="shared" si="4"/>
        <v>136</v>
      </c>
      <c r="H17" s="20">
        <f t="shared" si="4"/>
        <v>136</v>
      </c>
      <c r="I17" s="20">
        <f t="shared" si="4"/>
        <v>137.08333333333334</v>
      </c>
      <c r="J17" s="20">
        <f t="shared" si="4"/>
        <v>138.06666666666666</v>
      </c>
      <c r="K17" s="20">
        <f t="shared" si="4"/>
        <v>139.94444444444446</v>
      </c>
      <c r="L17" s="20">
        <f t="shared" si="4"/>
        <v>139.33333333333334</v>
      </c>
      <c r="M17" s="20">
        <f t="shared" si="4"/>
        <v>139.45833333333334</v>
      </c>
      <c r="N17" s="20">
        <f t="shared" si="4"/>
        <v>138.14814814814815</v>
      </c>
      <c r="O17" s="20">
        <f t="shared" si="4"/>
        <v>135.86666666666667</v>
      </c>
      <c r="P17" s="20">
        <f t="shared" si="4"/>
        <v>135.72727272727272</v>
      </c>
      <c r="Q17" s="20">
        <f t="shared" si="4"/>
        <v>135.72727272727272</v>
      </c>
      <c r="R17" s="20">
        <f t="shared" si="4"/>
        <v>135.77777777777777</v>
      </c>
      <c r="S17" s="20">
        <f t="shared" si="4"/>
        <v>135.58974358974359</v>
      </c>
      <c r="T17" s="20">
        <f t="shared" si="4"/>
        <v>135.61904761904762</v>
      </c>
      <c r="U17" s="20">
        <f t="shared" si="4"/>
        <v>135.61904761904762</v>
      </c>
      <c r="V17" s="20">
        <f t="shared" si="4"/>
        <v>134.17777777777778</v>
      </c>
      <c r="W17" s="20">
        <f t="shared" si="4"/>
        <v>134.17777777777778</v>
      </c>
      <c r="X17" s="20">
        <f t="shared" si="4"/>
        <v>134.17777777777778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47</v>
      </c>
      <c r="E18" s="19">
        <f t="shared" si="5"/>
        <v>54</v>
      </c>
      <c r="F18" s="19">
        <f t="shared" si="5"/>
        <v>58</v>
      </c>
      <c r="G18" s="19">
        <f t="shared" si="5"/>
        <v>58</v>
      </c>
      <c r="H18" s="19">
        <f t="shared" si="5"/>
        <v>58</v>
      </c>
      <c r="I18" s="19">
        <f t="shared" si="5"/>
        <v>57</v>
      </c>
      <c r="J18" s="19">
        <f t="shared" si="5"/>
        <v>56</v>
      </c>
      <c r="K18" s="19">
        <f t="shared" si="5"/>
        <v>54</v>
      </c>
      <c r="L18" s="19">
        <f t="shared" si="5"/>
        <v>55</v>
      </c>
      <c r="M18" s="19">
        <f t="shared" si="5"/>
        <v>54</v>
      </c>
      <c r="N18" s="19">
        <f t="shared" si="5"/>
        <v>56</v>
      </c>
      <c r="O18" s="19">
        <f t="shared" si="5"/>
        <v>58</v>
      </c>
      <c r="P18" s="19">
        <f t="shared" si="5"/>
        <v>58</v>
      </c>
      <c r="Q18" s="19">
        <f t="shared" si="5"/>
        <v>58</v>
      </c>
      <c r="R18" s="19">
        <f t="shared" si="5"/>
        <v>58</v>
      </c>
      <c r="S18" s="19">
        <f t="shared" si="5"/>
        <v>58</v>
      </c>
      <c r="T18" s="19">
        <f t="shared" si="5"/>
        <v>58</v>
      </c>
      <c r="U18" s="19">
        <f t="shared" si="5"/>
        <v>58</v>
      </c>
      <c r="V18" s="19">
        <f t="shared" si="5"/>
        <v>59</v>
      </c>
      <c r="W18" s="19">
        <f t="shared" si="5"/>
        <v>59</v>
      </c>
      <c r="X18" s="19">
        <f t="shared" si="5"/>
        <v>59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9</v>
      </c>
      <c r="G19" s="19">
        <f t="shared" si="6"/>
        <v>9</v>
      </c>
      <c r="H19" s="19">
        <f t="shared" si="6"/>
        <v>9</v>
      </c>
      <c r="I19" s="19">
        <f t="shared" si="6"/>
        <v>12</v>
      </c>
      <c r="J19" s="19">
        <f t="shared" si="6"/>
        <v>15</v>
      </c>
      <c r="K19" s="19">
        <f t="shared" si="6"/>
        <v>18</v>
      </c>
      <c r="L19" s="19">
        <f t="shared" si="6"/>
        <v>21</v>
      </c>
      <c r="M19" s="19">
        <f t="shared" si="6"/>
        <v>24</v>
      </c>
      <c r="N19" s="19">
        <f t="shared" si="6"/>
        <v>27</v>
      </c>
      <c r="O19" s="19">
        <f t="shared" si="6"/>
        <v>30</v>
      </c>
      <c r="P19" s="19">
        <f t="shared" si="6"/>
        <v>33</v>
      </c>
      <c r="Q19" s="19">
        <f t="shared" si="6"/>
        <v>33</v>
      </c>
      <c r="R19" s="19">
        <f t="shared" si="6"/>
        <v>36</v>
      </c>
      <c r="S19" s="19">
        <f t="shared" si="6"/>
        <v>39</v>
      </c>
      <c r="T19" s="19">
        <f t="shared" si="6"/>
        <v>42</v>
      </c>
      <c r="U19" s="19">
        <f t="shared" si="6"/>
        <v>42</v>
      </c>
      <c r="V19" s="19">
        <f t="shared" si="6"/>
        <v>45</v>
      </c>
      <c r="W19" s="19">
        <f t="shared" si="6"/>
        <v>45</v>
      </c>
      <c r="X19" s="19">
        <f t="shared" si="6"/>
        <v>45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177</v>
      </c>
      <c r="E20" s="19">
        <f t="shared" si="7"/>
        <v>147</v>
      </c>
      <c r="F20" s="19">
        <f t="shared" si="7"/>
        <v>158</v>
      </c>
      <c r="G20" s="19">
        <f t="shared" si="7"/>
        <v>0</v>
      </c>
      <c r="H20" s="19">
        <f t="shared" si="7"/>
        <v>0</v>
      </c>
      <c r="I20" s="19">
        <f t="shared" si="7"/>
        <v>145</v>
      </c>
      <c r="J20" s="19">
        <f t="shared" si="7"/>
        <v>151</v>
      </c>
      <c r="K20" s="19">
        <f t="shared" si="7"/>
        <v>179</v>
      </c>
      <c r="L20" s="19">
        <f t="shared" si="7"/>
        <v>179</v>
      </c>
      <c r="M20" s="19">
        <f t="shared" si="7"/>
        <v>157</v>
      </c>
      <c r="N20" s="19">
        <f t="shared" si="7"/>
        <v>134</v>
      </c>
      <c r="O20" s="19">
        <f t="shared" si="7"/>
        <v>129</v>
      </c>
      <c r="P20" s="19">
        <f t="shared" si="7"/>
        <v>161</v>
      </c>
      <c r="Q20" s="19">
        <f t="shared" si="7"/>
        <v>0</v>
      </c>
      <c r="R20" s="19">
        <f t="shared" si="7"/>
        <v>141</v>
      </c>
      <c r="S20" s="19">
        <f t="shared" si="7"/>
        <v>138</v>
      </c>
      <c r="T20" s="19">
        <f t="shared" si="7"/>
        <v>152</v>
      </c>
      <c r="U20" s="19">
        <f t="shared" si="7"/>
        <v>0</v>
      </c>
      <c r="V20" s="19">
        <f t="shared" si="7"/>
        <v>122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67</v>
      </c>
      <c r="D21" s="19">
        <f>MAX(D$9:D$14)+$I$5</f>
        <v>244</v>
      </c>
      <c r="E21" s="19">
        <f>MAX(E$9:E$14)+$I$5</f>
        <v>214</v>
      </c>
      <c r="F21" s="19">
        <f t="shared" ref="F21:X21" si="8">MAX(F$9:F$14)+E18</f>
        <v>212</v>
      </c>
      <c r="G21" s="19">
        <f t="shared" si="8"/>
        <v>58</v>
      </c>
      <c r="H21" s="19">
        <f t="shared" si="8"/>
        <v>58</v>
      </c>
      <c r="I21" s="19">
        <f t="shared" si="8"/>
        <v>203</v>
      </c>
      <c r="J21" s="19">
        <f t="shared" si="8"/>
        <v>208</v>
      </c>
      <c r="K21" s="19">
        <f t="shared" si="8"/>
        <v>235</v>
      </c>
      <c r="L21" s="19">
        <f t="shared" si="8"/>
        <v>233</v>
      </c>
      <c r="M21" s="19">
        <f t="shared" si="8"/>
        <v>212</v>
      </c>
      <c r="N21" s="19">
        <f t="shared" si="8"/>
        <v>188</v>
      </c>
      <c r="O21" s="19">
        <f t="shared" si="8"/>
        <v>185</v>
      </c>
      <c r="P21" s="19">
        <f t="shared" si="8"/>
        <v>219</v>
      </c>
      <c r="Q21" s="19">
        <f t="shared" si="8"/>
        <v>58</v>
      </c>
      <c r="R21" s="19">
        <f t="shared" si="8"/>
        <v>199</v>
      </c>
      <c r="S21" s="19">
        <f t="shared" si="8"/>
        <v>196</v>
      </c>
      <c r="T21" s="19">
        <f t="shared" si="8"/>
        <v>210</v>
      </c>
      <c r="U21" s="19">
        <f t="shared" si="8"/>
        <v>58</v>
      </c>
      <c r="V21" s="19">
        <f t="shared" si="8"/>
        <v>180</v>
      </c>
      <c r="W21" s="19">
        <f t="shared" si="8"/>
        <v>59</v>
      </c>
      <c r="X21" s="19">
        <f t="shared" si="8"/>
        <v>59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444</v>
      </c>
      <c r="E22" s="19">
        <f t="shared" si="9"/>
        <v>395</v>
      </c>
      <c r="F22" s="19">
        <f t="shared" si="9"/>
        <v>385</v>
      </c>
      <c r="G22" s="19">
        <f t="shared" si="9"/>
        <v>0</v>
      </c>
      <c r="H22" s="19">
        <f t="shared" si="9"/>
        <v>0</v>
      </c>
      <c r="I22" s="19">
        <f t="shared" si="9"/>
        <v>421</v>
      </c>
      <c r="J22" s="19">
        <f t="shared" si="9"/>
        <v>426</v>
      </c>
      <c r="K22" s="19">
        <f t="shared" si="9"/>
        <v>448</v>
      </c>
      <c r="L22" s="19">
        <f t="shared" si="9"/>
        <v>407</v>
      </c>
      <c r="M22" s="19">
        <f t="shared" si="9"/>
        <v>421</v>
      </c>
      <c r="N22" s="19">
        <f t="shared" si="9"/>
        <v>383</v>
      </c>
      <c r="O22" s="19">
        <f t="shared" si="9"/>
        <v>346</v>
      </c>
      <c r="P22" s="19">
        <f t="shared" si="9"/>
        <v>403</v>
      </c>
      <c r="Q22" s="19">
        <f t="shared" si="9"/>
        <v>0</v>
      </c>
      <c r="R22" s="19">
        <f t="shared" si="9"/>
        <v>409</v>
      </c>
      <c r="S22" s="19">
        <f t="shared" si="9"/>
        <v>400</v>
      </c>
      <c r="T22" s="19">
        <f t="shared" si="9"/>
        <v>408</v>
      </c>
      <c r="U22" s="19">
        <f t="shared" si="9"/>
        <v>0</v>
      </c>
      <c r="V22" s="19">
        <f t="shared" si="9"/>
        <v>342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201</v>
      </c>
      <c r="D23" s="19">
        <f>MAX(SUM(D$9:D$11),SUM(D$12:D$14))+$I$5*3</f>
        <v>645</v>
      </c>
      <c r="E23" s="19">
        <f>MAX(SUM(E$9:E$11),SUM(E$12:E$14))+$I$5*3</f>
        <v>596</v>
      </c>
      <c r="F23" s="19">
        <f t="shared" ref="F23:X23" si="10">MAX(SUM(F$9:F$11),SUM(F$12:F$14))+E18*3</f>
        <v>547</v>
      </c>
      <c r="G23" s="19">
        <f t="shared" si="10"/>
        <v>174</v>
      </c>
      <c r="H23" s="19">
        <f t="shared" si="10"/>
        <v>174</v>
      </c>
      <c r="I23" s="19">
        <f t="shared" si="10"/>
        <v>595</v>
      </c>
      <c r="J23" s="19">
        <f t="shared" si="10"/>
        <v>597</v>
      </c>
      <c r="K23" s="19">
        <f t="shared" si="10"/>
        <v>616</v>
      </c>
      <c r="L23" s="19">
        <f t="shared" si="10"/>
        <v>569</v>
      </c>
      <c r="M23" s="19">
        <f t="shared" si="10"/>
        <v>586</v>
      </c>
      <c r="N23" s="19">
        <f t="shared" si="10"/>
        <v>545</v>
      </c>
      <c r="O23" s="19">
        <f t="shared" si="10"/>
        <v>514</v>
      </c>
      <c r="P23" s="19">
        <f t="shared" si="10"/>
        <v>577</v>
      </c>
      <c r="Q23" s="19">
        <f t="shared" si="10"/>
        <v>174</v>
      </c>
      <c r="R23" s="19">
        <f t="shared" si="10"/>
        <v>583</v>
      </c>
      <c r="S23" s="19">
        <f t="shared" si="10"/>
        <v>574</v>
      </c>
      <c r="T23" s="19">
        <f t="shared" si="10"/>
        <v>582</v>
      </c>
      <c r="U23" s="19">
        <f t="shared" si="10"/>
        <v>174</v>
      </c>
      <c r="V23" s="19">
        <f t="shared" si="10"/>
        <v>516</v>
      </c>
      <c r="W23" s="19">
        <f t="shared" si="10"/>
        <v>177</v>
      </c>
      <c r="X23" s="19">
        <f t="shared" si="10"/>
        <v>177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177</v>
      </c>
      <c r="E27" s="107">
        <f>MAX($C20:E20)</f>
        <v>177</v>
      </c>
      <c r="F27" s="107">
        <f>MAX($C20:F20)</f>
        <v>177</v>
      </c>
      <c r="G27" s="107">
        <f>MAX($C20:G20)</f>
        <v>177</v>
      </c>
      <c r="H27" s="107">
        <f>MAX($C20:H20)</f>
        <v>177</v>
      </c>
      <c r="I27" s="107">
        <f>MAX($C20:I20)</f>
        <v>177</v>
      </c>
      <c r="J27" s="107">
        <f>MAX($C20:J20)</f>
        <v>177</v>
      </c>
      <c r="K27" s="107">
        <f>MAX($C20:K20)</f>
        <v>179</v>
      </c>
      <c r="L27" s="107">
        <f>MAX($C20:L20)</f>
        <v>179</v>
      </c>
      <c r="M27" s="107">
        <f>MAX($C20:M20)</f>
        <v>179</v>
      </c>
      <c r="N27" s="107">
        <f>MAX($C20:N20)</f>
        <v>179</v>
      </c>
      <c r="O27" s="107">
        <f>MAX($C20:O20)</f>
        <v>179</v>
      </c>
      <c r="P27" s="107">
        <f>MAX($C20:P20)</f>
        <v>179</v>
      </c>
      <c r="Q27" s="107">
        <f>MAX($C20:Q20)</f>
        <v>179</v>
      </c>
      <c r="R27" s="107">
        <f>MAX($C20:R20)</f>
        <v>179</v>
      </c>
      <c r="S27" s="107">
        <f>MAX($C20:S20)</f>
        <v>179</v>
      </c>
      <c r="T27" s="107">
        <f>MAX($C20:T20)</f>
        <v>179</v>
      </c>
      <c r="U27" s="107">
        <f>MAX($C20:U20)</f>
        <v>179</v>
      </c>
      <c r="V27" s="107">
        <f>MAX($C20:V20)</f>
        <v>179</v>
      </c>
      <c r="W27" s="107">
        <f>MAX($C20:W20)</f>
        <v>179</v>
      </c>
      <c r="X27" s="107">
        <f>MAX($C20:X20)</f>
        <v>179</v>
      </c>
    </row>
    <row r="28" spans="1:25" ht="13.15" x14ac:dyDescent="0.4">
      <c r="A28">
        <v>22</v>
      </c>
      <c r="B28" s="151" t="s">
        <v>78</v>
      </c>
      <c r="C28" s="19">
        <f>MAX(C21)</f>
        <v>67</v>
      </c>
      <c r="D28" s="107">
        <f>MAX($C21:D21)</f>
        <v>244</v>
      </c>
      <c r="E28" s="107">
        <f>MAX($C21:E21)</f>
        <v>244</v>
      </c>
      <c r="F28" s="107">
        <f>MAX($C21:F21)</f>
        <v>244</v>
      </c>
      <c r="G28" s="107">
        <f>MAX($C21:G21)</f>
        <v>244</v>
      </c>
      <c r="H28" s="107">
        <f>MAX($C21:H21)</f>
        <v>244</v>
      </c>
      <c r="I28" s="107">
        <f>MAX($C21:I21)</f>
        <v>244</v>
      </c>
      <c r="J28" s="107">
        <f>MAX($C21:J21)</f>
        <v>244</v>
      </c>
      <c r="K28" s="107">
        <f>MAX($C21:K21)</f>
        <v>244</v>
      </c>
      <c r="L28" s="107">
        <f>MAX($C21:L21)</f>
        <v>244</v>
      </c>
      <c r="M28" s="107">
        <f>MAX($C21:M21)</f>
        <v>244</v>
      </c>
      <c r="N28" s="107">
        <f>MAX($C21:N21)</f>
        <v>244</v>
      </c>
      <c r="O28" s="107">
        <f>MAX($C21:O21)</f>
        <v>244</v>
      </c>
      <c r="P28" s="107">
        <f>MAX($C21:P21)</f>
        <v>244</v>
      </c>
      <c r="Q28" s="107">
        <f>MAX($C21:Q21)</f>
        <v>244</v>
      </c>
      <c r="R28" s="107">
        <f>MAX($C21:R21)</f>
        <v>244</v>
      </c>
      <c r="S28" s="107">
        <f>MAX($C21:S21)</f>
        <v>244</v>
      </c>
      <c r="T28" s="107">
        <f>MAX($C21:T21)</f>
        <v>244</v>
      </c>
      <c r="U28" s="107">
        <f>MAX($C21:U21)</f>
        <v>244</v>
      </c>
      <c r="V28" s="107">
        <f>MAX($C21:V21)</f>
        <v>244</v>
      </c>
      <c r="W28" s="107">
        <f>MAX($C21:W21)</f>
        <v>244</v>
      </c>
      <c r="X28" s="107">
        <f>MAX($C21:X21)</f>
        <v>244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444</v>
      </c>
      <c r="E29" s="107">
        <f>MAX($C22:E22)</f>
        <v>444</v>
      </c>
      <c r="F29" s="107">
        <f>MAX($C22:F22)</f>
        <v>444</v>
      </c>
      <c r="G29" s="107">
        <f>MAX($C22:G22)</f>
        <v>444</v>
      </c>
      <c r="H29" s="107">
        <f>MAX($C22:H22)</f>
        <v>444</v>
      </c>
      <c r="I29" s="107">
        <f>MAX($C22:I22)</f>
        <v>444</v>
      </c>
      <c r="J29" s="107">
        <f>MAX($C22:J22)</f>
        <v>444</v>
      </c>
      <c r="K29" s="107">
        <f>MAX($C22:K22)</f>
        <v>448</v>
      </c>
      <c r="L29" s="107">
        <f>MAX($C22:L22)</f>
        <v>448</v>
      </c>
      <c r="M29" s="107">
        <f>MAX($C22:M22)</f>
        <v>448</v>
      </c>
      <c r="N29" s="107">
        <f>MAX($C22:N22)</f>
        <v>448</v>
      </c>
      <c r="O29" s="107">
        <f>MAX($C22:O22)</f>
        <v>448</v>
      </c>
      <c r="P29" s="107">
        <f>MAX($C22:P22)</f>
        <v>448</v>
      </c>
      <c r="Q29" s="107">
        <f>MAX($C22:Q22)</f>
        <v>448</v>
      </c>
      <c r="R29" s="107">
        <f>MAX($C22:R22)</f>
        <v>448</v>
      </c>
      <c r="S29" s="107">
        <f>MAX($C22:S22)</f>
        <v>448</v>
      </c>
      <c r="T29" s="107">
        <f>MAX($C22:T22)</f>
        <v>448</v>
      </c>
      <c r="U29" s="107">
        <f>MAX($C22:U22)</f>
        <v>448</v>
      </c>
      <c r="V29" s="107">
        <f>MAX($C22:V22)</f>
        <v>448</v>
      </c>
      <c r="W29" s="107">
        <f>MAX($C22:W22)</f>
        <v>448</v>
      </c>
      <c r="X29" s="107">
        <f>MAX($C22:X22)</f>
        <v>448</v>
      </c>
    </row>
    <row r="30" spans="1:25" ht="13.15" x14ac:dyDescent="0.4">
      <c r="A30">
        <v>24</v>
      </c>
      <c r="B30" s="151" t="s">
        <v>80</v>
      </c>
      <c r="C30" s="19">
        <f>MAX(C23)</f>
        <v>201</v>
      </c>
      <c r="D30" s="107">
        <f>MAX($C23:D23)</f>
        <v>645</v>
      </c>
      <c r="E30" s="107">
        <f>MAX($C23:E23)</f>
        <v>645</v>
      </c>
      <c r="F30" s="107">
        <f>MAX($C23:F23)</f>
        <v>645</v>
      </c>
      <c r="G30" s="107">
        <f>MAX($C23:G23)</f>
        <v>645</v>
      </c>
      <c r="H30" s="107">
        <f>MAX($C23:H23)</f>
        <v>645</v>
      </c>
      <c r="I30" s="107">
        <f>MAX($C23:I23)</f>
        <v>645</v>
      </c>
      <c r="J30" s="107">
        <f>MAX($C23:J23)</f>
        <v>645</v>
      </c>
      <c r="K30" s="107">
        <f>MAX($C23:K23)</f>
        <v>645</v>
      </c>
      <c r="L30" s="107">
        <f>MAX($C23:L23)</f>
        <v>645</v>
      </c>
      <c r="M30" s="107">
        <f>MAX($C23:M23)</f>
        <v>645</v>
      </c>
      <c r="N30" s="107">
        <f>MAX($C23:N23)</f>
        <v>645</v>
      </c>
      <c r="O30" s="107">
        <f>MAX($C23:O23)</f>
        <v>645</v>
      </c>
      <c r="P30" s="107">
        <f>MAX($C23:P23)</f>
        <v>645</v>
      </c>
      <c r="Q30" s="107">
        <f>MAX($C23:Q23)</f>
        <v>645</v>
      </c>
      <c r="R30" s="107">
        <f>MAX($C23:R23)</f>
        <v>645</v>
      </c>
      <c r="S30" s="107">
        <f>MAX($C23:S23)</f>
        <v>645</v>
      </c>
      <c r="T30" s="107">
        <f>MAX($C23:T23)</f>
        <v>645</v>
      </c>
      <c r="U30" s="107">
        <f>MAX($C23:U23)</f>
        <v>645</v>
      </c>
      <c r="V30" s="107">
        <f>MAX($C23:V23)</f>
        <v>645</v>
      </c>
      <c r="W30" s="107">
        <f>MAX($C23:W23)</f>
        <v>645</v>
      </c>
      <c r="X30" s="107">
        <f>MAX($C23:X23)</f>
        <v>645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276</v>
      </c>
      <c r="G2" s="203" t="s">
        <v>277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72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66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108</v>
      </c>
      <c r="M9">
        <v>96</v>
      </c>
      <c r="V9">
        <v>108</v>
      </c>
    </row>
    <row r="10" spans="1:24" ht="13.15" x14ac:dyDescent="0.4">
      <c r="A10">
        <v>4</v>
      </c>
      <c r="B10" s="3" t="s">
        <v>15</v>
      </c>
      <c r="D10">
        <v>188</v>
      </c>
      <c r="V10">
        <v>127</v>
      </c>
    </row>
    <row r="11" spans="1:24" ht="13.15" x14ac:dyDescent="0.4">
      <c r="A11">
        <v>5</v>
      </c>
      <c r="B11" s="3" t="s">
        <v>16</v>
      </c>
      <c r="D11">
        <v>104</v>
      </c>
      <c r="V11">
        <v>112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400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96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347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400</v>
      </c>
      <c r="E16" s="19">
        <f t="shared" si="3"/>
        <v>400</v>
      </c>
      <c r="F16" s="19">
        <f t="shared" si="3"/>
        <v>400</v>
      </c>
      <c r="G16" s="19">
        <f t="shared" si="3"/>
        <v>400</v>
      </c>
      <c r="H16" s="19">
        <f t="shared" si="3"/>
        <v>400</v>
      </c>
      <c r="I16" s="19">
        <f t="shared" si="3"/>
        <v>400</v>
      </c>
      <c r="J16" s="19">
        <f t="shared" si="3"/>
        <v>400</v>
      </c>
      <c r="K16" s="19">
        <f t="shared" si="3"/>
        <v>400</v>
      </c>
      <c r="L16" s="19">
        <f t="shared" si="3"/>
        <v>400</v>
      </c>
      <c r="M16" s="19">
        <f t="shared" si="3"/>
        <v>496</v>
      </c>
      <c r="N16" s="19">
        <f t="shared" si="3"/>
        <v>496</v>
      </c>
      <c r="O16" s="19">
        <f t="shared" si="3"/>
        <v>496</v>
      </c>
      <c r="P16" s="19">
        <f t="shared" si="3"/>
        <v>496</v>
      </c>
      <c r="Q16" s="19">
        <f t="shared" si="3"/>
        <v>496</v>
      </c>
      <c r="R16" s="19">
        <f t="shared" si="3"/>
        <v>496</v>
      </c>
      <c r="S16" s="19">
        <f t="shared" si="3"/>
        <v>496</v>
      </c>
      <c r="T16" s="19">
        <f t="shared" si="3"/>
        <v>496</v>
      </c>
      <c r="U16" s="19">
        <f t="shared" si="3"/>
        <v>496</v>
      </c>
      <c r="V16" s="19">
        <f t="shared" si="3"/>
        <v>843</v>
      </c>
      <c r="W16" s="19">
        <f t="shared" si="3"/>
        <v>843</v>
      </c>
      <c r="X16" s="19">
        <f t="shared" si="3"/>
        <v>843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133.33333333333334</v>
      </c>
      <c r="E17" s="20">
        <f t="shared" si="4"/>
        <v>133.33333333333334</v>
      </c>
      <c r="F17" s="20">
        <f t="shared" si="4"/>
        <v>133.33333333333334</v>
      </c>
      <c r="G17" s="20">
        <f t="shared" si="4"/>
        <v>133.33333333333334</v>
      </c>
      <c r="H17" s="20">
        <f t="shared" si="4"/>
        <v>133.33333333333334</v>
      </c>
      <c r="I17" s="20">
        <f t="shared" si="4"/>
        <v>133.33333333333334</v>
      </c>
      <c r="J17" s="20">
        <f t="shared" si="4"/>
        <v>133.33333333333334</v>
      </c>
      <c r="K17" s="20">
        <f t="shared" si="4"/>
        <v>133.33333333333334</v>
      </c>
      <c r="L17" s="20">
        <f t="shared" si="4"/>
        <v>133.33333333333334</v>
      </c>
      <c r="M17" s="20">
        <f t="shared" si="4"/>
        <v>124</v>
      </c>
      <c r="N17" s="20">
        <f t="shared" si="4"/>
        <v>124</v>
      </c>
      <c r="O17" s="20">
        <f t="shared" si="4"/>
        <v>124</v>
      </c>
      <c r="P17" s="20">
        <f t="shared" si="4"/>
        <v>124</v>
      </c>
      <c r="Q17" s="20">
        <f t="shared" si="4"/>
        <v>124</v>
      </c>
      <c r="R17" s="20">
        <f t="shared" si="4"/>
        <v>124</v>
      </c>
      <c r="S17" s="20">
        <f t="shared" si="4"/>
        <v>124</v>
      </c>
      <c r="T17" s="20">
        <f t="shared" si="4"/>
        <v>124</v>
      </c>
      <c r="U17" s="20">
        <f t="shared" si="4"/>
        <v>124</v>
      </c>
      <c r="V17" s="20">
        <f t="shared" si="4"/>
        <v>120.42857142857143</v>
      </c>
      <c r="W17" s="20">
        <f t="shared" si="4"/>
        <v>120.42857142857143</v>
      </c>
      <c r="X17" s="20">
        <f t="shared" si="4"/>
        <v>120.42857142857143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60</v>
      </c>
      <c r="E18" s="19">
        <f t="shared" si="5"/>
        <v>60</v>
      </c>
      <c r="F18" s="19">
        <f t="shared" si="5"/>
        <v>60</v>
      </c>
      <c r="G18" s="19">
        <f t="shared" si="5"/>
        <v>60</v>
      </c>
      <c r="H18" s="19">
        <f t="shared" si="5"/>
        <v>60</v>
      </c>
      <c r="I18" s="19">
        <f t="shared" si="5"/>
        <v>60</v>
      </c>
      <c r="J18" s="19">
        <f t="shared" si="5"/>
        <v>60</v>
      </c>
      <c r="K18" s="19">
        <f t="shared" si="5"/>
        <v>60</v>
      </c>
      <c r="L18" s="19">
        <f t="shared" si="5"/>
        <v>60</v>
      </c>
      <c r="M18" s="19">
        <f t="shared" si="5"/>
        <v>68</v>
      </c>
      <c r="N18" s="19">
        <f t="shared" si="5"/>
        <v>68</v>
      </c>
      <c r="O18" s="19">
        <f t="shared" si="5"/>
        <v>68</v>
      </c>
      <c r="P18" s="19">
        <f t="shared" si="5"/>
        <v>68</v>
      </c>
      <c r="Q18" s="19">
        <f t="shared" si="5"/>
        <v>68</v>
      </c>
      <c r="R18" s="19">
        <f t="shared" si="5"/>
        <v>68</v>
      </c>
      <c r="S18" s="19">
        <f t="shared" si="5"/>
        <v>68</v>
      </c>
      <c r="T18" s="19">
        <f t="shared" si="5"/>
        <v>68</v>
      </c>
      <c r="U18" s="19">
        <f t="shared" si="5"/>
        <v>68</v>
      </c>
      <c r="V18" s="19">
        <f t="shared" si="5"/>
        <v>72</v>
      </c>
      <c r="W18" s="19">
        <f t="shared" si="5"/>
        <v>72</v>
      </c>
      <c r="X18" s="19">
        <f t="shared" si="5"/>
        <v>72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3</v>
      </c>
      <c r="F19" s="19">
        <f t="shared" si="6"/>
        <v>3</v>
      </c>
      <c r="G19" s="19">
        <f t="shared" si="6"/>
        <v>3</v>
      </c>
      <c r="H19" s="19">
        <f t="shared" si="6"/>
        <v>3</v>
      </c>
      <c r="I19" s="19">
        <f t="shared" si="6"/>
        <v>3</v>
      </c>
      <c r="J19" s="19">
        <f t="shared" si="6"/>
        <v>3</v>
      </c>
      <c r="K19" s="19">
        <f t="shared" si="6"/>
        <v>3</v>
      </c>
      <c r="L19" s="19">
        <f t="shared" si="6"/>
        <v>3</v>
      </c>
      <c r="M19" s="19">
        <f t="shared" si="6"/>
        <v>4</v>
      </c>
      <c r="N19" s="19">
        <f t="shared" si="6"/>
        <v>4</v>
      </c>
      <c r="O19" s="19">
        <f t="shared" si="6"/>
        <v>4</v>
      </c>
      <c r="P19" s="19">
        <f t="shared" si="6"/>
        <v>4</v>
      </c>
      <c r="Q19" s="19">
        <f t="shared" si="6"/>
        <v>4</v>
      </c>
      <c r="R19" s="19">
        <f t="shared" si="6"/>
        <v>4</v>
      </c>
      <c r="S19" s="19">
        <f t="shared" si="6"/>
        <v>4</v>
      </c>
      <c r="T19" s="19">
        <f t="shared" si="6"/>
        <v>4</v>
      </c>
      <c r="U19" s="19">
        <f t="shared" si="6"/>
        <v>4</v>
      </c>
      <c r="V19" s="19">
        <f t="shared" si="6"/>
        <v>7</v>
      </c>
      <c r="W19" s="19">
        <f t="shared" si="6"/>
        <v>7</v>
      </c>
      <c r="X19" s="19">
        <f t="shared" si="6"/>
        <v>7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188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96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127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M21" si="8">MAX(C$9:C$14)+$I$5</f>
        <v>66</v>
      </c>
      <c r="D21" s="19">
        <f t="shared" si="8"/>
        <v>254</v>
      </c>
      <c r="E21" s="19">
        <f t="shared" si="8"/>
        <v>66</v>
      </c>
      <c r="F21" s="19">
        <f t="shared" si="8"/>
        <v>66</v>
      </c>
      <c r="G21" s="19">
        <f t="shared" si="8"/>
        <v>66</v>
      </c>
      <c r="H21" s="19">
        <f t="shared" si="8"/>
        <v>66</v>
      </c>
      <c r="I21" s="19">
        <f t="shared" si="8"/>
        <v>66</v>
      </c>
      <c r="J21" s="19">
        <f t="shared" si="8"/>
        <v>66</v>
      </c>
      <c r="K21" s="19">
        <f t="shared" si="8"/>
        <v>66</v>
      </c>
      <c r="L21" s="19">
        <f t="shared" si="8"/>
        <v>66</v>
      </c>
      <c r="M21" s="19">
        <f t="shared" si="8"/>
        <v>162</v>
      </c>
      <c r="N21" s="19">
        <f t="shared" ref="N21:X21" si="9">MAX(N$9:N$14)+M18</f>
        <v>68</v>
      </c>
      <c r="O21" s="19">
        <f t="shared" si="9"/>
        <v>68</v>
      </c>
      <c r="P21" s="19">
        <f t="shared" si="9"/>
        <v>68</v>
      </c>
      <c r="Q21" s="19">
        <f t="shared" si="9"/>
        <v>68</v>
      </c>
      <c r="R21" s="19">
        <f t="shared" si="9"/>
        <v>68</v>
      </c>
      <c r="S21" s="19">
        <f t="shared" si="9"/>
        <v>68</v>
      </c>
      <c r="T21" s="19">
        <f t="shared" si="9"/>
        <v>68</v>
      </c>
      <c r="U21" s="19">
        <f t="shared" si="9"/>
        <v>68</v>
      </c>
      <c r="V21" s="19">
        <f t="shared" si="9"/>
        <v>195</v>
      </c>
      <c r="W21" s="19">
        <f t="shared" si="9"/>
        <v>72</v>
      </c>
      <c r="X21" s="19">
        <f t="shared" si="9"/>
        <v>72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400</v>
      </c>
      <c r="E22" s="19">
        <f t="shared" si="10"/>
        <v>0</v>
      </c>
      <c r="F22" s="19">
        <f t="shared" si="10"/>
        <v>0</v>
      </c>
      <c r="G22" s="19">
        <f t="shared" si="10"/>
        <v>0</v>
      </c>
      <c r="H22" s="19">
        <f t="shared" si="10"/>
        <v>0</v>
      </c>
      <c r="I22" s="19">
        <f t="shared" si="10"/>
        <v>0</v>
      </c>
      <c r="J22" s="19">
        <f t="shared" si="10"/>
        <v>0</v>
      </c>
      <c r="K22" s="19">
        <f t="shared" si="10"/>
        <v>0</v>
      </c>
      <c r="L22" s="19">
        <f t="shared" si="10"/>
        <v>0</v>
      </c>
      <c r="M22" s="19">
        <f t="shared" si="10"/>
        <v>96</v>
      </c>
      <c r="N22" s="19">
        <f t="shared" si="10"/>
        <v>0</v>
      </c>
      <c r="O22" s="19">
        <f t="shared" si="10"/>
        <v>0</v>
      </c>
      <c r="P22" s="19">
        <f t="shared" si="10"/>
        <v>0</v>
      </c>
      <c r="Q22" s="19">
        <f t="shared" si="10"/>
        <v>0</v>
      </c>
      <c r="R22" s="19">
        <f t="shared" si="10"/>
        <v>0</v>
      </c>
      <c r="S22" s="19">
        <f t="shared" si="10"/>
        <v>0</v>
      </c>
      <c r="T22" s="19">
        <f t="shared" si="10"/>
        <v>0</v>
      </c>
      <c r="U22" s="19">
        <f t="shared" si="10"/>
        <v>0</v>
      </c>
      <c r="V22" s="19">
        <f t="shared" si="10"/>
        <v>347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198</v>
      </c>
      <c r="D23" s="19">
        <f t="shared" ref="D23:M23" si="11">MAX(SUM(D$9:D$11),SUM(D$12:D$14))+$I$5*3</f>
        <v>598</v>
      </c>
      <c r="E23" s="19">
        <f t="shared" si="11"/>
        <v>198</v>
      </c>
      <c r="F23" s="19">
        <f t="shared" si="11"/>
        <v>198</v>
      </c>
      <c r="G23" s="19">
        <f t="shared" si="11"/>
        <v>198</v>
      </c>
      <c r="H23" s="19">
        <f t="shared" si="11"/>
        <v>198</v>
      </c>
      <c r="I23" s="19">
        <f t="shared" si="11"/>
        <v>198</v>
      </c>
      <c r="J23" s="19">
        <f t="shared" si="11"/>
        <v>198</v>
      </c>
      <c r="K23" s="19">
        <f t="shared" si="11"/>
        <v>198</v>
      </c>
      <c r="L23" s="19">
        <f t="shared" si="11"/>
        <v>198</v>
      </c>
      <c r="M23" s="19">
        <f t="shared" si="11"/>
        <v>294</v>
      </c>
      <c r="N23" s="19">
        <f t="shared" ref="N23:X23" si="12">MAX(SUM(N$9:N$11),SUM(N$12:N$14))+M18*3</f>
        <v>204</v>
      </c>
      <c r="O23" s="19">
        <f t="shared" si="12"/>
        <v>204</v>
      </c>
      <c r="P23" s="19">
        <f t="shared" si="12"/>
        <v>204</v>
      </c>
      <c r="Q23" s="19">
        <f t="shared" si="12"/>
        <v>204</v>
      </c>
      <c r="R23" s="19">
        <f t="shared" si="12"/>
        <v>204</v>
      </c>
      <c r="S23" s="19">
        <f t="shared" si="12"/>
        <v>204</v>
      </c>
      <c r="T23" s="19">
        <f t="shared" si="12"/>
        <v>204</v>
      </c>
      <c r="U23" s="19">
        <f t="shared" si="12"/>
        <v>204</v>
      </c>
      <c r="V23" s="19">
        <f t="shared" si="12"/>
        <v>551</v>
      </c>
      <c r="W23" s="19">
        <f t="shared" si="12"/>
        <v>216</v>
      </c>
      <c r="X23" s="19">
        <f t="shared" si="12"/>
        <v>216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188</v>
      </c>
      <c r="E27" s="107">
        <f>MAX($C20:E20)</f>
        <v>188</v>
      </c>
      <c r="F27" s="107">
        <f>MAX($C20:F20)</f>
        <v>188</v>
      </c>
      <c r="G27" s="107">
        <f>MAX($C20:G20)</f>
        <v>188</v>
      </c>
      <c r="H27" s="107">
        <f>MAX($C20:H20)</f>
        <v>188</v>
      </c>
      <c r="I27" s="107">
        <f>MAX($C20:I20)</f>
        <v>188</v>
      </c>
      <c r="J27" s="107">
        <f>MAX($C20:J20)</f>
        <v>188</v>
      </c>
      <c r="K27" s="107">
        <f>MAX($C20:K20)</f>
        <v>188</v>
      </c>
      <c r="L27" s="107">
        <f>MAX($C20:L20)</f>
        <v>188</v>
      </c>
      <c r="M27" s="107">
        <f>MAX($C20:M20)</f>
        <v>188</v>
      </c>
      <c r="N27" s="107">
        <f>MAX($C20:N20)</f>
        <v>188</v>
      </c>
      <c r="O27" s="107">
        <f>MAX($C20:O20)</f>
        <v>188</v>
      </c>
      <c r="P27" s="107">
        <f>MAX($C20:P20)</f>
        <v>188</v>
      </c>
      <c r="Q27" s="107">
        <f>MAX($C20:Q20)</f>
        <v>188</v>
      </c>
      <c r="R27" s="107">
        <f>MAX($C20:R20)</f>
        <v>188</v>
      </c>
      <c r="S27" s="107">
        <f>MAX($C20:S20)</f>
        <v>188</v>
      </c>
      <c r="T27" s="107">
        <f>MAX($C20:T20)</f>
        <v>188</v>
      </c>
      <c r="U27" s="107">
        <f>MAX($C20:U20)</f>
        <v>188</v>
      </c>
      <c r="V27" s="107">
        <f>MAX($C20:V20)</f>
        <v>188</v>
      </c>
      <c r="W27" s="107">
        <f>MAX($C20:W20)</f>
        <v>188</v>
      </c>
      <c r="X27" s="107">
        <f>MAX($C20:X20)</f>
        <v>188</v>
      </c>
    </row>
    <row r="28" spans="1:25" ht="13.15" x14ac:dyDescent="0.4">
      <c r="A28">
        <v>22</v>
      </c>
      <c r="B28" s="151" t="s">
        <v>78</v>
      </c>
      <c r="C28" s="19">
        <f>MAX(C21)</f>
        <v>66</v>
      </c>
      <c r="D28" s="107">
        <f>MAX($C21:D21)</f>
        <v>254</v>
      </c>
      <c r="E28" s="107">
        <f>MAX($C21:E21)</f>
        <v>254</v>
      </c>
      <c r="F28" s="107">
        <f>MAX($C21:F21)</f>
        <v>254</v>
      </c>
      <c r="G28" s="107">
        <f>MAX($C21:G21)</f>
        <v>254</v>
      </c>
      <c r="H28" s="107">
        <f>MAX($C21:H21)</f>
        <v>254</v>
      </c>
      <c r="I28" s="107">
        <f>MAX($C21:I21)</f>
        <v>254</v>
      </c>
      <c r="J28" s="107">
        <f>MAX($C21:J21)</f>
        <v>254</v>
      </c>
      <c r="K28" s="107">
        <f>MAX($C21:K21)</f>
        <v>254</v>
      </c>
      <c r="L28" s="107">
        <f>MAX($C21:L21)</f>
        <v>254</v>
      </c>
      <c r="M28" s="107">
        <f>MAX($C21:M21)</f>
        <v>254</v>
      </c>
      <c r="N28" s="107">
        <f>MAX($C21:N21)</f>
        <v>254</v>
      </c>
      <c r="O28" s="107">
        <f>MAX($C21:O21)</f>
        <v>254</v>
      </c>
      <c r="P28" s="107">
        <f>MAX($C21:P21)</f>
        <v>254</v>
      </c>
      <c r="Q28" s="107">
        <f>MAX($C21:Q21)</f>
        <v>254</v>
      </c>
      <c r="R28" s="107">
        <f>MAX($C21:R21)</f>
        <v>254</v>
      </c>
      <c r="S28" s="107">
        <f>MAX($C21:S21)</f>
        <v>254</v>
      </c>
      <c r="T28" s="107">
        <f>MAX($C21:T21)</f>
        <v>254</v>
      </c>
      <c r="U28" s="107">
        <f>MAX($C21:U21)</f>
        <v>254</v>
      </c>
      <c r="V28" s="107">
        <f>MAX($C21:V21)</f>
        <v>254</v>
      </c>
      <c r="W28" s="107">
        <f>MAX($C21:W21)</f>
        <v>254</v>
      </c>
      <c r="X28" s="107">
        <f>MAX($C21:X21)</f>
        <v>254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400</v>
      </c>
      <c r="E29" s="107">
        <f>MAX($C22:E22)</f>
        <v>400</v>
      </c>
      <c r="F29" s="107">
        <f>MAX($C22:F22)</f>
        <v>400</v>
      </c>
      <c r="G29" s="107">
        <f>MAX($C22:G22)</f>
        <v>400</v>
      </c>
      <c r="H29" s="107">
        <f>MAX($C22:H22)</f>
        <v>400</v>
      </c>
      <c r="I29" s="107">
        <f>MAX($C22:I22)</f>
        <v>400</v>
      </c>
      <c r="J29" s="107">
        <f>MAX($C22:J22)</f>
        <v>400</v>
      </c>
      <c r="K29" s="107">
        <f>MAX($C22:K22)</f>
        <v>400</v>
      </c>
      <c r="L29" s="107">
        <f>MAX($C22:L22)</f>
        <v>400</v>
      </c>
      <c r="M29" s="107">
        <f>MAX($C22:M22)</f>
        <v>400</v>
      </c>
      <c r="N29" s="107">
        <f>MAX($C22:N22)</f>
        <v>400</v>
      </c>
      <c r="O29" s="107">
        <f>MAX($C22:O22)</f>
        <v>400</v>
      </c>
      <c r="P29" s="107">
        <f>MAX($C22:P22)</f>
        <v>400</v>
      </c>
      <c r="Q29" s="107">
        <f>MAX($C22:Q22)</f>
        <v>400</v>
      </c>
      <c r="R29" s="107">
        <f>MAX($C22:R22)</f>
        <v>400</v>
      </c>
      <c r="S29" s="107">
        <f>MAX($C22:S22)</f>
        <v>400</v>
      </c>
      <c r="T29" s="107">
        <f>MAX($C22:T22)</f>
        <v>400</v>
      </c>
      <c r="U29" s="107">
        <f>MAX($C22:U22)</f>
        <v>400</v>
      </c>
      <c r="V29" s="107">
        <f>MAX($C22:V22)</f>
        <v>400</v>
      </c>
      <c r="W29" s="107">
        <f>MAX($C22:W22)</f>
        <v>400</v>
      </c>
      <c r="X29" s="107">
        <f>MAX($C22:X22)</f>
        <v>400</v>
      </c>
    </row>
    <row r="30" spans="1:25" ht="13.15" x14ac:dyDescent="0.4">
      <c r="A30">
        <v>24</v>
      </c>
      <c r="B30" s="151" t="s">
        <v>80</v>
      </c>
      <c r="C30" s="19">
        <f>MAX(C23)</f>
        <v>198</v>
      </c>
      <c r="D30" s="107">
        <f>MAX($C23:D23)</f>
        <v>598</v>
      </c>
      <c r="E30" s="107">
        <f>MAX($C23:E23)</f>
        <v>598</v>
      </c>
      <c r="F30" s="107">
        <f>MAX($C23:F23)</f>
        <v>598</v>
      </c>
      <c r="G30" s="107">
        <f>MAX($C23:G23)</f>
        <v>598</v>
      </c>
      <c r="H30" s="107">
        <f>MAX($C23:H23)</f>
        <v>598</v>
      </c>
      <c r="I30" s="107">
        <f>MAX($C23:I23)</f>
        <v>598</v>
      </c>
      <c r="J30" s="107">
        <f>MAX($C23:J23)</f>
        <v>598</v>
      </c>
      <c r="K30" s="107">
        <f>MAX($C23:K23)</f>
        <v>598</v>
      </c>
      <c r="L30" s="107">
        <f>MAX($C23:L23)</f>
        <v>598</v>
      </c>
      <c r="M30" s="107">
        <f>MAX($C23:M23)</f>
        <v>598</v>
      </c>
      <c r="N30" s="107">
        <f>MAX($C23:N23)</f>
        <v>598</v>
      </c>
      <c r="O30" s="107">
        <f>MAX($C23:O23)</f>
        <v>598</v>
      </c>
      <c r="P30" s="107">
        <f>MAX($C23:P23)</f>
        <v>598</v>
      </c>
      <c r="Q30" s="107">
        <f>MAX($C23:Q23)</f>
        <v>598</v>
      </c>
      <c r="R30" s="107">
        <f>MAX($C23:R23)</f>
        <v>598</v>
      </c>
      <c r="S30" s="107">
        <f>MAX($C23:S23)</f>
        <v>598</v>
      </c>
      <c r="T30" s="107">
        <f>MAX($C23:T23)</f>
        <v>598</v>
      </c>
      <c r="U30" s="107">
        <f>MAX($C23:U23)</f>
        <v>598</v>
      </c>
      <c r="V30" s="107">
        <f>MAX($C23:V23)</f>
        <v>598</v>
      </c>
      <c r="W30" s="107">
        <f>MAX($C23:W23)</f>
        <v>598</v>
      </c>
      <c r="X30" s="107">
        <f>MAX($C23:X23)</f>
        <v>598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150</v>
      </c>
      <c r="G2" s="203" t="s">
        <v>119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54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59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128</v>
      </c>
      <c r="D9">
        <v>127</v>
      </c>
      <c r="F9">
        <v>161</v>
      </c>
      <c r="G9">
        <v>139</v>
      </c>
      <c r="J9">
        <v>107</v>
      </c>
      <c r="M9">
        <v>111</v>
      </c>
      <c r="N9">
        <v>137</v>
      </c>
      <c r="O9">
        <v>167</v>
      </c>
      <c r="P9">
        <v>167</v>
      </c>
      <c r="Q9">
        <v>160</v>
      </c>
      <c r="R9">
        <v>136</v>
      </c>
      <c r="S9">
        <v>129</v>
      </c>
      <c r="T9">
        <v>113</v>
      </c>
      <c r="U9">
        <v>125</v>
      </c>
      <c r="V9">
        <v>179</v>
      </c>
    </row>
    <row r="10" spans="1:24" ht="13.15" x14ac:dyDescent="0.4">
      <c r="A10">
        <v>4</v>
      </c>
      <c r="B10" s="3" t="s">
        <v>15</v>
      </c>
      <c r="C10">
        <v>148</v>
      </c>
      <c r="D10">
        <v>140</v>
      </c>
      <c r="F10">
        <v>149</v>
      </c>
      <c r="J10">
        <v>128</v>
      </c>
      <c r="P10">
        <v>169</v>
      </c>
      <c r="Q10">
        <v>101</v>
      </c>
      <c r="R10">
        <v>113</v>
      </c>
      <c r="S10">
        <v>165</v>
      </c>
      <c r="T10">
        <v>129</v>
      </c>
      <c r="U10">
        <v>157</v>
      </c>
      <c r="V10">
        <v>156</v>
      </c>
    </row>
    <row r="11" spans="1:24" ht="13.15" x14ac:dyDescent="0.4">
      <c r="A11">
        <v>5</v>
      </c>
      <c r="B11" s="3" t="s">
        <v>16</v>
      </c>
      <c r="C11">
        <v>145</v>
      </c>
      <c r="P11">
        <v>125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421</v>
      </c>
      <c r="D15" s="18">
        <f t="shared" si="2"/>
        <v>267</v>
      </c>
      <c r="E15" s="18">
        <f t="shared" si="2"/>
        <v>0</v>
      </c>
      <c r="F15" s="18">
        <f t="shared" si="2"/>
        <v>310</v>
      </c>
      <c r="G15" s="18">
        <f t="shared" si="2"/>
        <v>139</v>
      </c>
      <c r="H15" s="18">
        <f t="shared" si="2"/>
        <v>0</v>
      </c>
      <c r="I15" s="18">
        <f t="shared" si="2"/>
        <v>0</v>
      </c>
      <c r="J15" s="18">
        <f t="shared" si="2"/>
        <v>235</v>
      </c>
      <c r="K15" s="18">
        <f t="shared" si="2"/>
        <v>0</v>
      </c>
      <c r="L15" s="18">
        <f t="shared" si="2"/>
        <v>0</v>
      </c>
      <c r="M15" s="18">
        <f t="shared" si="2"/>
        <v>111</v>
      </c>
      <c r="N15" s="18">
        <f t="shared" si="2"/>
        <v>137</v>
      </c>
      <c r="O15" s="18">
        <f t="shared" si="2"/>
        <v>167</v>
      </c>
      <c r="P15" s="18">
        <f t="shared" si="2"/>
        <v>461</v>
      </c>
      <c r="Q15" s="18">
        <f t="shared" si="2"/>
        <v>261</v>
      </c>
      <c r="R15" s="18">
        <f t="shared" si="2"/>
        <v>249</v>
      </c>
      <c r="S15" s="18">
        <f t="shared" si="2"/>
        <v>294</v>
      </c>
      <c r="T15" s="18">
        <f t="shared" si="2"/>
        <v>242</v>
      </c>
      <c r="U15" s="18">
        <f t="shared" si="2"/>
        <v>282</v>
      </c>
      <c r="V15" s="18">
        <f t="shared" si="2"/>
        <v>335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421</v>
      </c>
      <c r="D16" s="19">
        <f t="shared" ref="D16:X16" si="3">+D15+C16</f>
        <v>688</v>
      </c>
      <c r="E16" s="19">
        <f t="shared" si="3"/>
        <v>688</v>
      </c>
      <c r="F16" s="19">
        <f t="shared" si="3"/>
        <v>998</v>
      </c>
      <c r="G16" s="19">
        <f t="shared" si="3"/>
        <v>1137</v>
      </c>
      <c r="H16" s="19">
        <f t="shared" si="3"/>
        <v>1137</v>
      </c>
      <c r="I16" s="19">
        <f t="shared" si="3"/>
        <v>1137</v>
      </c>
      <c r="J16" s="19">
        <f t="shared" si="3"/>
        <v>1372</v>
      </c>
      <c r="K16" s="19">
        <f t="shared" si="3"/>
        <v>1372</v>
      </c>
      <c r="L16" s="19">
        <f t="shared" si="3"/>
        <v>1372</v>
      </c>
      <c r="M16" s="19">
        <f t="shared" si="3"/>
        <v>1483</v>
      </c>
      <c r="N16" s="19">
        <f t="shared" si="3"/>
        <v>1620</v>
      </c>
      <c r="O16" s="19">
        <f t="shared" si="3"/>
        <v>1787</v>
      </c>
      <c r="P16" s="19">
        <f t="shared" si="3"/>
        <v>2248</v>
      </c>
      <c r="Q16" s="19">
        <f t="shared" si="3"/>
        <v>2509</v>
      </c>
      <c r="R16" s="19">
        <f t="shared" si="3"/>
        <v>2758</v>
      </c>
      <c r="S16" s="19">
        <f t="shared" si="3"/>
        <v>3052</v>
      </c>
      <c r="T16" s="19">
        <f t="shared" si="3"/>
        <v>3294</v>
      </c>
      <c r="U16" s="19">
        <f t="shared" si="3"/>
        <v>3576</v>
      </c>
      <c r="V16" s="19">
        <f t="shared" si="3"/>
        <v>3911</v>
      </c>
      <c r="W16" s="19">
        <f t="shared" si="3"/>
        <v>3911</v>
      </c>
      <c r="X16" s="19">
        <f t="shared" si="3"/>
        <v>3911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140.33333333333334</v>
      </c>
      <c r="D17" s="20">
        <f t="shared" si="4"/>
        <v>137.6</v>
      </c>
      <c r="E17" s="20">
        <f t="shared" si="4"/>
        <v>137.6</v>
      </c>
      <c r="F17" s="20">
        <f t="shared" si="4"/>
        <v>142.57142857142858</v>
      </c>
      <c r="G17" s="20">
        <f t="shared" si="4"/>
        <v>142.125</v>
      </c>
      <c r="H17" s="20">
        <f t="shared" si="4"/>
        <v>142.125</v>
      </c>
      <c r="I17" s="20">
        <f t="shared" si="4"/>
        <v>142.125</v>
      </c>
      <c r="J17" s="20">
        <f t="shared" si="4"/>
        <v>137.19999999999999</v>
      </c>
      <c r="K17" s="20">
        <f t="shared" si="4"/>
        <v>137.19999999999999</v>
      </c>
      <c r="L17" s="20">
        <f t="shared" si="4"/>
        <v>137.19999999999999</v>
      </c>
      <c r="M17" s="20">
        <f t="shared" si="4"/>
        <v>134.81818181818181</v>
      </c>
      <c r="N17" s="20">
        <f t="shared" si="4"/>
        <v>135</v>
      </c>
      <c r="O17" s="20">
        <f t="shared" si="4"/>
        <v>137.46153846153845</v>
      </c>
      <c r="P17" s="20">
        <f t="shared" si="4"/>
        <v>140.5</v>
      </c>
      <c r="Q17" s="20">
        <f t="shared" si="4"/>
        <v>139.38888888888889</v>
      </c>
      <c r="R17" s="20">
        <f t="shared" si="4"/>
        <v>137.9</v>
      </c>
      <c r="S17" s="20">
        <f t="shared" si="4"/>
        <v>138.72727272727272</v>
      </c>
      <c r="T17" s="20">
        <f t="shared" si="4"/>
        <v>137.25</v>
      </c>
      <c r="U17" s="20">
        <f t="shared" si="4"/>
        <v>137.53846153846155</v>
      </c>
      <c r="V17" s="20">
        <f t="shared" si="4"/>
        <v>139.67857142857142</v>
      </c>
      <c r="W17" s="20">
        <f t="shared" si="4"/>
        <v>139.67857142857142</v>
      </c>
      <c r="X17" s="20">
        <f t="shared" si="4"/>
        <v>139.67857142857142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54</v>
      </c>
      <c r="D18" s="19">
        <f t="shared" si="5"/>
        <v>56</v>
      </c>
      <c r="E18" s="19">
        <f t="shared" si="5"/>
        <v>56</v>
      </c>
      <c r="F18" s="19">
        <f t="shared" si="5"/>
        <v>52</v>
      </c>
      <c r="G18" s="19">
        <f t="shared" si="5"/>
        <v>52</v>
      </c>
      <c r="H18" s="19">
        <f t="shared" si="5"/>
        <v>52</v>
      </c>
      <c r="I18" s="19">
        <f t="shared" si="5"/>
        <v>52</v>
      </c>
      <c r="J18" s="19">
        <f t="shared" si="5"/>
        <v>57</v>
      </c>
      <c r="K18" s="19">
        <f t="shared" si="5"/>
        <v>57</v>
      </c>
      <c r="L18" s="19">
        <f t="shared" si="5"/>
        <v>57</v>
      </c>
      <c r="M18" s="19">
        <f t="shared" si="5"/>
        <v>59</v>
      </c>
      <c r="N18" s="19">
        <f t="shared" si="5"/>
        <v>59</v>
      </c>
      <c r="O18" s="19">
        <f t="shared" si="5"/>
        <v>56</v>
      </c>
      <c r="P18" s="19">
        <f t="shared" si="5"/>
        <v>54</v>
      </c>
      <c r="Q18" s="19">
        <f t="shared" si="5"/>
        <v>55</v>
      </c>
      <c r="R18" s="19">
        <f t="shared" si="5"/>
        <v>56</v>
      </c>
      <c r="S18" s="19">
        <f t="shared" si="5"/>
        <v>55</v>
      </c>
      <c r="T18" s="19">
        <f t="shared" si="5"/>
        <v>56</v>
      </c>
      <c r="U18" s="19">
        <f t="shared" si="5"/>
        <v>56</v>
      </c>
      <c r="V18" s="19">
        <f t="shared" si="5"/>
        <v>54</v>
      </c>
      <c r="W18" s="19">
        <f t="shared" si="5"/>
        <v>54</v>
      </c>
      <c r="X18" s="19">
        <f t="shared" si="5"/>
        <v>54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5</v>
      </c>
      <c r="E19" s="19">
        <f t="shared" si="6"/>
        <v>5</v>
      </c>
      <c r="F19" s="19">
        <f t="shared" si="6"/>
        <v>7</v>
      </c>
      <c r="G19" s="19">
        <f t="shared" si="6"/>
        <v>8</v>
      </c>
      <c r="H19" s="19">
        <f t="shared" si="6"/>
        <v>8</v>
      </c>
      <c r="I19" s="19">
        <f t="shared" si="6"/>
        <v>8</v>
      </c>
      <c r="J19" s="19">
        <f t="shared" si="6"/>
        <v>10</v>
      </c>
      <c r="K19" s="19">
        <f t="shared" si="6"/>
        <v>10</v>
      </c>
      <c r="L19" s="19">
        <f t="shared" si="6"/>
        <v>10</v>
      </c>
      <c r="M19" s="19">
        <f t="shared" si="6"/>
        <v>11</v>
      </c>
      <c r="N19" s="19">
        <f t="shared" si="6"/>
        <v>12</v>
      </c>
      <c r="O19" s="19">
        <f t="shared" si="6"/>
        <v>13</v>
      </c>
      <c r="P19" s="19">
        <f t="shared" si="6"/>
        <v>16</v>
      </c>
      <c r="Q19" s="19">
        <f t="shared" si="6"/>
        <v>18</v>
      </c>
      <c r="R19" s="19">
        <f t="shared" si="6"/>
        <v>20</v>
      </c>
      <c r="S19" s="19">
        <f t="shared" si="6"/>
        <v>22</v>
      </c>
      <c r="T19" s="19">
        <f t="shared" si="6"/>
        <v>24</v>
      </c>
      <c r="U19" s="19">
        <f t="shared" si="6"/>
        <v>26</v>
      </c>
      <c r="V19" s="19">
        <f t="shared" si="6"/>
        <v>28</v>
      </c>
      <c r="W19" s="19">
        <f t="shared" si="6"/>
        <v>28</v>
      </c>
      <c r="X19" s="19">
        <f t="shared" si="6"/>
        <v>28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148</v>
      </c>
      <c r="D20" s="19">
        <f t="shared" si="7"/>
        <v>140</v>
      </c>
      <c r="E20" s="19">
        <f t="shared" si="7"/>
        <v>0</v>
      </c>
      <c r="F20" s="19">
        <f t="shared" si="7"/>
        <v>161</v>
      </c>
      <c r="G20" s="19">
        <f t="shared" si="7"/>
        <v>139</v>
      </c>
      <c r="H20" s="19">
        <f t="shared" si="7"/>
        <v>0</v>
      </c>
      <c r="I20" s="19">
        <f t="shared" si="7"/>
        <v>0</v>
      </c>
      <c r="J20" s="19">
        <f t="shared" si="7"/>
        <v>128</v>
      </c>
      <c r="K20" s="19">
        <f t="shared" si="7"/>
        <v>0</v>
      </c>
      <c r="L20" s="19">
        <f t="shared" si="7"/>
        <v>0</v>
      </c>
      <c r="M20" s="19">
        <f t="shared" si="7"/>
        <v>111</v>
      </c>
      <c r="N20" s="19">
        <f t="shared" si="7"/>
        <v>137</v>
      </c>
      <c r="O20" s="19">
        <f t="shared" si="7"/>
        <v>167</v>
      </c>
      <c r="P20" s="19">
        <f t="shared" si="7"/>
        <v>169</v>
      </c>
      <c r="Q20" s="19">
        <f t="shared" si="7"/>
        <v>160</v>
      </c>
      <c r="R20" s="19">
        <f t="shared" si="7"/>
        <v>136</v>
      </c>
      <c r="S20" s="19">
        <f t="shared" si="7"/>
        <v>165</v>
      </c>
      <c r="T20" s="19">
        <f t="shared" si="7"/>
        <v>129</v>
      </c>
      <c r="U20" s="19">
        <f t="shared" si="7"/>
        <v>157</v>
      </c>
      <c r="V20" s="19">
        <f t="shared" si="7"/>
        <v>179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207</v>
      </c>
      <c r="D21" s="19">
        <f>MAX(D$9:D$14)+$I$5</f>
        <v>199</v>
      </c>
      <c r="E21" s="19">
        <f t="shared" ref="E21:X21" si="8">MAX(E$9:E$14)+D18</f>
        <v>56</v>
      </c>
      <c r="F21" s="19">
        <f t="shared" si="8"/>
        <v>217</v>
      </c>
      <c r="G21" s="19">
        <f t="shared" si="8"/>
        <v>191</v>
      </c>
      <c r="H21" s="19">
        <f t="shared" si="8"/>
        <v>52</v>
      </c>
      <c r="I21" s="19">
        <f t="shared" si="8"/>
        <v>52</v>
      </c>
      <c r="J21" s="19">
        <f t="shared" si="8"/>
        <v>180</v>
      </c>
      <c r="K21" s="19">
        <f t="shared" si="8"/>
        <v>57</v>
      </c>
      <c r="L21" s="19">
        <f t="shared" si="8"/>
        <v>57</v>
      </c>
      <c r="M21" s="19">
        <f t="shared" si="8"/>
        <v>168</v>
      </c>
      <c r="N21" s="19">
        <f t="shared" si="8"/>
        <v>196</v>
      </c>
      <c r="O21" s="19">
        <f t="shared" si="8"/>
        <v>226</v>
      </c>
      <c r="P21" s="19">
        <f t="shared" si="8"/>
        <v>225</v>
      </c>
      <c r="Q21" s="19">
        <f t="shared" si="8"/>
        <v>214</v>
      </c>
      <c r="R21" s="19">
        <f t="shared" si="8"/>
        <v>191</v>
      </c>
      <c r="S21" s="19">
        <f t="shared" si="8"/>
        <v>221</v>
      </c>
      <c r="T21" s="19">
        <f t="shared" si="8"/>
        <v>184</v>
      </c>
      <c r="U21" s="19">
        <f t="shared" si="8"/>
        <v>213</v>
      </c>
      <c r="V21" s="19">
        <f t="shared" si="8"/>
        <v>235</v>
      </c>
      <c r="W21" s="19">
        <f t="shared" si="8"/>
        <v>54</v>
      </c>
      <c r="X21" s="19">
        <f t="shared" si="8"/>
        <v>54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421</v>
      </c>
      <c r="D22" s="19">
        <f t="shared" ref="D22:X22" si="9">MAX(SUM(D$9:D$11),SUM(D$12:D$14))</f>
        <v>267</v>
      </c>
      <c r="E22" s="19">
        <f t="shared" si="9"/>
        <v>0</v>
      </c>
      <c r="F22" s="19">
        <f t="shared" si="9"/>
        <v>310</v>
      </c>
      <c r="G22" s="19">
        <f t="shared" si="9"/>
        <v>139</v>
      </c>
      <c r="H22" s="19">
        <f t="shared" si="9"/>
        <v>0</v>
      </c>
      <c r="I22" s="19">
        <f t="shared" si="9"/>
        <v>0</v>
      </c>
      <c r="J22" s="19">
        <f t="shared" si="9"/>
        <v>235</v>
      </c>
      <c r="K22" s="19">
        <f t="shared" si="9"/>
        <v>0</v>
      </c>
      <c r="L22" s="19">
        <f t="shared" si="9"/>
        <v>0</v>
      </c>
      <c r="M22" s="19">
        <f t="shared" si="9"/>
        <v>111</v>
      </c>
      <c r="N22" s="19">
        <f t="shared" si="9"/>
        <v>137</v>
      </c>
      <c r="O22" s="19">
        <f t="shared" si="9"/>
        <v>167</v>
      </c>
      <c r="P22" s="19">
        <f t="shared" si="9"/>
        <v>461</v>
      </c>
      <c r="Q22" s="19">
        <f t="shared" si="9"/>
        <v>261</v>
      </c>
      <c r="R22" s="19">
        <f t="shared" si="9"/>
        <v>249</v>
      </c>
      <c r="S22" s="19">
        <f t="shared" si="9"/>
        <v>294</v>
      </c>
      <c r="T22" s="19">
        <f t="shared" si="9"/>
        <v>242</v>
      </c>
      <c r="U22" s="19">
        <f t="shared" si="9"/>
        <v>282</v>
      </c>
      <c r="V22" s="19">
        <f t="shared" si="9"/>
        <v>335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598</v>
      </c>
      <c r="D23" s="19">
        <f>MAX(SUM(D$9:D$11),SUM(D$12:D$14))+$I$5*3</f>
        <v>444</v>
      </c>
      <c r="E23" s="19">
        <f t="shared" ref="E23:X23" si="10">MAX(SUM(E$9:E$11),SUM(E$12:E$14))+D18*3</f>
        <v>168</v>
      </c>
      <c r="F23" s="19">
        <f t="shared" si="10"/>
        <v>478</v>
      </c>
      <c r="G23" s="19">
        <f t="shared" si="10"/>
        <v>295</v>
      </c>
      <c r="H23" s="19">
        <f t="shared" si="10"/>
        <v>156</v>
      </c>
      <c r="I23" s="19">
        <f t="shared" si="10"/>
        <v>156</v>
      </c>
      <c r="J23" s="19">
        <f t="shared" si="10"/>
        <v>391</v>
      </c>
      <c r="K23" s="19">
        <f t="shared" si="10"/>
        <v>171</v>
      </c>
      <c r="L23" s="19">
        <f t="shared" si="10"/>
        <v>171</v>
      </c>
      <c r="M23" s="19">
        <f t="shared" si="10"/>
        <v>282</v>
      </c>
      <c r="N23" s="19">
        <f t="shared" si="10"/>
        <v>314</v>
      </c>
      <c r="O23" s="19">
        <f t="shared" si="10"/>
        <v>344</v>
      </c>
      <c r="P23" s="19">
        <f t="shared" si="10"/>
        <v>629</v>
      </c>
      <c r="Q23" s="19">
        <f t="shared" si="10"/>
        <v>423</v>
      </c>
      <c r="R23" s="19">
        <f t="shared" si="10"/>
        <v>414</v>
      </c>
      <c r="S23" s="19">
        <f t="shared" si="10"/>
        <v>462</v>
      </c>
      <c r="T23" s="19">
        <f t="shared" si="10"/>
        <v>407</v>
      </c>
      <c r="U23" s="19">
        <f t="shared" si="10"/>
        <v>450</v>
      </c>
      <c r="V23" s="19">
        <f t="shared" si="10"/>
        <v>503</v>
      </c>
      <c r="W23" s="19">
        <f t="shared" si="10"/>
        <v>162</v>
      </c>
      <c r="X23" s="19">
        <f t="shared" si="10"/>
        <v>162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148</v>
      </c>
      <c r="D27" s="107">
        <f>MAX($C20:D20)</f>
        <v>148</v>
      </c>
      <c r="E27" s="107">
        <f>MAX($C20:E20)</f>
        <v>148</v>
      </c>
      <c r="F27" s="107">
        <f>MAX($C20:F20)</f>
        <v>161</v>
      </c>
      <c r="G27" s="107">
        <f>MAX($C20:G20)</f>
        <v>161</v>
      </c>
      <c r="H27" s="107">
        <f>MAX($C20:H20)</f>
        <v>161</v>
      </c>
      <c r="I27" s="107">
        <f>MAX($C20:I20)</f>
        <v>161</v>
      </c>
      <c r="J27" s="107">
        <f>MAX($C20:J20)</f>
        <v>161</v>
      </c>
      <c r="K27" s="107">
        <f>MAX($C20:K20)</f>
        <v>161</v>
      </c>
      <c r="L27" s="107">
        <f>MAX($C20:L20)</f>
        <v>161</v>
      </c>
      <c r="M27" s="107">
        <f>MAX($C20:M20)</f>
        <v>161</v>
      </c>
      <c r="N27" s="107">
        <f>MAX($C20:N20)</f>
        <v>161</v>
      </c>
      <c r="O27" s="107">
        <f>MAX($C20:O20)</f>
        <v>167</v>
      </c>
      <c r="P27" s="107">
        <f>MAX($C20:P20)</f>
        <v>169</v>
      </c>
      <c r="Q27" s="107">
        <f>MAX($C20:Q20)</f>
        <v>169</v>
      </c>
      <c r="R27" s="107">
        <f>MAX($C20:R20)</f>
        <v>169</v>
      </c>
      <c r="S27" s="107">
        <f>MAX($C20:S20)</f>
        <v>169</v>
      </c>
      <c r="T27" s="107">
        <f>MAX($C20:T20)</f>
        <v>169</v>
      </c>
      <c r="U27" s="107">
        <f>MAX($C20:U20)</f>
        <v>169</v>
      </c>
      <c r="V27" s="107">
        <f>MAX($C20:V20)</f>
        <v>179</v>
      </c>
      <c r="W27" s="107">
        <f>MAX($C20:W20)</f>
        <v>179</v>
      </c>
      <c r="X27" s="107">
        <f>MAX($C20:X20)</f>
        <v>179</v>
      </c>
    </row>
    <row r="28" spans="1:25" ht="13.15" x14ac:dyDescent="0.4">
      <c r="A28">
        <v>22</v>
      </c>
      <c r="B28" s="151" t="s">
        <v>78</v>
      </c>
      <c r="C28" s="19">
        <f>MAX(C21)</f>
        <v>207</v>
      </c>
      <c r="D28" s="107">
        <f>MAX($C21:D21)</f>
        <v>207</v>
      </c>
      <c r="E28" s="107">
        <f>MAX($C21:E21)</f>
        <v>207</v>
      </c>
      <c r="F28" s="107">
        <f>MAX($C21:F21)</f>
        <v>217</v>
      </c>
      <c r="G28" s="107">
        <f>MAX($C21:G21)</f>
        <v>217</v>
      </c>
      <c r="H28" s="107">
        <f>MAX($C21:H21)</f>
        <v>217</v>
      </c>
      <c r="I28" s="107">
        <f>MAX($C21:I21)</f>
        <v>217</v>
      </c>
      <c r="J28" s="107">
        <f>MAX($C21:J21)</f>
        <v>217</v>
      </c>
      <c r="K28" s="107">
        <f>MAX($C21:K21)</f>
        <v>217</v>
      </c>
      <c r="L28" s="107">
        <f>MAX($C21:L21)</f>
        <v>217</v>
      </c>
      <c r="M28" s="107">
        <f>MAX($C21:M21)</f>
        <v>217</v>
      </c>
      <c r="N28" s="107">
        <f>MAX($C21:N21)</f>
        <v>217</v>
      </c>
      <c r="O28" s="107">
        <f>MAX($C21:O21)</f>
        <v>226</v>
      </c>
      <c r="P28" s="107">
        <f>MAX($C21:P21)</f>
        <v>226</v>
      </c>
      <c r="Q28" s="107">
        <f>MAX($C21:Q21)</f>
        <v>226</v>
      </c>
      <c r="R28" s="107">
        <f>MAX($C21:R21)</f>
        <v>226</v>
      </c>
      <c r="S28" s="107">
        <f>MAX($C21:S21)</f>
        <v>226</v>
      </c>
      <c r="T28" s="107">
        <f>MAX($C21:T21)</f>
        <v>226</v>
      </c>
      <c r="U28" s="107">
        <f>MAX($C21:U21)</f>
        <v>226</v>
      </c>
      <c r="V28" s="107">
        <f>MAX($C21:V21)</f>
        <v>235</v>
      </c>
      <c r="W28" s="107">
        <f>MAX($C21:W21)</f>
        <v>235</v>
      </c>
      <c r="X28" s="107">
        <f>MAX($C21:X21)</f>
        <v>235</v>
      </c>
    </row>
    <row r="29" spans="1:25" ht="26.25" x14ac:dyDescent="0.4">
      <c r="A29">
        <v>23</v>
      </c>
      <c r="B29" s="151" t="s">
        <v>79</v>
      </c>
      <c r="C29" s="19">
        <f>MAX(C22)</f>
        <v>421</v>
      </c>
      <c r="D29" s="107">
        <f>MAX($C22:D22)</f>
        <v>421</v>
      </c>
      <c r="E29" s="107">
        <f>MAX($C22:E22)</f>
        <v>421</v>
      </c>
      <c r="F29" s="107">
        <f>MAX($C22:F22)</f>
        <v>421</v>
      </c>
      <c r="G29" s="107">
        <f>MAX($C22:G22)</f>
        <v>421</v>
      </c>
      <c r="H29" s="107">
        <f>MAX($C22:H22)</f>
        <v>421</v>
      </c>
      <c r="I29" s="107">
        <f>MAX($C22:I22)</f>
        <v>421</v>
      </c>
      <c r="J29" s="107">
        <f>MAX($C22:J22)</f>
        <v>421</v>
      </c>
      <c r="K29" s="107">
        <f>MAX($C22:K22)</f>
        <v>421</v>
      </c>
      <c r="L29" s="107">
        <f>MAX($C22:L22)</f>
        <v>421</v>
      </c>
      <c r="M29" s="107">
        <f>MAX($C22:M22)</f>
        <v>421</v>
      </c>
      <c r="N29" s="107">
        <f>MAX($C22:N22)</f>
        <v>421</v>
      </c>
      <c r="O29" s="107">
        <f>MAX($C22:O22)</f>
        <v>421</v>
      </c>
      <c r="P29" s="107">
        <f>MAX($C22:P22)</f>
        <v>461</v>
      </c>
      <c r="Q29" s="107">
        <f>MAX($C22:Q22)</f>
        <v>461</v>
      </c>
      <c r="R29" s="107">
        <f>MAX($C22:R22)</f>
        <v>461</v>
      </c>
      <c r="S29" s="107">
        <f>MAX($C22:S22)</f>
        <v>461</v>
      </c>
      <c r="T29" s="107">
        <f>MAX($C22:T22)</f>
        <v>461</v>
      </c>
      <c r="U29" s="107">
        <f>MAX($C22:U22)</f>
        <v>461</v>
      </c>
      <c r="V29" s="107">
        <f>MAX($C22:V22)</f>
        <v>461</v>
      </c>
      <c r="W29" s="107">
        <f>MAX($C22:W22)</f>
        <v>461</v>
      </c>
      <c r="X29" s="107">
        <f>MAX($C22:X22)</f>
        <v>461</v>
      </c>
    </row>
    <row r="30" spans="1:25" ht="13.15" x14ac:dyDescent="0.4">
      <c r="A30">
        <v>24</v>
      </c>
      <c r="B30" s="151" t="s">
        <v>80</v>
      </c>
      <c r="C30" s="19">
        <f>MAX(C23)</f>
        <v>598</v>
      </c>
      <c r="D30" s="107">
        <f>MAX($C23:D23)</f>
        <v>598</v>
      </c>
      <c r="E30" s="107">
        <f>MAX($C23:E23)</f>
        <v>598</v>
      </c>
      <c r="F30" s="107">
        <f>MAX($C23:F23)</f>
        <v>598</v>
      </c>
      <c r="G30" s="107">
        <f>MAX($C23:G23)</f>
        <v>598</v>
      </c>
      <c r="H30" s="107">
        <f>MAX($C23:H23)</f>
        <v>598</v>
      </c>
      <c r="I30" s="107">
        <f>MAX($C23:I23)</f>
        <v>598</v>
      </c>
      <c r="J30" s="107">
        <f>MAX($C23:J23)</f>
        <v>598</v>
      </c>
      <c r="K30" s="107">
        <f>MAX($C23:K23)</f>
        <v>598</v>
      </c>
      <c r="L30" s="107">
        <f>MAX($C23:L23)</f>
        <v>598</v>
      </c>
      <c r="M30" s="107">
        <f>MAX($C23:M23)</f>
        <v>598</v>
      </c>
      <c r="N30" s="107">
        <f>MAX($C23:N23)</f>
        <v>598</v>
      </c>
      <c r="O30" s="107">
        <f>MAX($C23:O23)</f>
        <v>598</v>
      </c>
      <c r="P30" s="107">
        <f>MAX($C23:P23)</f>
        <v>629</v>
      </c>
      <c r="Q30" s="107">
        <f>MAX($C23:Q23)</f>
        <v>629</v>
      </c>
      <c r="R30" s="107">
        <f>MAX($C23:R23)</f>
        <v>629</v>
      </c>
      <c r="S30" s="107">
        <f>MAX($C23:S23)</f>
        <v>629</v>
      </c>
      <c r="T30" s="107">
        <f>MAX($C23:T23)</f>
        <v>629</v>
      </c>
      <c r="U30" s="107">
        <f>MAX($C23:U23)</f>
        <v>629</v>
      </c>
      <c r="V30" s="107">
        <f>MAX($C23:V23)</f>
        <v>629</v>
      </c>
      <c r="W30" s="107">
        <f>MAX($C23:W23)</f>
        <v>629</v>
      </c>
      <c r="X30" s="107">
        <f>MAX($C23:X23)</f>
        <v>629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220</v>
      </c>
      <c r="G2" s="203" t="s">
        <v>219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64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64</v>
      </c>
      <c r="D21" s="19">
        <f t="shared" si="8"/>
        <v>64</v>
      </c>
      <c r="E21" s="19">
        <f t="shared" si="8"/>
        <v>64</v>
      </c>
      <c r="F21" s="19">
        <f t="shared" si="8"/>
        <v>64</v>
      </c>
      <c r="G21" s="19">
        <f t="shared" si="8"/>
        <v>64</v>
      </c>
      <c r="H21" s="19">
        <f t="shared" si="8"/>
        <v>64</v>
      </c>
      <c r="I21" s="19">
        <f t="shared" si="8"/>
        <v>64</v>
      </c>
      <c r="J21" s="19">
        <f t="shared" si="8"/>
        <v>64</v>
      </c>
      <c r="K21" s="19">
        <f t="shared" si="8"/>
        <v>64</v>
      </c>
      <c r="L21" s="19">
        <f t="shared" si="8"/>
        <v>64</v>
      </c>
      <c r="M21" s="19">
        <f t="shared" si="8"/>
        <v>64</v>
      </c>
      <c r="N21" s="19">
        <f t="shared" si="8"/>
        <v>64</v>
      </c>
      <c r="O21" s="19">
        <f t="shared" si="8"/>
        <v>64</v>
      </c>
      <c r="P21" s="19">
        <f t="shared" si="8"/>
        <v>64</v>
      </c>
      <c r="Q21" s="19">
        <f t="shared" si="8"/>
        <v>64</v>
      </c>
      <c r="R21" s="19">
        <f t="shared" si="8"/>
        <v>64</v>
      </c>
      <c r="S21" s="19">
        <f t="shared" si="8"/>
        <v>64</v>
      </c>
      <c r="T21" s="19">
        <f t="shared" si="8"/>
        <v>64</v>
      </c>
      <c r="U21" s="19">
        <f t="shared" si="8"/>
        <v>64</v>
      </c>
      <c r="V21" s="19">
        <f t="shared" si="8"/>
        <v>64</v>
      </c>
      <c r="W21" s="19">
        <f t="shared" si="8"/>
        <v>64</v>
      </c>
      <c r="X21" s="19">
        <f t="shared" si="8"/>
        <v>64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192</v>
      </c>
      <c r="D23" s="19">
        <f t="shared" ref="D23:X23" si="10">MAX(SUM(D$9:D$11),SUM(D$12:D$14))+$I$5*3</f>
        <v>192</v>
      </c>
      <c r="E23" s="19">
        <f t="shared" si="10"/>
        <v>192</v>
      </c>
      <c r="F23" s="19">
        <f t="shared" si="10"/>
        <v>192</v>
      </c>
      <c r="G23" s="19">
        <f t="shared" si="10"/>
        <v>192</v>
      </c>
      <c r="H23" s="19">
        <f t="shared" si="10"/>
        <v>192</v>
      </c>
      <c r="I23" s="19">
        <f t="shared" si="10"/>
        <v>192</v>
      </c>
      <c r="J23" s="19">
        <f t="shared" si="10"/>
        <v>192</v>
      </c>
      <c r="K23" s="19">
        <f t="shared" si="10"/>
        <v>192</v>
      </c>
      <c r="L23" s="19">
        <f t="shared" si="10"/>
        <v>192</v>
      </c>
      <c r="M23" s="19">
        <f t="shared" si="10"/>
        <v>192</v>
      </c>
      <c r="N23" s="19">
        <f t="shared" si="10"/>
        <v>192</v>
      </c>
      <c r="O23" s="19">
        <f t="shared" si="10"/>
        <v>192</v>
      </c>
      <c r="P23" s="19">
        <f t="shared" si="10"/>
        <v>192</v>
      </c>
      <c r="Q23" s="19">
        <f t="shared" si="10"/>
        <v>192</v>
      </c>
      <c r="R23" s="19">
        <f t="shared" si="10"/>
        <v>192</v>
      </c>
      <c r="S23" s="19">
        <f t="shared" si="10"/>
        <v>192</v>
      </c>
      <c r="T23" s="19">
        <f t="shared" si="10"/>
        <v>192</v>
      </c>
      <c r="U23" s="19">
        <f t="shared" si="10"/>
        <v>192</v>
      </c>
      <c r="V23" s="19">
        <f t="shared" si="10"/>
        <v>192</v>
      </c>
      <c r="W23" s="19">
        <f t="shared" si="10"/>
        <v>192</v>
      </c>
      <c r="X23" s="19">
        <f t="shared" si="10"/>
        <v>192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64</v>
      </c>
      <c r="D28" s="107">
        <f>MAX($C21:D21)</f>
        <v>64</v>
      </c>
      <c r="E28" s="107">
        <f>MAX($C21:E21)</f>
        <v>64</v>
      </c>
      <c r="F28" s="107">
        <f>MAX($C21:F21)</f>
        <v>64</v>
      </c>
      <c r="G28" s="107">
        <f>MAX($C21:G21)</f>
        <v>64</v>
      </c>
      <c r="H28" s="107">
        <f>MAX($C21:H21)</f>
        <v>64</v>
      </c>
      <c r="I28" s="107">
        <f>MAX($C21:I21)</f>
        <v>64</v>
      </c>
      <c r="J28" s="107">
        <f>MAX($C21:J21)</f>
        <v>64</v>
      </c>
      <c r="K28" s="107">
        <f>MAX($C21:K21)</f>
        <v>64</v>
      </c>
      <c r="L28" s="107">
        <f>MAX($C21:L21)</f>
        <v>64</v>
      </c>
      <c r="M28" s="107">
        <f>MAX($C21:M21)</f>
        <v>64</v>
      </c>
      <c r="N28" s="107">
        <f>MAX($C21:N21)</f>
        <v>64</v>
      </c>
      <c r="O28" s="107">
        <f>MAX($C21:O21)</f>
        <v>64</v>
      </c>
      <c r="P28" s="107">
        <f>MAX($C21:P21)</f>
        <v>64</v>
      </c>
      <c r="Q28" s="107">
        <f>MAX($C21:Q21)</f>
        <v>64</v>
      </c>
      <c r="R28" s="107">
        <f>MAX($C21:R21)</f>
        <v>64</v>
      </c>
      <c r="S28" s="107">
        <f>MAX($C21:S21)</f>
        <v>64</v>
      </c>
      <c r="T28" s="107">
        <f>MAX($C21:T21)</f>
        <v>64</v>
      </c>
      <c r="U28" s="107">
        <f>MAX($C21:U21)</f>
        <v>64</v>
      </c>
      <c r="V28" s="107">
        <f>MAX($C21:V21)</f>
        <v>64</v>
      </c>
      <c r="W28" s="107">
        <f>MAX($C21:W21)</f>
        <v>64</v>
      </c>
      <c r="X28" s="107">
        <f>MAX($C21:X21)</f>
        <v>64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192</v>
      </c>
      <c r="D30" s="107">
        <f>MAX($C23:D23)</f>
        <v>192</v>
      </c>
      <c r="E30" s="107">
        <f>MAX($C23:E23)</f>
        <v>192</v>
      </c>
      <c r="F30" s="107">
        <f>MAX($C23:F23)</f>
        <v>192</v>
      </c>
      <c r="G30" s="107">
        <f>MAX($C23:G23)</f>
        <v>192</v>
      </c>
      <c r="H30" s="107">
        <f>MAX($C23:H23)</f>
        <v>192</v>
      </c>
      <c r="I30" s="107">
        <f>MAX($C23:I23)</f>
        <v>192</v>
      </c>
      <c r="J30" s="107">
        <f>MAX($C23:J23)</f>
        <v>192</v>
      </c>
      <c r="K30" s="107">
        <f>MAX($C23:K23)</f>
        <v>192</v>
      </c>
      <c r="L30" s="107">
        <f>MAX($C23:L23)</f>
        <v>192</v>
      </c>
      <c r="M30" s="107">
        <f>MAX($C23:M23)</f>
        <v>192</v>
      </c>
      <c r="N30" s="107">
        <f>MAX($C23:N23)</f>
        <v>192</v>
      </c>
      <c r="O30" s="107">
        <f>MAX($C23:O23)</f>
        <v>192</v>
      </c>
      <c r="P30" s="107">
        <f>MAX($C23:P23)</f>
        <v>192</v>
      </c>
      <c r="Q30" s="107">
        <f>MAX($C23:Q23)</f>
        <v>192</v>
      </c>
      <c r="R30" s="107">
        <f>MAX($C23:R23)</f>
        <v>192</v>
      </c>
      <c r="S30" s="107">
        <f>MAX($C23:S23)</f>
        <v>192</v>
      </c>
      <c r="T30" s="107">
        <f>MAX($C23:T23)</f>
        <v>192</v>
      </c>
      <c r="U30" s="107">
        <f>MAX($C23:U23)</f>
        <v>192</v>
      </c>
      <c r="V30" s="107">
        <f>MAX($C23:V23)</f>
        <v>192</v>
      </c>
      <c r="W30" s="107">
        <f>MAX($C23:W23)</f>
        <v>192</v>
      </c>
      <c r="X30" s="107">
        <f>MAX($C23:X23)</f>
        <v>192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267</v>
      </c>
      <c r="G2" s="203" t="s">
        <v>120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83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91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84</v>
      </c>
      <c r="D9">
        <v>77</v>
      </c>
      <c r="F9">
        <v>120</v>
      </c>
      <c r="G9">
        <v>124</v>
      </c>
      <c r="H9">
        <v>104</v>
      </c>
      <c r="I9">
        <v>85</v>
      </c>
      <c r="J9">
        <v>67</v>
      </c>
      <c r="K9">
        <v>119</v>
      </c>
      <c r="M9">
        <v>134</v>
      </c>
      <c r="N9">
        <v>90</v>
      </c>
      <c r="P9">
        <v>141</v>
      </c>
      <c r="T9">
        <v>77</v>
      </c>
      <c r="U9">
        <v>80</v>
      </c>
      <c r="V9">
        <v>95</v>
      </c>
    </row>
    <row r="10" spans="1:24" ht="13.15" x14ac:dyDescent="0.4">
      <c r="A10">
        <v>4</v>
      </c>
      <c r="B10" s="3" t="s">
        <v>15</v>
      </c>
      <c r="C10">
        <v>84</v>
      </c>
      <c r="D10">
        <v>107</v>
      </c>
      <c r="F10">
        <v>93</v>
      </c>
      <c r="G10">
        <v>149</v>
      </c>
      <c r="H10">
        <v>96</v>
      </c>
      <c r="I10">
        <v>86</v>
      </c>
      <c r="J10">
        <v>121</v>
      </c>
      <c r="K10">
        <v>137</v>
      </c>
      <c r="M10">
        <v>109</v>
      </c>
      <c r="N10">
        <v>138</v>
      </c>
      <c r="P10">
        <v>88</v>
      </c>
      <c r="T10">
        <v>102</v>
      </c>
      <c r="U10">
        <v>115</v>
      </c>
      <c r="V10">
        <v>104</v>
      </c>
    </row>
    <row r="11" spans="1:24" ht="13.15" x14ac:dyDescent="0.4">
      <c r="A11">
        <v>5</v>
      </c>
      <c r="B11" s="3" t="s">
        <v>16</v>
      </c>
      <c r="D11">
        <v>109</v>
      </c>
      <c r="F11">
        <v>118</v>
      </c>
      <c r="H11">
        <v>125</v>
      </c>
      <c r="I11">
        <v>84</v>
      </c>
      <c r="J11">
        <v>91</v>
      </c>
      <c r="K11">
        <v>164</v>
      </c>
      <c r="M11">
        <v>97</v>
      </c>
      <c r="N11">
        <v>94</v>
      </c>
      <c r="P11">
        <v>129</v>
      </c>
      <c r="T11">
        <v>113</v>
      </c>
      <c r="U11">
        <v>138</v>
      </c>
      <c r="V11">
        <v>109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168</v>
      </c>
      <c r="D15" s="18">
        <f t="shared" si="2"/>
        <v>293</v>
      </c>
      <c r="E15" s="18">
        <f t="shared" si="2"/>
        <v>0</v>
      </c>
      <c r="F15" s="18">
        <f t="shared" si="2"/>
        <v>331</v>
      </c>
      <c r="G15" s="18">
        <f t="shared" si="2"/>
        <v>273</v>
      </c>
      <c r="H15" s="18">
        <f t="shared" si="2"/>
        <v>325</v>
      </c>
      <c r="I15" s="18">
        <f t="shared" si="2"/>
        <v>255</v>
      </c>
      <c r="J15" s="18">
        <f t="shared" si="2"/>
        <v>279</v>
      </c>
      <c r="K15" s="18">
        <f t="shared" si="2"/>
        <v>420</v>
      </c>
      <c r="L15" s="18">
        <f t="shared" si="2"/>
        <v>0</v>
      </c>
      <c r="M15" s="18">
        <f t="shared" si="2"/>
        <v>340</v>
      </c>
      <c r="N15" s="18">
        <f t="shared" si="2"/>
        <v>322</v>
      </c>
      <c r="O15" s="18">
        <f t="shared" si="2"/>
        <v>0</v>
      </c>
      <c r="P15" s="18">
        <f t="shared" si="2"/>
        <v>358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292</v>
      </c>
      <c r="U15" s="18">
        <f t="shared" si="2"/>
        <v>333</v>
      </c>
      <c r="V15" s="18">
        <f t="shared" si="2"/>
        <v>308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168</v>
      </c>
      <c r="D16" s="19">
        <f t="shared" ref="D16:X16" si="3">+D15+C16</f>
        <v>461</v>
      </c>
      <c r="E16" s="19">
        <f t="shared" si="3"/>
        <v>461</v>
      </c>
      <c r="F16" s="19">
        <f t="shared" si="3"/>
        <v>792</v>
      </c>
      <c r="G16" s="19">
        <f t="shared" si="3"/>
        <v>1065</v>
      </c>
      <c r="H16" s="19">
        <f t="shared" si="3"/>
        <v>1390</v>
      </c>
      <c r="I16" s="19">
        <f t="shared" si="3"/>
        <v>1645</v>
      </c>
      <c r="J16" s="19">
        <f t="shared" si="3"/>
        <v>1924</v>
      </c>
      <c r="K16" s="19">
        <f t="shared" si="3"/>
        <v>2344</v>
      </c>
      <c r="L16" s="19">
        <f t="shared" si="3"/>
        <v>2344</v>
      </c>
      <c r="M16" s="19">
        <f t="shared" si="3"/>
        <v>2684</v>
      </c>
      <c r="N16" s="19">
        <f t="shared" si="3"/>
        <v>3006</v>
      </c>
      <c r="O16" s="19">
        <f t="shared" si="3"/>
        <v>3006</v>
      </c>
      <c r="P16" s="19">
        <f t="shared" si="3"/>
        <v>3364</v>
      </c>
      <c r="Q16" s="19">
        <f t="shared" si="3"/>
        <v>3364</v>
      </c>
      <c r="R16" s="19">
        <f t="shared" si="3"/>
        <v>3364</v>
      </c>
      <c r="S16" s="19">
        <f t="shared" si="3"/>
        <v>3364</v>
      </c>
      <c r="T16" s="19">
        <f t="shared" si="3"/>
        <v>3656</v>
      </c>
      <c r="U16" s="19">
        <f t="shared" si="3"/>
        <v>3989</v>
      </c>
      <c r="V16" s="19">
        <f t="shared" si="3"/>
        <v>4297</v>
      </c>
      <c r="W16" s="19">
        <f t="shared" si="3"/>
        <v>4297</v>
      </c>
      <c r="X16" s="19">
        <f t="shared" si="3"/>
        <v>4297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84</v>
      </c>
      <c r="D17" s="20">
        <f t="shared" si="4"/>
        <v>92.2</v>
      </c>
      <c r="E17" s="20">
        <f t="shared" si="4"/>
        <v>92.2</v>
      </c>
      <c r="F17" s="20">
        <f t="shared" si="4"/>
        <v>99</v>
      </c>
      <c r="G17" s="20">
        <f t="shared" si="4"/>
        <v>106.5</v>
      </c>
      <c r="H17" s="20">
        <f t="shared" si="4"/>
        <v>106.92307692307692</v>
      </c>
      <c r="I17" s="20">
        <f t="shared" si="4"/>
        <v>102.8125</v>
      </c>
      <c r="J17" s="20">
        <f t="shared" si="4"/>
        <v>101.26315789473684</v>
      </c>
      <c r="K17" s="20">
        <f t="shared" si="4"/>
        <v>106.54545454545455</v>
      </c>
      <c r="L17" s="20">
        <f t="shared" si="4"/>
        <v>106.54545454545455</v>
      </c>
      <c r="M17" s="20">
        <f t="shared" si="4"/>
        <v>107.36</v>
      </c>
      <c r="N17" s="20">
        <f t="shared" si="4"/>
        <v>107.35714285714286</v>
      </c>
      <c r="O17" s="20">
        <f t="shared" si="4"/>
        <v>107.35714285714286</v>
      </c>
      <c r="P17" s="20">
        <f t="shared" si="4"/>
        <v>108.51612903225806</v>
      </c>
      <c r="Q17" s="20">
        <f t="shared" si="4"/>
        <v>108.51612903225806</v>
      </c>
      <c r="R17" s="20">
        <f t="shared" si="4"/>
        <v>108.51612903225806</v>
      </c>
      <c r="S17" s="20">
        <f t="shared" si="4"/>
        <v>108.51612903225806</v>
      </c>
      <c r="T17" s="20">
        <f t="shared" si="4"/>
        <v>107.52941176470588</v>
      </c>
      <c r="U17" s="20">
        <f t="shared" si="4"/>
        <v>107.81081081081081</v>
      </c>
      <c r="V17" s="20">
        <f t="shared" si="4"/>
        <v>107.425</v>
      </c>
      <c r="W17" s="20">
        <f t="shared" si="4"/>
        <v>107.425</v>
      </c>
      <c r="X17" s="20">
        <f t="shared" si="4"/>
        <v>107.425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104</v>
      </c>
      <c r="D18" s="19">
        <f t="shared" si="5"/>
        <v>97</v>
      </c>
      <c r="E18" s="19">
        <f t="shared" si="5"/>
        <v>97</v>
      </c>
      <c r="F18" s="19">
        <f t="shared" si="5"/>
        <v>91</v>
      </c>
      <c r="G18" s="19">
        <f t="shared" si="5"/>
        <v>84</v>
      </c>
      <c r="H18" s="19">
        <f t="shared" si="5"/>
        <v>84</v>
      </c>
      <c r="I18" s="19">
        <f t="shared" si="5"/>
        <v>87</v>
      </c>
      <c r="J18" s="19">
        <f t="shared" si="5"/>
        <v>89</v>
      </c>
      <c r="K18" s="19">
        <f t="shared" si="5"/>
        <v>84</v>
      </c>
      <c r="L18" s="19">
        <f t="shared" si="5"/>
        <v>84</v>
      </c>
      <c r="M18" s="19">
        <f t="shared" si="5"/>
        <v>83</v>
      </c>
      <c r="N18" s="19">
        <f t="shared" si="5"/>
        <v>83</v>
      </c>
      <c r="O18" s="19">
        <f t="shared" si="5"/>
        <v>83</v>
      </c>
      <c r="P18" s="19">
        <f t="shared" si="5"/>
        <v>82</v>
      </c>
      <c r="Q18" s="19">
        <f t="shared" si="5"/>
        <v>82</v>
      </c>
      <c r="R18" s="19">
        <f t="shared" si="5"/>
        <v>82</v>
      </c>
      <c r="S18" s="19">
        <f t="shared" si="5"/>
        <v>82</v>
      </c>
      <c r="T18" s="19">
        <f t="shared" si="5"/>
        <v>83</v>
      </c>
      <c r="U18" s="19">
        <f t="shared" si="5"/>
        <v>83</v>
      </c>
      <c r="V18" s="19">
        <f t="shared" si="5"/>
        <v>83</v>
      </c>
      <c r="W18" s="19">
        <f t="shared" si="5"/>
        <v>83</v>
      </c>
      <c r="X18" s="19">
        <f t="shared" si="5"/>
        <v>83</v>
      </c>
    </row>
    <row r="19" spans="1:25" ht="13.15" x14ac:dyDescent="0.4">
      <c r="A19">
        <v>13</v>
      </c>
      <c r="B19" s="4" t="s">
        <v>9</v>
      </c>
      <c r="C19" s="19">
        <f>COUNT(C9:C14)</f>
        <v>2</v>
      </c>
      <c r="D19" s="19">
        <f t="shared" ref="D19:X19" si="6">COUNT(D9:D14)+C19</f>
        <v>5</v>
      </c>
      <c r="E19" s="19">
        <f t="shared" si="6"/>
        <v>5</v>
      </c>
      <c r="F19" s="19">
        <f t="shared" si="6"/>
        <v>8</v>
      </c>
      <c r="G19" s="19">
        <f t="shared" si="6"/>
        <v>10</v>
      </c>
      <c r="H19" s="19">
        <f t="shared" si="6"/>
        <v>13</v>
      </c>
      <c r="I19" s="19">
        <f t="shared" si="6"/>
        <v>16</v>
      </c>
      <c r="J19" s="19">
        <f t="shared" si="6"/>
        <v>19</v>
      </c>
      <c r="K19" s="19">
        <f t="shared" si="6"/>
        <v>22</v>
      </c>
      <c r="L19" s="19">
        <f t="shared" si="6"/>
        <v>22</v>
      </c>
      <c r="M19" s="19">
        <f t="shared" si="6"/>
        <v>25</v>
      </c>
      <c r="N19" s="19">
        <f t="shared" si="6"/>
        <v>28</v>
      </c>
      <c r="O19" s="19">
        <f t="shared" si="6"/>
        <v>28</v>
      </c>
      <c r="P19" s="19">
        <f t="shared" si="6"/>
        <v>31</v>
      </c>
      <c r="Q19" s="19">
        <f t="shared" si="6"/>
        <v>31</v>
      </c>
      <c r="R19" s="19">
        <f t="shared" si="6"/>
        <v>31</v>
      </c>
      <c r="S19" s="19">
        <f t="shared" si="6"/>
        <v>31</v>
      </c>
      <c r="T19" s="19">
        <f t="shared" si="6"/>
        <v>34</v>
      </c>
      <c r="U19" s="19">
        <f t="shared" si="6"/>
        <v>37</v>
      </c>
      <c r="V19" s="19">
        <f t="shared" si="6"/>
        <v>40</v>
      </c>
      <c r="W19" s="19">
        <f t="shared" si="6"/>
        <v>40</v>
      </c>
      <c r="X19" s="19">
        <f t="shared" si="6"/>
        <v>40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84</v>
      </c>
      <c r="D20" s="19">
        <f t="shared" si="7"/>
        <v>109</v>
      </c>
      <c r="E20" s="19">
        <f t="shared" si="7"/>
        <v>0</v>
      </c>
      <c r="F20" s="19">
        <f t="shared" si="7"/>
        <v>120</v>
      </c>
      <c r="G20" s="19">
        <f t="shared" si="7"/>
        <v>149</v>
      </c>
      <c r="H20" s="19">
        <f t="shared" si="7"/>
        <v>125</v>
      </c>
      <c r="I20" s="19">
        <f t="shared" si="7"/>
        <v>86</v>
      </c>
      <c r="J20" s="19">
        <f t="shared" si="7"/>
        <v>121</v>
      </c>
      <c r="K20" s="19">
        <f t="shared" si="7"/>
        <v>164</v>
      </c>
      <c r="L20" s="19">
        <f t="shared" si="7"/>
        <v>0</v>
      </c>
      <c r="M20" s="19">
        <f t="shared" si="7"/>
        <v>134</v>
      </c>
      <c r="N20" s="19">
        <f t="shared" si="7"/>
        <v>138</v>
      </c>
      <c r="O20" s="19">
        <f t="shared" si="7"/>
        <v>0</v>
      </c>
      <c r="P20" s="19">
        <f t="shared" si="7"/>
        <v>141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113</v>
      </c>
      <c r="U20" s="19">
        <f t="shared" si="7"/>
        <v>138</v>
      </c>
      <c r="V20" s="19">
        <f t="shared" si="7"/>
        <v>109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175</v>
      </c>
      <c r="D21" s="19">
        <f>MAX(D$9:D$14)+$I$5</f>
        <v>200</v>
      </c>
      <c r="E21" s="19">
        <f t="shared" ref="E21:X21" si="8">MAX(E$9:E$14)+D18</f>
        <v>97</v>
      </c>
      <c r="F21" s="19">
        <f t="shared" si="8"/>
        <v>217</v>
      </c>
      <c r="G21" s="19">
        <f t="shared" si="8"/>
        <v>240</v>
      </c>
      <c r="H21" s="19">
        <f t="shared" si="8"/>
        <v>209</v>
      </c>
      <c r="I21" s="19">
        <f t="shared" si="8"/>
        <v>170</v>
      </c>
      <c r="J21" s="19">
        <f t="shared" si="8"/>
        <v>208</v>
      </c>
      <c r="K21" s="19">
        <f t="shared" si="8"/>
        <v>253</v>
      </c>
      <c r="L21" s="19">
        <f t="shared" si="8"/>
        <v>84</v>
      </c>
      <c r="M21" s="19">
        <f t="shared" si="8"/>
        <v>218</v>
      </c>
      <c r="N21" s="19">
        <f t="shared" si="8"/>
        <v>221</v>
      </c>
      <c r="O21" s="19">
        <f t="shared" si="8"/>
        <v>83</v>
      </c>
      <c r="P21" s="19">
        <f t="shared" si="8"/>
        <v>224</v>
      </c>
      <c r="Q21" s="19">
        <f t="shared" si="8"/>
        <v>82</v>
      </c>
      <c r="R21" s="19">
        <f t="shared" si="8"/>
        <v>82</v>
      </c>
      <c r="S21" s="19">
        <f t="shared" si="8"/>
        <v>82</v>
      </c>
      <c r="T21" s="19">
        <f t="shared" si="8"/>
        <v>195</v>
      </c>
      <c r="U21" s="19">
        <f t="shared" si="8"/>
        <v>221</v>
      </c>
      <c r="V21" s="19">
        <f t="shared" si="8"/>
        <v>192</v>
      </c>
      <c r="W21" s="19">
        <f t="shared" si="8"/>
        <v>83</v>
      </c>
      <c r="X21" s="19">
        <f t="shared" si="8"/>
        <v>83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168</v>
      </c>
      <c r="D22" s="19">
        <f t="shared" ref="D22:X22" si="9">MAX(SUM(D$9:D$11),SUM(D$12:D$14))</f>
        <v>293</v>
      </c>
      <c r="E22" s="19">
        <f t="shared" si="9"/>
        <v>0</v>
      </c>
      <c r="F22" s="19">
        <f t="shared" si="9"/>
        <v>331</v>
      </c>
      <c r="G22" s="19">
        <f t="shared" si="9"/>
        <v>273</v>
      </c>
      <c r="H22" s="19">
        <f t="shared" si="9"/>
        <v>325</v>
      </c>
      <c r="I22" s="19">
        <f t="shared" si="9"/>
        <v>255</v>
      </c>
      <c r="J22" s="19">
        <f t="shared" si="9"/>
        <v>279</v>
      </c>
      <c r="K22" s="19">
        <f t="shared" si="9"/>
        <v>420</v>
      </c>
      <c r="L22" s="19">
        <f t="shared" si="9"/>
        <v>0</v>
      </c>
      <c r="M22" s="19">
        <f t="shared" si="9"/>
        <v>340</v>
      </c>
      <c r="N22" s="19">
        <f t="shared" si="9"/>
        <v>322</v>
      </c>
      <c r="O22" s="19">
        <f t="shared" si="9"/>
        <v>0</v>
      </c>
      <c r="P22" s="19">
        <f t="shared" si="9"/>
        <v>358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292</v>
      </c>
      <c r="U22" s="19">
        <f t="shared" si="9"/>
        <v>333</v>
      </c>
      <c r="V22" s="19">
        <f t="shared" si="9"/>
        <v>308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441</v>
      </c>
      <c r="D23" s="19">
        <f>MAX(SUM(D$9:D$11),SUM(D$12:D$14))+$I$5*3</f>
        <v>566</v>
      </c>
      <c r="E23" s="19">
        <f t="shared" ref="E23:X23" si="10">MAX(SUM(E$9:E$11),SUM(E$12:E$14))+D18*3</f>
        <v>291</v>
      </c>
      <c r="F23" s="19">
        <f t="shared" si="10"/>
        <v>622</v>
      </c>
      <c r="G23" s="19">
        <f t="shared" si="10"/>
        <v>546</v>
      </c>
      <c r="H23" s="19">
        <f t="shared" si="10"/>
        <v>577</v>
      </c>
      <c r="I23" s="19">
        <f t="shared" si="10"/>
        <v>507</v>
      </c>
      <c r="J23" s="19">
        <f t="shared" si="10"/>
        <v>540</v>
      </c>
      <c r="K23" s="19">
        <f t="shared" si="10"/>
        <v>687</v>
      </c>
      <c r="L23" s="19">
        <f t="shared" si="10"/>
        <v>252</v>
      </c>
      <c r="M23" s="19">
        <f t="shared" si="10"/>
        <v>592</v>
      </c>
      <c r="N23" s="19">
        <f t="shared" si="10"/>
        <v>571</v>
      </c>
      <c r="O23" s="19">
        <f t="shared" si="10"/>
        <v>249</v>
      </c>
      <c r="P23" s="19">
        <f t="shared" si="10"/>
        <v>607</v>
      </c>
      <c r="Q23" s="19">
        <f t="shared" si="10"/>
        <v>246</v>
      </c>
      <c r="R23" s="19">
        <f t="shared" si="10"/>
        <v>246</v>
      </c>
      <c r="S23" s="19">
        <f t="shared" si="10"/>
        <v>246</v>
      </c>
      <c r="T23" s="19">
        <f t="shared" si="10"/>
        <v>538</v>
      </c>
      <c r="U23" s="19">
        <f t="shared" si="10"/>
        <v>582</v>
      </c>
      <c r="V23" s="19">
        <f t="shared" si="10"/>
        <v>557</v>
      </c>
      <c r="W23" s="19">
        <f t="shared" si="10"/>
        <v>249</v>
      </c>
      <c r="X23" s="19">
        <f t="shared" si="10"/>
        <v>249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84</v>
      </c>
      <c r="D27" s="107">
        <f>MAX($C20:D20)</f>
        <v>109</v>
      </c>
      <c r="E27" s="107">
        <f>MAX($C20:E20)</f>
        <v>109</v>
      </c>
      <c r="F27" s="107">
        <f>MAX($C20:F20)</f>
        <v>120</v>
      </c>
      <c r="G27" s="107">
        <f>MAX($C20:G20)</f>
        <v>149</v>
      </c>
      <c r="H27" s="107">
        <f>MAX($C20:H20)</f>
        <v>149</v>
      </c>
      <c r="I27" s="107">
        <f>MAX($C20:I20)</f>
        <v>149</v>
      </c>
      <c r="J27" s="107">
        <f>MAX($C20:J20)</f>
        <v>149</v>
      </c>
      <c r="K27" s="107">
        <f>MAX($C20:K20)</f>
        <v>164</v>
      </c>
      <c r="L27" s="107">
        <f>MAX($C20:L20)</f>
        <v>164</v>
      </c>
      <c r="M27" s="107">
        <f>MAX($C20:M20)</f>
        <v>164</v>
      </c>
      <c r="N27" s="107">
        <f>MAX($C20:N20)</f>
        <v>164</v>
      </c>
      <c r="O27" s="107">
        <f>MAX($C20:O20)</f>
        <v>164</v>
      </c>
      <c r="P27" s="107">
        <f>MAX($C20:P20)</f>
        <v>164</v>
      </c>
      <c r="Q27" s="107">
        <f>MAX($C20:Q20)</f>
        <v>164</v>
      </c>
      <c r="R27" s="107">
        <f>MAX($C20:R20)</f>
        <v>164</v>
      </c>
      <c r="S27" s="107">
        <f>MAX($C20:S20)</f>
        <v>164</v>
      </c>
      <c r="T27" s="107">
        <f>MAX($C20:T20)</f>
        <v>164</v>
      </c>
      <c r="U27" s="107">
        <f>MAX($C20:U20)</f>
        <v>164</v>
      </c>
      <c r="V27" s="107">
        <f>MAX($C20:V20)</f>
        <v>164</v>
      </c>
      <c r="W27" s="107">
        <f>MAX($C20:W20)</f>
        <v>164</v>
      </c>
      <c r="X27" s="107">
        <f>MAX($C20:X20)</f>
        <v>164</v>
      </c>
    </row>
    <row r="28" spans="1:25" ht="13.15" x14ac:dyDescent="0.4">
      <c r="A28">
        <v>22</v>
      </c>
      <c r="B28" s="151" t="s">
        <v>78</v>
      </c>
      <c r="C28" s="19">
        <f>MAX(C21)</f>
        <v>175</v>
      </c>
      <c r="D28" s="107">
        <f>MAX($C21:D21)</f>
        <v>200</v>
      </c>
      <c r="E28" s="107">
        <f>MAX($C21:E21)</f>
        <v>200</v>
      </c>
      <c r="F28" s="107">
        <f>MAX($C21:F21)</f>
        <v>217</v>
      </c>
      <c r="G28" s="107">
        <f>MAX($C21:G21)</f>
        <v>240</v>
      </c>
      <c r="H28" s="107">
        <f>MAX($C21:H21)</f>
        <v>240</v>
      </c>
      <c r="I28" s="107">
        <f>MAX($C21:I21)</f>
        <v>240</v>
      </c>
      <c r="J28" s="107">
        <f>MAX($C21:J21)</f>
        <v>240</v>
      </c>
      <c r="K28" s="107">
        <f>MAX($C21:K21)</f>
        <v>253</v>
      </c>
      <c r="L28" s="107">
        <f>MAX($C21:L21)</f>
        <v>253</v>
      </c>
      <c r="M28" s="107">
        <f>MAX($C21:M21)</f>
        <v>253</v>
      </c>
      <c r="N28" s="107">
        <f>MAX($C21:N21)</f>
        <v>253</v>
      </c>
      <c r="O28" s="107">
        <f>MAX($C21:O21)</f>
        <v>253</v>
      </c>
      <c r="P28" s="107">
        <f>MAX($C21:P21)</f>
        <v>253</v>
      </c>
      <c r="Q28" s="107">
        <f>MAX($C21:Q21)</f>
        <v>253</v>
      </c>
      <c r="R28" s="107">
        <f>MAX($C21:R21)</f>
        <v>253</v>
      </c>
      <c r="S28" s="107">
        <f>MAX($C21:S21)</f>
        <v>253</v>
      </c>
      <c r="T28" s="107">
        <f>MAX($C21:T21)</f>
        <v>253</v>
      </c>
      <c r="U28" s="107">
        <f>MAX($C21:U21)</f>
        <v>253</v>
      </c>
      <c r="V28" s="107">
        <f>MAX($C21:V21)</f>
        <v>253</v>
      </c>
      <c r="W28" s="107">
        <f>MAX($C21:W21)</f>
        <v>253</v>
      </c>
      <c r="X28" s="107">
        <f>MAX($C21:X21)</f>
        <v>253</v>
      </c>
    </row>
    <row r="29" spans="1:25" ht="26.25" x14ac:dyDescent="0.4">
      <c r="A29">
        <v>23</v>
      </c>
      <c r="B29" s="151" t="s">
        <v>79</v>
      </c>
      <c r="C29" s="19">
        <f>MAX(C22)</f>
        <v>168</v>
      </c>
      <c r="D29" s="107">
        <f>MAX($C22:D22)</f>
        <v>293</v>
      </c>
      <c r="E29" s="107">
        <f>MAX($C22:E22)</f>
        <v>293</v>
      </c>
      <c r="F29" s="107">
        <f>MAX($C22:F22)</f>
        <v>331</v>
      </c>
      <c r="G29" s="107">
        <f>MAX($C22:G22)</f>
        <v>331</v>
      </c>
      <c r="H29" s="107">
        <f>MAX($C22:H22)</f>
        <v>331</v>
      </c>
      <c r="I29" s="107">
        <f>MAX($C22:I22)</f>
        <v>331</v>
      </c>
      <c r="J29" s="107">
        <f>MAX($C22:J22)</f>
        <v>331</v>
      </c>
      <c r="K29" s="107">
        <f>MAX($C22:K22)</f>
        <v>420</v>
      </c>
      <c r="L29" s="107">
        <f>MAX($C22:L22)</f>
        <v>420</v>
      </c>
      <c r="M29" s="107">
        <f>MAX($C22:M22)</f>
        <v>420</v>
      </c>
      <c r="N29" s="107">
        <f>MAX($C22:N22)</f>
        <v>420</v>
      </c>
      <c r="O29" s="107">
        <f>MAX($C22:O22)</f>
        <v>420</v>
      </c>
      <c r="P29" s="107">
        <f>MAX($C22:P22)</f>
        <v>420</v>
      </c>
      <c r="Q29" s="107">
        <f>MAX($C22:Q22)</f>
        <v>420</v>
      </c>
      <c r="R29" s="107">
        <f>MAX($C22:R22)</f>
        <v>420</v>
      </c>
      <c r="S29" s="107">
        <f>MAX($C22:S22)</f>
        <v>420</v>
      </c>
      <c r="T29" s="107">
        <f>MAX($C22:T22)</f>
        <v>420</v>
      </c>
      <c r="U29" s="107">
        <f>MAX($C22:U22)</f>
        <v>420</v>
      </c>
      <c r="V29" s="107">
        <f>MAX($C22:V22)</f>
        <v>420</v>
      </c>
      <c r="W29" s="107">
        <f>MAX($C22:W22)</f>
        <v>420</v>
      </c>
      <c r="X29" s="107">
        <f>MAX($C22:X22)</f>
        <v>420</v>
      </c>
    </row>
    <row r="30" spans="1:25" ht="13.15" x14ac:dyDescent="0.4">
      <c r="A30">
        <v>24</v>
      </c>
      <c r="B30" s="151" t="s">
        <v>80</v>
      </c>
      <c r="C30" s="19">
        <f>MAX(C23)</f>
        <v>441</v>
      </c>
      <c r="D30" s="107">
        <f>MAX($C23:D23)</f>
        <v>566</v>
      </c>
      <c r="E30" s="107">
        <f>MAX($C23:E23)</f>
        <v>566</v>
      </c>
      <c r="F30" s="107">
        <f>MAX($C23:F23)</f>
        <v>622</v>
      </c>
      <c r="G30" s="107">
        <f>MAX($C23:G23)</f>
        <v>622</v>
      </c>
      <c r="H30" s="107">
        <f>MAX($C23:H23)</f>
        <v>622</v>
      </c>
      <c r="I30" s="107">
        <f>MAX($C23:I23)</f>
        <v>622</v>
      </c>
      <c r="J30" s="107">
        <f>MAX($C23:J23)</f>
        <v>622</v>
      </c>
      <c r="K30" s="107">
        <f>MAX($C23:K23)</f>
        <v>687</v>
      </c>
      <c r="L30" s="107">
        <f>MAX($C23:L23)</f>
        <v>687</v>
      </c>
      <c r="M30" s="107">
        <f>MAX($C23:M23)</f>
        <v>687</v>
      </c>
      <c r="N30" s="107">
        <f>MAX($C23:N23)</f>
        <v>687</v>
      </c>
      <c r="O30" s="107">
        <f>MAX($C23:O23)</f>
        <v>687</v>
      </c>
      <c r="P30" s="107">
        <f>MAX($C23:P23)</f>
        <v>687</v>
      </c>
      <c r="Q30" s="107">
        <f>MAX($C23:Q23)</f>
        <v>687</v>
      </c>
      <c r="R30" s="107">
        <f>MAX($C23:R23)</f>
        <v>687</v>
      </c>
      <c r="S30" s="107">
        <f>MAX($C23:S23)</f>
        <v>687</v>
      </c>
      <c r="T30" s="107">
        <f>MAX($C23:T23)</f>
        <v>687</v>
      </c>
      <c r="U30" s="107">
        <f>MAX($C23:U23)</f>
        <v>687</v>
      </c>
      <c r="V30" s="107">
        <f>MAX($C23:V23)</f>
        <v>687</v>
      </c>
      <c r="W30" s="107">
        <f>MAX($C23:W23)</f>
        <v>687</v>
      </c>
      <c r="X30" s="107">
        <f>MAX($C23:X23)</f>
        <v>687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318</v>
      </c>
      <c r="G2" s="240" t="s">
        <v>319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68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98</v>
      </c>
      <c r="F9">
        <v>113</v>
      </c>
      <c r="G9">
        <v>121</v>
      </c>
      <c r="H9">
        <v>109</v>
      </c>
      <c r="I9">
        <v>127</v>
      </c>
      <c r="J9">
        <v>116</v>
      </c>
      <c r="L9">
        <v>100</v>
      </c>
      <c r="N9">
        <v>129</v>
      </c>
      <c r="O9">
        <v>133</v>
      </c>
      <c r="Q9">
        <v>107</v>
      </c>
      <c r="R9">
        <v>92</v>
      </c>
      <c r="T9">
        <v>146</v>
      </c>
      <c r="V9">
        <v>129</v>
      </c>
    </row>
    <row r="10" spans="1:24" ht="13.15" x14ac:dyDescent="0.4">
      <c r="A10">
        <v>4</v>
      </c>
      <c r="B10" s="3" t="s">
        <v>15</v>
      </c>
      <c r="D10">
        <v>119</v>
      </c>
      <c r="F10">
        <v>114</v>
      </c>
      <c r="G10">
        <v>105</v>
      </c>
      <c r="H10">
        <v>98</v>
      </c>
      <c r="I10">
        <v>147</v>
      </c>
      <c r="J10">
        <v>152</v>
      </c>
      <c r="L10">
        <v>162</v>
      </c>
      <c r="N10">
        <v>155</v>
      </c>
      <c r="O10">
        <v>135</v>
      </c>
      <c r="Q10">
        <v>144</v>
      </c>
      <c r="R10">
        <v>141</v>
      </c>
      <c r="T10">
        <v>115</v>
      </c>
      <c r="V10">
        <v>154</v>
      </c>
    </row>
    <row r="11" spans="1:24" ht="13.15" x14ac:dyDescent="0.4">
      <c r="A11">
        <v>5</v>
      </c>
      <c r="B11" s="3" t="s">
        <v>16</v>
      </c>
      <c r="D11">
        <v>87</v>
      </c>
      <c r="F11">
        <v>124</v>
      </c>
      <c r="G11">
        <v>104</v>
      </c>
      <c r="H11">
        <v>139</v>
      </c>
      <c r="I11">
        <v>132</v>
      </c>
      <c r="J11">
        <v>121</v>
      </c>
      <c r="L11">
        <v>125</v>
      </c>
      <c r="N11">
        <v>105</v>
      </c>
      <c r="O11">
        <v>139</v>
      </c>
      <c r="Q11">
        <v>118</v>
      </c>
      <c r="R11">
        <v>120</v>
      </c>
      <c r="T11">
        <v>154</v>
      </c>
      <c r="V11">
        <v>115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304</v>
      </c>
      <c r="E15" s="18">
        <f t="shared" si="2"/>
        <v>0</v>
      </c>
      <c r="F15" s="18">
        <f t="shared" si="2"/>
        <v>351</v>
      </c>
      <c r="G15" s="18">
        <f t="shared" si="2"/>
        <v>330</v>
      </c>
      <c r="H15" s="18">
        <f t="shared" si="2"/>
        <v>346</v>
      </c>
      <c r="I15" s="18">
        <f t="shared" si="2"/>
        <v>406</v>
      </c>
      <c r="J15" s="18">
        <f t="shared" si="2"/>
        <v>389</v>
      </c>
      <c r="K15" s="18">
        <f t="shared" si="2"/>
        <v>0</v>
      </c>
      <c r="L15" s="18">
        <f t="shared" si="2"/>
        <v>387</v>
      </c>
      <c r="M15" s="18">
        <f t="shared" si="2"/>
        <v>0</v>
      </c>
      <c r="N15" s="18">
        <f t="shared" si="2"/>
        <v>389</v>
      </c>
      <c r="O15" s="18">
        <f t="shared" si="2"/>
        <v>407</v>
      </c>
      <c r="P15" s="18">
        <f t="shared" si="2"/>
        <v>0</v>
      </c>
      <c r="Q15" s="18">
        <f t="shared" si="2"/>
        <v>369</v>
      </c>
      <c r="R15" s="18">
        <f t="shared" si="2"/>
        <v>353</v>
      </c>
      <c r="S15" s="18">
        <f t="shared" si="2"/>
        <v>0</v>
      </c>
      <c r="T15" s="18">
        <f t="shared" si="2"/>
        <v>415</v>
      </c>
      <c r="U15" s="18">
        <f t="shared" si="2"/>
        <v>0</v>
      </c>
      <c r="V15" s="18">
        <f t="shared" si="2"/>
        <v>398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304</v>
      </c>
      <c r="E16" s="19">
        <f t="shared" si="3"/>
        <v>304</v>
      </c>
      <c r="F16" s="19">
        <f t="shared" si="3"/>
        <v>655</v>
      </c>
      <c r="G16" s="19">
        <f t="shared" si="3"/>
        <v>985</v>
      </c>
      <c r="H16" s="19">
        <f t="shared" si="3"/>
        <v>1331</v>
      </c>
      <c r="I16" s="19">
        <f t="shared" si="3"/>
        <v>1737</v>
      </c>
      <c r="J16" s="19">
        <f t="shared" si="3"/>
        <v>2126</v>
      </c>
      <c r="K16" s="19">
        <f t="shared" si="3"/>
        <v>2126</v>
      </c>
      <c r="L16" s="19">
        <f t="shared" si="3"/>
        <v>2513</v>
      </c>
      <c r="M16" s="19">
        <f t="shared" si="3"/>
        <v>2513</v>
      </c>
      <c r="N16" s="19">
        <f t="shared" si="3"/>
        <v>2902</v>
      </c>
      <c r="O16" s="19">
        <f t="shared" si="3"/>
        <v>3309</v>
      </c>
      <c r="P16" s="19">
        <f t="shared" si="3"/>
        <v>3309</v>
      </c>
      <c r="Q16" s="19">
        <f t="shared" si="3"/>
        <v>3678</v>
      </c>
      <c r="R16" s="19">
        <f t="shared" si="3"/>
        <v>4031</v>
      </c>
      <c r="S16" s="19">
        <f t="shared" si="3"/>
        <v>4031</v>
      </c>
      <c r="T16" s="19">
        <f t="shared" si="3"/>
        <v>4446</v>
      </c>
      <c r="U16" s="19">
        <f t="shared" si="3"/>
        <v>4446</v>
      </c>
      <c r="V16" s="19">
        <f t="shared" si="3"/>
        <v>4844</v>
      </c>
      <c r="W16" s="19">
        <f t="shared" si="3"/>
        <v>4844</v>
      </c>
      <c r="X16" s="19">
        <f t="shared" si="3"/>
        <v>4844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101.33333333333333</v>
      </c>
      <c r="E17" s="20">
        <f t="shared" si="4"/>
        <v>101.33333333333333</v>
      </c>
      <c r="F17" s="20">
        <f t="shared" si="4"/>
        <v>109.16666666666667</v>
      </c>
      <c r="G17" s="20">
        <f t="shared" si="4"/>
        <v>109.44444444444444</v>
      </c>
      <c r="H17" s="20">
        <f t="shared" si="4"/>
        <v>110.91666666666667</v>
      </c>
      <c r="I17" s="20">
        <f t="shared" si="4"/>
        <v>115.8</v>
      </c>
      <c r="J17" s="20">
        <f t="shared" si="4"/>
        <v>118.11111111111111</v>
      </c>
      <c r="K17" s="20">
        <f t="shared" si="4"/>
        <v>118.11111111111111</v>
      </c>
      <c r="L17" s="20">
        <f t="shared" si="4"/>
        <v>119.66666666666667</v>
      </c>
      <c r="M17" s="20">
        <f t="shared" si="4"/>
        <v>119.66666666666667</v>
      </c>
      <c r="N17" s="20">
        <f t="shared" si="4"/>
        <v>120.91666666666667</v>
      </c>
      <c r="O17" s="20">
        <f t="shared" si="4"/>
        <v>122.55555555555556</v>
      </c>
      <c r="P17" s="20">
        <f t="shared" si="4"/>
        <v>122.55555555555556</v>
      </c>
      <c r="Q17" s="20">
        <f t="shared" si="4"/>
        <v>122.6</v>
      </c>
      <c r="R17" s="20">
        <f t="shared" si="4"/>
        <v>122.15151515151516</v>
      </c>
      <c r="S17" s="20">
        <f t="shared" si="4"/>
        <v>122.15151515151516</v>
      </c>
      <c r="T17" s="20">
        <f t="shared" si="4"/>
        <v>123.5</v>
      </c>
      <c r="U17" s="20">
        <f t="shared" si="4"/>
        <v>123.5</v>
      </c>
      <c r="V17" s="20">
        <f t="shared" si="4"/>
        <v>124.2051282051282</v>
      </c>
      <c r="W17" s="20">
        <f t="shared" si="4"/>
        <v>124.2051282051282</v>
      </c>
      <c r="X17" s="20">
        <f t="shared" si="4"/>
        <v>124.2051282051282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89</v>
      </c>
      <c r="E18" s="19">
        <f t="shared" si="5"/>
        <v>89</v>
      </c>
      <c r="F18" s="19">
        <f t="shared" si="5"/>
        <v>82</v>
      </c>
      <c r="G18" s="19">
        <f t="shared" si="5"/>
        <v>82</v>
      </c>
      <c r="H18" s="19">
        <f t="shared" si="5"/>
        <v>80</v>
      </c>
      <c r="I18" s="19">
        <f t="shared" si="5"/>
        <v>76</v>
      </c>
      <c r="J18" s="19">
        <f t="shared" si="5"/>
        <v>74</v>
      </c>
      <c r="K18" s="19">
        <f t="shared" si="5"/>
        <v>74</v>
      </c>
      <c r="L18" s="19">
        <f t="shared" si="5"/>
        <v>72</v>
      </c>
      <c r="M18" s="19">
        <f t="shared" si="5"/>
        <v>72</v>
      </c>
      <c r="N18" s="19">
        <f t="shared" si="5"/>
        <v>71</v>
      </c>
      <c r="O18" s="19">
        <f t="shared" si="5"/>
        <v>70</v>
      </c>
      <c r="P18" s="19">
        <f t="shared" si="5"/>
        <v>70</v>
      </c>
      <c r="Q18" s="19">
        <f t="shared" si="5"/>
        <v>70</v>
      </c>
      <c r="R18" s="19">
        <f t="shared" si="5"/>
        <v>70</v>
      </c>
      <c r="S18" s="19">
        <f t="shared" si="5"/>
        <v>70</v>
      </c>
      <c r="T18" s="19">
        <f t="shared" si="5"/>
        <v>69</v>
      </c>
      <c r="U18" s="19">
        <f t="shared" si="5"/>
        <v>69</v>
      </c>
      <c r="V18" s="19">
        <f t="shared" si="5"/>
        <v>68</v>
      </c>
      <c r="W18" s="19">
        <f t="shared" si="5"/>
        <v>68</v>
      </c>
      <c r="X18" s="19">
        <f t="shared" si="5"/>
        <v>68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3</v>
      </c>
      <c r="F19" s="19">
        <f t="shared" si="6"/>
        <v>6</v>
      </c>
      <c r="G19" s="19">
        <f t="shared" si="6"/>
        <v>9</v>
      </c>
      <c r="H19" s="19">
        <f t="shared" si="6"/>
        <v>12</v>
      </c>
      <c r="I19" s="19">
        <f t="shared" si="6"/>
        <v>15</v>
      </c>
      <c r="J19" s="19">
        <f t="shared" si="6"/>
        <v>18</v>
      </c>
      <c r="K19" s="19">
        <f t="shared" si="6"/>
        <v>18</v>
      </c>
      <c r="L19" s="19">
        <f t="shared" si="6"/>
        <v>21</v>
      </c>
      <c r="M19" s="19">
        <f t="shared" si="6"/>
        <v>21</v>
      </c>
      <c r="N19" s="19">
        <f t="shared" si="6"/>
        <v>24</v>
      </c>
      <c r="O19" s="19">
        <f t="shared" si="6"/>
        <v>27</v>
      </c>
      <c r="P19" s="19">
        <f t="shared" si="6"/>
        <v>27</v>
      </c>
      <c r="Q19" s="19">
        <f t="shared" si="6"/>
        <v>30</v>
      </c>
      <c r="R19" s="19">
        <f t="shared" si="6"/>
        <v>33</v>
      </c>
      <c r="S19" s="19">
        <f t="shared" si="6"/>
        <v>33</v>
      </c>
      <c r="T19" s="19">
        <f t="shared" si="6"/>
        <v>36</v>
      </c>
      <c r="U19" s="19">
        <f t="shared" si="6"/>
        <v>36</v>
      </c>
      <c r="V19" s="19">
        <f t="shared" si="6"/>
        <v>39</v>
      </c>
      <c r="W19" s="19">
        <f t="shared" si="6"/>
        <v>39</v>
      </c>
      <c r="X19" s="19">
        <f t="shared" si="6"/>
        <v>39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119</v>
      </c>
      <c r="E20" s="19">
        <f t="shared" si="7"/>
        <v>0</v>
      </c>
      <c r="F20" s="19">
        <f t="shared" si="7"/>
        <v>124</v>
      </c>
      <c r="G20" s="19">
        <f t="shared" si="7"/>
        <v>121</v>
      </c>
      <c r="H20" s="19">
        <f t="shared" si="7"/>
        <v>139</v>
      </c>
      <c r="I20" s="19">
        <f t="shared" si="7"/>
        <v>147</v>
      </c>
      <c r="J20" s="19">
        <f t="shared" si="7"/>
        <v>152</v>
      </c>
      <c r="K20" s="19">
        <f t="shared" si="7"/>
        <v>0</v>
      </c>
      <c r="L20" s="19">
        <f t="shared" si="7"/>
        <v>162</v>
      </c>
      <c r="M20" s="19">
        <f t="shared" si="7"/>
        <v>0</v>
      </c>
      <c r="N20" s="19">
        <f t="shared" si="7"/>
        <v>155</v>
      </c>
      <c r="O20" s="19">
        <f t="shared" si="7"/>
        <v>139</v>
      </c>
      <c r="P20" s="19">
        <f t="shared" si="7"/>
        <v>0</v>
      </c>
      <c r="Q20" s="19">
        <f t="shared" si="7"/>
        <v>144</v>
      </c>
      <c r="R20" s="19">
        <f t="shared" si="7"/>
        <v>141</v>
      </c>
      <c r="S20" s="19">
        <f t="shared" si="7"/>
        <v>0</v>
      </c>
      <c r="T20" s="19">
        <f t="shared" si="7"/>
        <v>154</v>
      </c>
      <c r="U20" s="19">
        <f t="shared" si="7"/>
        <v>0</v>
      </c>
      <c r="V20" s="19">
        <f t="shared" si="7"/>
        <v>154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0</v>
      </c>
      <c r="D21" s="19">
        <f>MAX(D$9:D$14)+D18</f>
        <v>208</v>
      </c>
      <c r="E21" s="19">
        <f t="shared" ref="E21:X21" si="8">MAX(E$9:E$14)+D18</f>
        <v>89</v>
      </c>
      <c r="F21" s="19">
        <f t="shared" si="8"/>
        <v>213</v>
      </c>
      <c r="G21" s="19">
        <f t="shared" si="8"/>
        <v>203</v>
      </c>
      <c r="H21" s="19">
        <f t="shared" si="8"/>
        <v>221</v>
      </c>
      <c r="I21" s="19">
        <f t="shared" si="8"/>
        <v>227</v>
      </c>
      <c r="J21" s="19">
        <f t="shared" si="8"/>
        <v>228</v>
      </c>
      <c r="K21" s="19">
        <f t="shared" si="8"/>
        <v>74</v>
      </c>
      <c r="L21" s="19">
        <f t="shared" si="8"/>
        <v>236</v>
      </c>
      <c r="M21" s="19">
        <f t="shared" si="8"/>
        <v>72</v>
      </c>
      <c r="N21" s="19">
        <f t="shared" si="8"/>
        <v>227</v>
      </c>
      <c r="O21" s="19">
        <f t="shared" si="8"/>
        <v>210</v>
      </c>
      <c r="P21" s="19">
        <f t="shared" si="8"/>
        <v>70</v>
      </c>
      <c r="Q21" s="19">
        <f t="shared" si="8"/>
        <v>214</v>
      </c>
      <c r="R21" s="19">
        <f t="shared" si="8"/>
        <v>211</v>
      </c>
      <c r="S21" s="19">
        <f t="shared" si="8"/>
        <v>70</v>
      </c>
      <c r="T21" s="19">
        <f t="shared" si="8"/>
        <v>224</v>
      </c>
      <c r="U21" s="19">
        <f t="shared" si="8"/>
        <v>69</v>
      </c>
      <c r="V21" s="19">
        <f t="shared" si="8"/>
        <v>223</v>
      </c>
      <c r="W21" s="19">
        <f t="shared" si="8"/>
        <v>68</v>
      </c>
      <c r="X21" s="19">
        <f t="shared" si="8"/>
        <v>68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304</v>
      </c>
      <c r="E22" s="19">
        <f t="shared" si="9"/>
        <v>0</v>
      </c>
      <c r="F22" s="19">
        <f t="shared" si="9"/>
        <v>351</v>
      </c>
      <c r="G22" s="19">
        <f t="shared" si="9"/>
        <v>330</v>
      </c>
      <c r="H22" s="19">
        <f t="shared" si="9"/>
        <v>346</v>
      </c>
      <c r="I22" s="19">
        <f t="shared" si="9"/>
        <v>406</v>
      </c>
      <c r="J22" s="19">
        <f t="shared" si="9"/>
        <v>389</v>
      </c>
      <c r="K22" s="19">
        <f t="shared" si="9"/>
        <v>0</v>
      </c>
      <c r="L22" s="19">
        <f t="shared" si="9"/>
        <v>387</v>
      </c>
      <c r="M22" s="19">
        <f t="shared" si="9"/>
        <v>0</v>
      </c>
      <c r="N22" s="19">
        <f t="shared" si="9"/>
        <v>389</v>
      </c>
      <c r="O22" s="19">
        <f t="shared" si="9"/>
        <v>407</v>
      </c>
      <c r="P22" s="19">
        <f t="shared" si="9"/>
        <v>0</v>
      </c>
      <c r="Q22" s="19">
        <f t="shared" si="9"/>
        <v>369</v>
      </c>
      <c r="R22" s="19">
        <f t="shared" si="9"/>
        <v>353</v>
      </c>
      <c r="S22" s="19">
        <f t="shared" si="9"/>
        <v>0</v>
      </c>
      <c r="T22" s="19">
        <f t="shared" si="9"/>
        <v>415</v>
      </c>
      <c r="U22" s="19">
        <f t="shared" si="9"/>
        <v>0</v>
      </c>
      <c r="V22" s="19">
        <f t="shared" si="9"/>
        <v>398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0</v>
      </c>
      <c r="D23" s="308">
        <f>MAX(SUM(D$9:D$11),SUM(D$12:D$14))+D18*3</f>
        <v>571</v>
      </c>
      <c r="E23" s="19">
        <f t="shared" ref="E23:X23" si="10">MAX(SUM(E$9:E$11),SUM(E$12:E$14))+D18*3</f>
        <v>267</v>
      </c>
      <c r="F23" s="19">
        <f t="shared" si="10"/>
        <v>618</v>
      </c>
      <c r="G23" s="19">
        <f t="shared" si="10"/>
        <v>576</v>
      </c>
      <c r="H23" s="19">
        <f t="shared" si="10"/>
        <v>592</v>
      </c>
      <c r="I23" s="19">
        <f t="shared" si="10"/>
        <v>646</v>
      </c>
      <c r="J23" s="19">
        <f t="shared" si="10"/>
        <v>617</v>
      </c>
      <c r="K23" s="19">
        <f t="shared" si="10"/>
        <v>222</v>
      </c>
      <c r="L23" s="19">
        <f t="shared" si="10"/>
        <v>609</v>
      </c>
      <c r="M23" s="19">
        <f t="shared" si="10"/>
        <v>216</v>
      </c>
      <c r="N23" s="19">
        <f t="shared" si="10"/>
        <v>605</v>
      </c>
      <c r="O23" s="19">
        <f t="shared" si="10"/>
        <v>620</v>
      </c>
      <c r="P23" s="19">
        <f t="shared" si="10"/>
        <v>210</v>
      </c>
      <c r="Q23" s="19">
        <f t="shared" si="10"/>
        <v>579</v>
      </c>
      <c r="R23" s="19">
        <f t="shared" si="10"/>
        <v>563</v>
      </c>
      <c r="S23" s="19">
        <f t="shared" si="10"/>
        <v>210</v>
      </c>
      <c r="T23" s="19">
        <f t="shared" si="10"/>
        <v>625</v>
      </c>
      <c r="U23" s="19">
        <f t="shared" si="10"/>
        <v>207</v>
      </c>
      <c r="V23" s="19">
        <f t="shared" si="10"/>
        <v>605</v>
      </c>
      <c r="W23" s="19">
        <f t="shared" si="10"/>
        <v>204</v>
      </c>
      <c r="X23" s="19">
        <f t="shared" si="10"/>
        <v>204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119</v>
      </c>
      <c r="E27" s="107">
        <f>MAX($C20:E20)</f>
        <v>119</v>
      </c>
      <c r="F27" s="107">
        <f>MAX($C20:F20)</f>
        <v>124</v>
      </c>
      <c r="G27" s="107">
        <f>MAX($C20:G20)</f>
        <v>124</v>
      </c>
      <c r="H27" s="107">
        <f>MAX($C20:H20)</f>
        <v>139</v>
      </c>
      <c r="I27" s="107">
        <f>MAX($C20:I20)</f>
        <v>147</v>
      </c>
      <c r="J27" s="107">
        <f>MAX($C20:J20)</f>
        <v>152</v>
      </c>
      <c r="K27" s="107">
        <f>MAX($C20:K20)</f>
        <v>152</v>
      </c>
      <c r="L27" s="107">
        <f>MAX($C20:L20)</f>
        <v>162</v>
      </c>
      <c r="M27" s="107">
        <f>MAX($C20:M20)</f>
        <v>162</v>
      </c>
      <c r="N27" s="107">
        <f>MAX($C20:N20)</f>
        <v>162</v>
      </c>
      <c r="O27" s="107">
        <f>MAX($C20:O20)</f>
        <v>162</v>
      </c>
      <c r="P27" s="107">
        <f>MAX($C20:P20)</f>
        <v>162</v>
      </c>
      <c r="Q27" s="107">
        <f>MAX($C20:Q20)</f>
        <v>162</v>
      </c>
      <c r="R27" s="107">
        <f>MAX($C20:R20)</f>
        <v>162</v>
      </c>
      <c r="S27" s="107">
        <f>MAX($C20:S20)</f>
        <v>162</v>
      </c>
      <c r="T27" s="107">
        <f>MAX($C20:T20)</f>
        <v>162</v>
      </c>
      <c r="U27" s="107">
        <f>MAX($C20:U20)</f>
        <v>162</v>
      </c>
      <c r="V27" s="107">
        <f>MAX($C20:V20)</f>
        <v>162</v>
      </c>
      <c r="W27" s="107">
        <f>MAX($C20:W20)</f>
        <v>162</v>
      </c>
      <c r="X27" s="107">
        <f>MAX($C20:X20)</f>
        <v>162</v>
      </c>
    </row>
    <row r="28" spans="1:25" ht="13.15" x14ac:dyDescent="0.4">
      <c r="A28">
        <v>22</v>
      </c>
      <c r="B28" s="151" t="s">
        <v>78</v>
      </c>
      <c r="C28" s="19">
        <f>MAX(C21)</f>
        <v>0</v>
      </c>
      <c r="D28" s="107">
        <f>MAX($C21:D21)</f>
        <v>208</v>
      </c>
      <c r="E28" s="107">
        <f>MAX($C21:E21)</f>
        <v>208</v>
      </c>
      <c r="F28" s="107">
        <f>MAX($C21:F21)</f>
        <v>213</v>
      </c>
      <c r="G28" s="107">
        <f>MAX($C21:G21)</f>
        <v>213</v>
      </c>
      <c r="H28" s="107">
        <f>MAX($C21:H21)</f>
        <v>221</v>
      </c>
      <c r="I28" s="107">
        <f>MAX($C21:I21)</f>
        <v>227</v>
      </c>
      <c r="J28" s="107">
        <f>MAX($C21:J21)</f>
        <v>228</v>
      </c>
      <c r="K28" s="107">
        <f>MAX($C21:K21)</f>
        <v>228</v>
      </c>
      <c r="L28" s="107">
        <f>MAX($C21:L21)</f>
        <v>236</v>
      </c>
      <c r="M28" s="107">
        <f>MAX($C21:M21)</f>
        <v>236</v>
      </c>
      <c r="N28" s="107">
        <f>MAX($C21:N21)</f>
        <v>236</v>
      </c>
      <c r="O28" s="107">
        <f>MAX($C21:O21)</f>
        <v>236</v>
      </c>
      <c r="P28" s="107">
        <f>MAX($C21:P21)</f>
        <v>236</v>
      </c>
      <c r="Q28" s="107">
        <f>MAX($C21:Q21)</f>
        <v>236</v>
      </c>
      <c r="R28" s="107">
        <f>MAX($C21:R21)</f>
        <v>236</v>
      </c>
      <c r="S28" s="107">
        <f>MAX($C21:S21)</f>
        <v>236</v>
      </c>
      <c r="T28" s="107">
        <f>MAX($C21:T21)</f>
        <v>236</v>
      </c>
      <c r="U28" s="107">
        <f>MAX($C21:U21)</f>
        <v>236</v>
      </c>
      <c r="V28" s="107">
        <f>MAX($C21:V21)</f>
        <v>236</v>
      </c>
      <c r="W28" s="107">
        <f>MAX($C21:W21)</f>
        <v>236</v>
      </c>
      <c r="X28" s="107">
        <f>MAX($C21:X21)</f>
        <v>236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304</v>
      </c>
      <c r="E29" s="107">
        <f>MAX($C22:E22)</f>
        <v>304</v>
      </c>
      <c r="F29" s="107">
        <f>MAX($C22:F22)</f>
        <v>351</v>
      </c>
      <c r="G29" s="107">
        <f>MAX($C22:G22)</f>
        <v>351</v>
      </c>
      <c r="H29" s="107">
        <f>MAX($C22:H22)</f>
        <v>351</v>
      </c>
      <c r="I29" s="107">
        <f>MAX($C22:I22)</f>
        <v>406</v>
      </c>
      <c r="J29" s="107">
        <f>MAX($C22:J22)</f>
        <v>406</v>
      </c>
      <c r="K29" s="107">
        <f>MAX($C22:K22)</f>
        <v>406</v>
      </c>
      <c r="L29" s="107">
        <f>MAX($C22:L22)</f>
        <v>406</v>
      </c>
      <c r="M29" s="107">
        <f>MAX($C22:M22)</f>
        <v>406</v>
      </c>
      <c r="N29" s="107">
        <f>MAX($C22:N22)</f>
        <v>406</v>
      </c>
      <c r="O29" s="107">
        <f>MAX($C22:O22)</f>
        <v>407</v>
      </c>
      <c r="P29" s="107">
        <f>MAX($C22:P22)</f>
        <v>407</v>
      </c>
      <c r="Q29" s="107">
        <f>MAX($C22:Q22)</f>
        <v>407</v>
      </c>
      <c r="R29" s="107">
        <f>MAX($C22:R22)</f>
        <v>407</v>
      </c>
      <c r="S29" s="107">
        <f>MAX($C22:S22)</f>
        <v>407</v>
      </c>
      <c r="T29" s="107">
        <f>MAX($C22:T22)</f>
        <v>415</v>
      </c>
      <c r="U29" s="107">
        <f>MAX($C22:U22)</f>
        <v>415</v>
      </c>
      <c r="V29" s="107">
        <f>MAX($C22:V22)</f>
        <v>415</v>
      </c>
      <c r="W29" s="107">
        <f>MAX($C22:W22)</f>
        <v>415</v>
      </c>
      <c r="X29" s="107">
        <f>MAX($C22:X22)</f>
        <v>415</v>
      </c>
    </row>
    <row r="30" spans="1:25" ht="13.15" x14ac:dyDescent="0.4">
      <c r="A30">
        <v>24</v>
      </c>
      <c r="B30" s="151" t="s">
        <v>80</v>
      </c>
      <c r="C30" s="19">
        <f>MAX(C23)</f>
        <v>0</v>
      </c>
      <c r="D30" s="107">
        <f>MAX($C23:D23)</f>
        <v>571</v>
      </c>
      <c r="E30" s="107">
        <f>MAX($C23:E23)</f>
        <v>571</v>
      </c>
      <c r="F30" s="107">
        <f>MAX($C23:F23)</f>
        <v>618</v>
      </c>
      <c r="G30" s="107">
        <f>MAX($C23:G23)</f>
        <v>618</v>
      </c>
      <c r="H30" s="107">
        <f>MAX($C23:H23)</f>
        <v>618</v>
      </c>
      <c r="I30" s="107">
        <f>MAX($C23:I23)</f>
        <v>646</v>
      </c>
      <c r="J30" s="107">
        <f>MAX($C23:J23)</f>
        <v>646</v>
      </c>
      <c r="K30" s="107">
        <f>MAX($C23:K23)</f>
        <v>646</v>
      </c>
      <c r="L30" s="107">
        <f>MAX($C23:L23)</f>
        <v>646</v>
      </c>
      <c r="M30" s="107">
        <f>MAX($C23:M23)</f>
        <v>646</v>
      </c>
      <c r="N30" s="107">
        <f>MAX($C23:N23)</f>
        <v>646</v>
      </c>
      <c r="O30" s="107">
        <f>MAX($C23:O23)</f>
        <v>646</v>
      </c>
      <c r="P30" s="107">
        <f>MAX($C23:P23)</f>
        <v>646</v>
      </c>
      <c r="Q30" s="107">
        <f>MAX($C23:Q23)</f>
        <v>646</v>
      </c>
      <c r="R30" s="107">
        <f>MAX($C23:R23)</f>
        <v>646</v>
      </c>
      <c r="S30" s="107">
        <f>MAX($C23:S23)</f>
        <v>646</v>
      </c>
      <c r="T30" s="107">
        <f>MAX($C23:T23)</f>
        <v>646</v>
      </c>
      <c r="U30" s="107">
        <f>MAX($C23:U23)</f>
        <v>646</v>
      </c>
      <c r="V30" s="107">
        <f>MAX($C23:V23)</f>
        <v>646</v>
      </c>
      <c r="W30" s="107">
        <f>MAX($C23:W23)</f>
        <v>646</v>
      </c>
      <c r="X30" s="107">
        <f>MAX($C23:X23)</f>
        <v>646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201"/>
    </row>
    <row r="2" spans="1:24" ht="13.15" x14ac:dyDescent="0.4">
      <c r="B2" s="1" t="s">
        <v>1</v>
      </c>
      <c r="F2" s="202" t="s">
        <v>34</v>
      </c>
      <c r="G2" s="203" t="s">
        <v>25</v>
      </c>
      <c r="H2" s="224">
        <v>4</v>
      </c>
      <c r="I2" s="204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46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46</v>
      </c>
      <c r="D21" s="19">
        <f t="shared" si="8"/>
        <v>46</v>
      </c>
      <c r="E21" s="19">
        <f t="shared" si="8"/>
        <v>46</v>
      </c>
      <c r="F21" s="19">
        <f t="shared" si="8"/>
        <v>46</v>
      </c>
      <c r="G21" s="19">
        <f t="shared" si="8"/>
        <v>46</v>
      </c>
      <c r="H21" s="19">
        <f t="shared" si="8"/>
        <v>46</v>
      </c>
      <c r="I21" s="19">
        <f t="shared" si="8"/>
        <v>46</v>
      </c>
      <c r="J21" s="19">
        <f t="shared" si="8"/>
        <v>46</v>
      </c>
      <c r="K21" s="19">
        <f t="shared" si="8"/>
        <v>46</v>
      </c>
      <c r="L21" s="19">
        <f t="shared" si="8"/>
        <v>46</v>
      </c>
      <c r="M21" s="19">
        <f t="shared" si="8"/>
        <v>46</v>
      </c>
      <c r="N21" s="19">
        <f t="shared" si="8"/>
        <v>46</v>
      </c>
      <c r="O21" s="19">
        <f t="shared" si="8"/>
        <v>46</v>
      </c>
      <c r="P21" s="19">
        <f t="shared" si="8"/>
        <v>46</v>
      </c>
      <c r="Q21" s="19">
        <f t="shared" si="8"/>
        <v>46</v>
      </c>
      <c r="R21" s="19">
        <f t="shared" si="8"/>
        <v>46</v>
      </c>
      <c r="S21" s="19">
        <f t="shared" si="8"/>
        <v>46</v>
      </c>
      <c r="T21" s="19">
        <f t="shared" si="8"/>
        <v>46</v>
      </c>
      <c r="U21" s="19">
        <f t="shared" si="8"/>
        <v>46</v>
      </c>
      <c r="V21" s="19">
        <f t="shared" si="8"/>
        <v>46</v>
      </c>
      <c r="W21" s="19">
        <f t="shared" si="8"/>
        <v>46</v>
      </c>
      <c r="X21" s="19">
        <f t="shared" si="8"/>
        <v>46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138</v>
      </c>
      <c r="D23" s="19">
        <f t="shared" ref="D23:X23" si="10">MAX(SUM(D$9:D$11),SUM(D$12:D$14))+$I$5*3</f>
        <v>138</v>
      </c>
      <c r="E23" s="19">
        <f t="shared" si="10"/>
        <v>138</v>
      </c>
      <c r="F23" s="19">
        <f t="shared" si="10"/>
        <v>138</v>
      </c>
      <c r="G23" s="19">
        <f t="shared" si="10"/>
        <v>138</v>
      </c>
      <c r="H23" s="19">
        <f t="shared" si="10"/>
        <v>138</v>
      </c>
      <c r="I23" s="19">
        <f t="shared" si="10"/>
        <v>138</v>
      </c>
      <c r="J23" s="19">
        <f t="shared" si="10"/>
        <v>138</v>
      </c>
      <c r="K23" s="19">
        <f t="shared" si="10"/>
        <v>138</v>
      </c>
      <c r="L23" s="19">
        <f t="shared" si="10"/>
        <v>138</v>
      </c>
      <c r="M23" s="19">
        <f t="shared" si="10"/>
        <v>138</v>
      </c>
      <c r="N23" s="19">
        <f t="shared" si="10"/>
        <v>138</v>
      </c>
      <c r="O23" s="19">
        <f t="shared" si="10"/>
        <v>138</v>
      </c>
      <c r="P23" s="19">
        <f t="shared" si="10"/>
        <v>138</v>
      </c>
      <c r="Q23" s="19">
        <f t="shared" si="10"/>
        <v>138</v>
      </c>
      <c r="R23" s="19">
        <f t="shared" si="10"/>
        <v>138</v>
      </c>
      <c r="S23" s="19">
        <f t="shared" si="10"/>
        <v>138</v>
      </c>
      <c r="T23" s="19">
        <f t="shared" si="10"/>
        <v>138</v>
      </c>
      <c r="U23" s="19">
        <f t="shared" si="10"/>
        <v>138</v>
      </c>
      <c r="V23" s="19">
        <f t="shared" si="10"/>
        <v>138</v>
      </c>
      <c r="W23" s="19">
        <f t="shared" si="10"/>
        <v>138</v>
      </c>
      <c r="X23" s="19">
        <f t="shared" si="10"/>
        <v>138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46</v>
      </c>
      <c r="D28" s="107">
        <f>MAX($C21:D21)</f>
        <v>46</v>
      </c>
      <c r="E28" s="107">
        <f>MAX($C21:E21)</f>
        <v>46</v>
      </c>
      <c r="F28" s="107">
        <f>MAX($C21:F21)</f>
        <v>46</v>
      </c>
      <c r="G28" s="107">
        <f>MAX($C21:G21)</f>
        <v>46</v>
      </c>
      <c r="H28" s="107">
        <f>MAX($C21:H21)</f>
        <v>46</v>
      </c>
      <c r="I28" s="107">
        <f>MAX($C21:I21)</f>
        <v>46</v>
      </c>
      <c r="J28" s="107">
        <f>MAX($C21:J21)</f>
        <v>46</v>
      </c>
      <c r="K28" s="107">
        <f>MAX($C21:K21)</f>
        <v>46</v>
      </c>
      <c r="L28" s="107">
        <f>MAX($C21:L21)</f>
        <v>46</v>
      </c>
      <c r="M28" s="107">
        <f>MAX($C21:M21)</f>
        <v>46</v>
      </c>
      <c r="N28" s="107">
        <f>MAX($C21:N21)</f>
        <v>46</v>
      </c>
      <c r="O28" s="107">
        <f>MAX($C21:O21)</f>
        <v>46</v>
      </c>
      <c r="P28" s="107">
        <f>MAX($C21:P21)</f>
        <v>46</v>
      </c>
      <c r="Q28" s="107">
        <f>MAX($C21:Q21)</f>
        <v>46</v>
      </c>
      <c r="R28" s="107">
        <f>MAX($C21:R21)</f>
        <v>46</v>
      </c>
      <c r="S28" s="107">
        <f>MAX($C21:S21)</f>
        <v>46</v>
      </c>
      <c r="T28" s="107">
        <f>MAX($C21:T21)</f>
        <v>46</v>
      </c>
      <c r="U28" s="107">
        <f>MAX($C21:U21)</f>
        <v>46</v>
      </c>
      <c r="V28" s="107">
        <f>MAX($C21:V21)</f>
        <v>46</v>
      </c>
      <c r="W28" s="107">
        <f>MAX($C21:W21)</f>
        <v>46</v>
      </c>
      <c r="X28" s="107">
        <f>MAX($C21:X21)</f>
        <v>46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138</v>
      </c>
      <c r="D30" s="107">
        <f>MAX($C23:D23)</f>
        <v>138</v>
      </c>
      <c r="E30" s="107">
        <f>MAX($C23:E23)</f>
        <v>138</v>
      </c>
      <c r="F30" s="107">
        <f>MAX($C23:F23)</f>
        <v>138</v>
      </c>
      <c r="G30" s="107">
        <f>MAX($C23:G23)</f>
        <v>138</v>
      </c>
      <c r="H30" s="107">
        <f>MAX($C23:H23)</f>
        <v>138</v>
      </c>
      <c r="I30" s="107">
        <f>MAX($C23:I23)</f>
        <v>138</v>
      </c>
      <c r="J30" s="107">
        <f>MAX($C23:J23)</f>
        <v>138</v>
      </c>
      <c r="K30" s="107">
        <f>MAX($C23:K23)</f>
        <v>138</v>
      </c>
      <c r="L30" s="107">
        <f>MAX($C23:L23)</f>
        <v>138</v>
      </c>
      <c r="M30" s="107">
        <f>MAX($C23:M23)</f>
        <v>138</v>
      </c>
      <c r="N30" s="107">
        <f>MAX($C23:N23)</f>
        <v>138</v>
      </c>
      <c r="O30" s="107">
        <f>MAX($C23:O23)</f>
        <v>138</v>
      </c>
      <c r="P30" s="107">
        <f>MAX($C23:P23)</f>
        <v>138</v>
      </c>
      <c r="Q30" s="107">
        <f>MAX($C23:Q23)</f>
        <v>138</v>
      </c>
      <c r="R30" s="107">
        <f>MAX($C23:R23)</f>
        <v>138</v>
      </c>
      <c r="S30" s="107">
        <f>MAX($C23:S23)</f>
        <v>138</v>
      </c>
      <c r="T30" s="107">
        <f>MAX($C23:T23)</f>
        <v>138</v>
      </c>
      <c r="U30" s="107">
        <f>MAX($C23:U23)</f>
        <v>138</v>
      </c>
      <c r="V30" s="107">
        <f>MAX($C23:V23)</f>
        <v>138</v>
      </c>
      <c r="W30" s="107">
        <f>MAX($C23:W23)</f>
        <v>138</v>
      </c>
      <c r="X30" s="107">
        <f>MAX($C23:X23)</f>
        <v>138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280</v>
      </c>
      <c r="G2" s="203" t="s">
        <v>269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93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93</v>
      </c>
      <c r="D21" s="19">
        <f t="shared" si="8"/>
        <v>93</v>
      </c>
      <c r="E21" s="19">
        <f t="shared" si="8"/>
        <v>93</v>
      </c>
      <c r="F21" s="19">
        <f t="shared" si="8"/>
        <v>93</v>
      </c>
      <c r="G21" s="19">
        <f t="shared" si="8"/>
        <v>93</v>
      </c>
      <c r="H21" s="19">
        <f t="shared" si="8"/>
        <v>93</v>
      </c>
      <c r="I21" s="19">
        <f t="shared" si="8"/>
        <v>93</v>
      </c>
      <c r="J21" s="19">
        <f t="shared" si="8"/>
        <v>93</v>
      </c>
      <c r="K21" s="19">
        <f t="shared" si="8"/>
        <v>93</v>
      </c>
      <c r="L21" s="19">
        <f t="shared" si="8"/>
        <v>93</v>
      </c>
      <c r="M21" s="19">
        <f t="shared" si="8"/>
        <v>93</v>
      </c>
      <c r="N21" s="19">
        <f t="shared" si="8"/>
        <v>93</v>
      </c>
      <c r="O21" s="19">
        <f t="shared" si="8"/>
        <v>93</v>
      </c>
      <c r="P21" s="19">
        <f t="shared" si="8"/>
        <v>93</v>
      </c>
      <c r="Q21" s="19">
        <f t="shared" si="8"/>
        <v>93</v>
      </c>
      <c r="R21" s="19">
        <f t="shared" si="8"/>
        <v>93</v>
      </c>
      <c r="S21" s="19">
        <f t="shared" si="8"/>
        <v>93</v>
      </c>
      <c r="T21" s="19">
        <f t="shared" si="8"/>
        <v>93</v>
      </c>
      <c r="U21" s="19">
        <f t="shared" si="8"/>
        <v>93</v>
      </c>
      <c r="V21" s="19">
        <f t="shared" si="8"/>
        <v>93</v>
      </c>
      <c r="W21" s="19">
        <f t="shared" si="8"/>
        <v>93</v>
      </c>
      <c r="X21" s="19">
        <f t="shared" si="8"/>
        <v>93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279</v>
      </c>
      <c r="D23" s="19">
        <f t="shared" ref="D23:X23" si="10">MAX(SUM(D$9:D$11),SUM(D$12:D$14))+$I$5*3</f>
        <v>279</v>
      </c>
      <c r="E23" s="19">
        <f t="shared" si="10"/>
        <v>279</v>
      </c>
      <c r="F23" s="19">
        <f t="shared" si="10"/>
        <v>279</v>
      </c>
      <c r="G23" s="19">
        <f t="shared" si="10"/>
        <v>279</v>
      </c>
      <c r="H23" s="19">
        <f t="shared" si="10"/>
        <v>279</v>
      </c>
      <c r="I23" s="19">
        <f t="shared" si="10"/>
        <v>279</v>
      </c>
      <c r="J23" s="19">
        <f t="shared" si="10"/>
        <v>279</v>
      </c>
      <c r="K23" s="19">
        <f t="shared" si="10"/>
        <v>279</v>
      </c>
      <c r="L23" s="19">
        <f t="shared" si="10"/>
        <v>279</v>
      </c>
      <c r="M23" s="19">
        <f t="shared" si="10"/>
        <v>279</v>
      </c>
      <c r="N23" s="19">
        <f t="shared" si="10"/>
        <v>279</v>
      </c>
      <c r="O23" s="19">
        <f t="shared" si="10"/>
        <v>279</v>
      </c>
      <c r="P23" s="19">
        <f t="shared" si="10"/>
        <v>279</v>
      </c>
      <c r="Q23" s="19">
        <f t="shared" si="10"/>
        <v>279</v>
      </c>
      <c r="R23" s="19">
        <f t="shared" si="10"/>
        <v>279</v>
      </c>
      <c r="S23" s="19">
        <f t="shared" si="10"/>
        <v>279</v>
      </c>
      <c r="T23" s="19">
        <f t="shared" si="10"/>
        <v>279</v>
      </c>
      <c r="U23" s="19">
        <f t="shared" si="10"/>
        <v>279</v>
      </c>
      <c r="V23" s="19">
        <f t="shared" si="10"/>
        <v>279</v>
      </c>
      <c r="W23" s="19">
        <f t="shared" si="10"/>
        <v>279</v>
      </c>
      <c r="X23" s="19">
        <f t="shared" si="10"/>
        <v>279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93</v>
      </c>
      <c r="D28" s="107">
        <f>MAX($C21:D21)</f>
        <v>93</v>
      </c>
      <c r="E28" s="107">
        <f>MAX($C21:E21)</f>
        <v>93</v>
      </c>
      <c r="F28" s="107">
        <f>MAX($C21:F21)</f>
        <v>93</v>
      </c>
      <c r="G28" s="107">
        <f>MAX($C21:G21)</f>
        <v>93</v>
      </c>
      <c r="H28" s="107">
        <f>MAX($C21:H21)</f>
        <v>93</v>
      </c>
      <c r="I28" s="107">
        <f>MAX($C21:I21)</f>
        <v>93</v>
      </c>
      <c r="J28" s="107">
        <f>MAX($C21:J21)</f>
        <v>93</v>
      </c>
      <c r="K28" s="107">
        <f>MAX($C21:K21)</f>
        <v>93</v>
      </c>
      <c r="L28" s="107">
        <f>MAX($C21:L21)</f>
        <v>93</v>
      </c>
      <c r="M28" s="107">
        <f>MAX($C21:M21)</f>
        <v>93</v>
      </c>
      <c r="N28" s="107">
        <f>MAX($C21:N21)</f>
        <v>93</v>
      </c>
      <c r="O28" s="107">
        <f>MAX($C21:O21)</f>
        <v>93</v>
      </c>
      <c r="P28" s="107">
        <f>MAX($C21:P21)</f>
        <v>93</v>
      </c>
      <c r="Q28" s="107">
        <f>MAX($C21:Q21)</f>
        <v>93</v>
      </c>
      <c r="R28" s="107">
        <f>MAX($C21:R21)</f>
        <v>93</v>
      </c>
      <c r="S28" s="107">
        <f>MAX($C21:S21)</f>
        <v>93</v>
      </c>
      <c r="T28" s="107">
        <f>MAX($C21:T21)</f>
        <v>93</v>
      </c>
      <c r="U28" s="107">
        <f>MAX($C21:U21)</f>
        <v>93</v>
      </c>
      <c r="V28" s="107">
        <f>MAX($C21:V21)</f>
        <v>93</v>
      </c>
      <c r="W28" s="107">
        <f>MAX($C21:W21)</f>
        <v>93</v>
      </c>
      <c r="X28" s="107">
        <f>MAX($C21:X21)</f>
        <v>93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279</v>
      </c>
      <c r="D30" s="107">
        <f>MAX($C23:D23)</f>
        <v>279</v>
      </c>
      <c r="E30" s="107">
        <f>MAX($C23:E23)</f>
        <v>279</v>
      </c>
      <c r="F30" s="107">
        <f>MAX($C23:F23)</f>
        <v>279</v>
      </c>
      <c r="G30" s="107">
        <f>MAX($C23:G23)</f>
        <v>279</v>
      </c>
      <c r="H30" s="107">
        <f>MAX($C23:H23)</f>
        <v>279</v>
      </c>
      <c r="I30" s="107">
        <f>MAX($C23:I23)</f>
        <v>279</v>
      </c>
      <c r="J30" s="107">
        <f>MAX($C23:J23)</f>
        <v>279</v>
      </c>
      <c r="K30" s="107">
        <f>MAX($C23:K23)</f>
        <v>279</v>
      </c>
      <c r="L30" s="107">
        <f>MAX($C23:L23)</f>
        <v>279</v>
      </c>
      <c r="M30" s="107">
        <f>MAX($C23:M23)</f>
        <v>279</v>
      </c>
      <c r="N30" s="107">
        <f>MAX($C23:N23)</f>
        <v>279</v>
      </c>
      <c r="O30" s="107">
        <f>MAX($C23:O23)</f>
        <v>279</v>
      </c>
      <c r="P30" s="107">
        <f>MAX($C23:P23)</f>
        <v>279</v>
      </c>
      <c r="Q30" s="107">
        <f>MAX($C23:Q23)</f>
        <v>279</v>
      </c>
      <c r="R30" s="107">
        <f>MAX($C23:R23)</f>
        <v>279</v>
      </c>
      <c r="S30" s="107">
        <f>MAX($C23:S23)</f>
        <v>279</v>
      </c>
      <c r="T30" s="107">
        <f>MAX($C23:T23)</f>
        <v>279</v>
      </c>
      <c r="U30" s="107">
        <f>MAX($C23:U23)</f>
        <v>279</v>
      </c>
      <c r="V30" s="107">
        <f>MAX($C23:V23)</f>
        <v>279</v>
      </c>
      <c r="W30" s="107">
        <f>MAX($C23:W23)</f>
        <v>279</v>
      </c>
      <c r="X30" s="107">
        <f>MAX($C23:X23)</f>
        <v>279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221</v>
      </c>
      <c r="G2" s="203" t="s">
        <v>222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86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86</v>
      </c>
      <c r="D21" s="19">
        <f t="shared" si="8"/>
        <v>86</v>
      </c>
      <c r="E21" s="19">
        <f t="shared" si="8"/>
        <v>86</v>
      </c>
      <c r="F21" s="19">
        <f t="shared" si="8"/>
        <v>86</v>
      </c>
      <c r="G21" s="19">
        <f t="shared" si="8"/>
        <v>86</v>
      </c>
      <c r="H21" s="19">
        <f t="shared" si="8"/>
        <v>86</v>
      </c>
      <c r="I21" s="19">
        <f t="shared" si="8"/>
        <v>86</v>
      </c>
      <c r="J21" s="19">
        <f t="shared" si="8"/>
        <v>86</v>
      </c>
      <c r="K21" s="19">
        <f t="shared" si="8"/>
        <v>86</v>
      </c>
      <c r="L21" s="19">
        <f t="shared" si="8"/>
        <v>86</v>
      </c>
      <c r="M21" s="19">
        <f t="shared" si="8"/>
        <v>86</v>
      </c>
      <c r="N21" s="19">
        <f t="shared" si="8"/>
        <v>86</v>
      </c>
      <c r="O21" s="19">
        <f t="shared" si="8"/>
        <v>86</v>
      </c>
      <c r="P21" s="19">
        <f t="shared" si="8"/>
        <v>86</v>
      </c>
      <c r="Q21" s="19">
        <f t="shared" si="8"/>
        <v>86</v>
      </c>
      <c r="R21" s="19">
        <f t="shared" si="8"/>
        <v>86</v>
      </c>
      <c r="S21" s="19">
        <f t="shared" si="8"/>
        <v>86</v>
      </c>
      <c r="T21" s="19">
        <f t="shared" si="8"/>
        <v>86</v>
      </c>
      <c r="U21" s="19">
        <f t="shared" si="8"/>
        <v>86</v>
      </c>
      <c r="V21" s="19">
        <f t="shared" si="8"/>
        <v>86</v>
      </c>
      <c r="W21" s="19">
        <f t="shared" si="8"/>
        <v>86</v>
      </c>
      <c r="X21" s="19">
        <f t="shared" si="8"/>
        <v>86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258</v>
      </c>
      <c r="D23" s="19">
        <f t="shared" ref="D23:X23" si="10">MAX(SUM(D$9:D$11),SUM(D$12:D$14))+$I$5*3</f>
        <v>258</v>
      </c>
      <c r="E23" s="19">
        <f t="shared" si="10"/>
        <v>258</v>
      </c>
      <c r="F23" s="19">
        <f t="shared" si="10"/>
        <v>258</v>
      </c>
      <c r="G23" s="19">
        <f t="shared" si="10"/>
        <v>258</v>
      </c>
      <c r="H23" s="19">
        <f t="shared" si="10"/>
        <v>258</v>
      </c>
      <c r="I23" s="19">
        <f t="shared" si="10"/>
        <v>258</v>
      </c>
      <c r="J23" s="19">
        <f t="shared" si="10"/>
        <v>258</v>
      </c>
      <c r="K23" s="19">
        <f t="shared" si="10"/>
        <v>258</v>
      </c>
      <c r="L23" s="19">
        <f t="shared" si="10"/>
        <v>258</v>
      </c>
      <c r="M23" s="19">
        <f t="shared" si="10"/>
        <v>258</v>
      </c>
      <c r="N23" s="19">
        <f t="shared" si="10"/>
        <v>258</v>
      </c>
      <c r="O23" s="19">
        <f t="shared" si="10"/>
        <v>258</v>
      </c>
      <c r="P23" s="19">
        <f t="shared" si="10"/>
        <v>258</v>
      </c>
      <c r="Q23" s="19">
        <f t="shared" si="10"/>
        <v>258</v>
      </c>
      <c r="R23" s="19">
        <f t="shared" si="10"/>
        <v>258</v>
      </c>
      <c r="S23" s="19">
        <f t="shared" si="10"/>
        <v>258</v>
      </c>
      <c r="T23" s="19">
        <f t="shared" si="10"/>
        <v>258</v>
      </c>
      <c r="U23" s="19">
        <f t="shared" si="10"/>
        <v>258</v>
      </c>
      <c r="V23" s="19">
        <f t="shared" si="10"/>
        <v>258</v>
      </c>
      <c r="W23" s="19">
        <f t="shared" si="10"/>
        <v>258</v>
      </c>
      <c r="X23" s="19">
        <f t="shared" si="10"/>
        <v>258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86</v>
      </c>
      <c r="D28" s="107">
        <f>MAX($C21:D21)</f>
        <v>86</v>
      </c>
      <c r="E28" s="107">
        <f>MAX($C21:E21)</f>
        <v>86</v>
      </c>
      <c r="F28" s="107">
        <f>MAX($C21:F21)</f>
        <v>86</v>
      </c>
      <c r="G28" s="107">
        <f>MAX($C21:G21)</f>
        <v>86</v>
      </c>
      <c r="H28" s="107">
        <f>MAX($C21:H21)</f>
        <v>86</v>
      </c>
      <c r="I28" s="107">
        <f>MAX($C21:I21)</f>
        <v>86</v>
      </c>
      <c r="J28" s="107">
        <f>MAX($C21:J21)</f>
        <v>86</v>
      </c>
      <c r="K28" s="107">
        <f>MAX($C21:K21)</f>
        <v>86</v>
      </c>
      <c r="L28" s="107">
        <f>MAX($C21:L21)</f>
        <v>86</v>
      </c>
      <c r="M28" s="107">
        <f>MAX($C21:M21)</f>
        <v>86</v>
      </c>
      <c r="N28" s="107">
        <f>MAX($C21:N21)</f>
        <v>86</v>
      </c>
      <c r="O28" s="107">
        <f>MAX($C21:O21)</f>
        <v>86</v>
      </c>
      <c r="P28" s="107">
        <f>MAX($C21:P21)</f>
        <v>86</v>
      </c>
      <c r="Q28" s="107">
        <f>MAX($C21:Q21)</f>
        <v>86</v>
      </c>
      <c r="R28" s="107">
        <f>MAX($C21:R21)</f>
        <v>86</v>
      </c>
      <c r="S28" s="107">
        <f>MAX($C21:S21)</f>
        <v>86</v>
      </c>
      <c r="T28" s="107">
        <f>MAX($C21:T21)</f>
        <v>86</v>
      </c>
      <c r="U28" s="107">
        <f>MAX($C21:U21)</f>
        <v>86</v>
      </c>
      <c r="V28" s="107">
        <f>MAX($C21:V21)</f>
        <v>86</v>
      </c>
      <c r="W28" s="107">
        <f>MAX($C21:W21)</f>
        <v>86</v>
      </c>
      <c r="X28" s="107">
        <f>MAX($C21:X21)</f>
        <v>86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258</v>
      </c>
      <c r="D30" s="107">
        <f>MAX($C23:D23)</f>
        <v>258</v>
      </c>
      <c r="E30" s="107">
        <f>MAX($C23:E23)</f>
        <v>258</v>
      </c>
      <c r="F30" s="107">
        <f>MAX($C23:F23)</f>
        <v>258</v>
      </c>
      <c r="G30" s="107">
        <f>MAX($C23:G23)</f>
        <v>258</v>
      </c>
      <c r="H30" s="107">
        <f>MAX($C23:H23)</f>
        <v>258</v>
      </c>
      <c r="I30" s="107">
        <f>MAX($C23:I23)</f>
        <v>258</v>
      </c>
      <c r="J30" s="107">
        <f>MAX($C23:J23)</f>
        <v>258</v>
      </c>
      <c r="K30" s="107">
        <f>MAX($C23:K23)</f>
        <v>258</v>
      </c>
      <c r="L30" s="107">
        <f>MAX($C23:L23)</f>
        <v>258</v>
      </c>
      <c r="M30" s="107">
        <f>MAX($C23:M23)</f>
        <v>258</v>
      </c>
      <c r="N30" s="107">
        <f>MAX($C23:N23)</f>
        <v>258</v>
      </c>
      <c r="O30" s="107">
        <f>MAX($C23:O23)</f>
        <v>258</v>
      </c>
      <c r="P30" s="107">
        <f>MAX($C23:P23)</f>
        <v>258</v>
      </c>
      <c r="Q30" s="107">
        <f>MAX($C23:Q23)</f>
        <v>258</v>
      </c>
      <c r="R30" s="107">
        <f>MAX($C23:R23)</f>
        <v>258</v>
      </c>
      <c r="S30" s="107">
        <f>MAX($C23:S23)</f>
        <v>258</v>
      </c>
      <c r="T30" s="107">
        <f>MAX($C23:T23)</f>
        <v>258</v>
      </c>
      <c r="U30" s="107">
        <f>MAX($C23:U23)</f>
        <v>258</v>
      </c>
      <c r="V30" s="107">
        <f>MAX($C23:V23)</f>
        <v>258</v>
      </c>
      <c r="W30" s="107">
        <f>MAX($C23:W23)</f>
        <v>258</v>
      </c>
      <c r="X30" s="107">
        <f>MAX($C23:X23)</f>
        <v>258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326</v>
      </c>
      <c r="G2" s="203" t="s">
        <v>314</v>
      </c>
      <c r="H2" s="224">
        <v>3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66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90</v>
      </c>
      <c r="D9">
        <v>95</v>
      </c>
      <c r="E9">
        <v>117</v>
      </c>
      <c r="G9">
        <v>118</v>
      </c>
      <c r="H9">
        <v>135</v>
      </c>
      <c r="I9">
        <v>125</v>
      </c>
      <c r="K9">
        <v>127</v>
      </c>
      <c r="L9">
        <v>167</v>
      </c>
      <c r="M9">
        <v>153</v>
      </c>
      <c r="N9">
        <v>114</v>
      </c>
      <c r="P9">
        <v>135</v>
      </c>
      <c r="Q9">
        <v>142</v>
      </c>
      <c r="R9">
        <v>126</v>
      </c>
      <c r="T9">
        <v>126</v>
      </c>
      <c r="U9">
        <v>155</v>
      </c>
      <c r="V9">
        <v>141</v>
      </c>
    </row>
    <row r="10" spans="1:24" ht="13.15" x14ac:dyDescent="0.4">
      <c r="A10">
        <v>4</v>
      </c>
      <c r="B10" s="3" t="s">
        <v>15</v>
      </c>
      <c r="C10">
        <v>130</v>
      </c>
      <c r="D10">
        <v>121</v>
      </c>
      <c r="E10">
        <v>122</v>
      </c>
      <c r="G10">
        <v>146</v>
      </c>
      <c r="H10">
        <v>146</v>
      </c>
      <c r="I10">
        <v>116</v>
      </c>
      <c r="K10">
        <v>154</v>
      </c>
      <c r="L10">
        <v>151</v>
      </c>
      <c r="M10">
        <v>130</v>
      </c>
      <c r="N10">
        <v>124</v>
      </c>
      <c r="P10">
        <v>110</v>
      </c>
      <c r="Q10">
        <v>127</v>
      </c>
      <c r="R10">
        <v>141</v>
      </c>
      <c r="T10">
        <v>113</v>
      </c>
      <c r="U10">
        <v>108</v>
      </c>
      <c r="V10">
        <v>109</v>
      </c>
    </row>
    <row r="11" spans="1:24" ht="13.15" x14ac:dyDescent="0.4">
      <c r="A11">
        <v>5</v>
      </c>
      <c r="B11" s="3" t="s">
        <v>16</v>
      </c>
      <c r="D11">
        <v>83</v>
      </c>
      <c r="E11">
        <v>142</v>
      </c>
      <c r="G11">
        <v>88</v>
      </c>
      <c r="H11">
        <v>145</v>
      </c>
      <c r="I11">
        <v>136</v>
      </c>
      <c r="K11">
        <v>93</v>
      </c>
      <c r="L11">
        <v>152</v>
      </c>
      <c r="M11">
        <v>115</v>
      </c>
      <c r="N11">
        <v>111</v>
      </c>
      <c r="P11">
        <v>122</v>
      </c>
      <c r="Q11">
        <v>135</v>
      </c>
      <c r="R11">
        <v>114</v>
      </c>
      <c r="T11">
        <v>158</v>
      </c>
      <c r="U11">
        <v>118</v>
      </c>
      <c r="V11">
        <v>145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220</v>
      </c>
      <c r="D15" s="18">
        <f t="shared" si="2"/>
        <v>299</v>
      </c>
      <c r="E15" s="18">
        <f t="shared" si="2"/>
        <v>381</v>
      </c>
      <c r="F15" s="18">
        <f t="shared" si="2"/>
        <v>0</v>
      </c>
      <c r="G15" s="18">
        <f t="shared" si="2"/>
        <v>352</v>
      </c>
      <c r="H15" s="18">
        <f t="shared" si="2"/>
        <v>426</v>
      </c>
      <c r="I15" s="18">
        <f t="shared" si="2"/>
        <v>377</v>
      </c>
      <c r="J15" s="18">
        <f t="shared" si="2"/>
        <v>0</v>
      </c>
      <c r="K15" s="18">
        <f t="shared" si="2"/>
        <v>374</v>
      </c>
      <c r="L15" s="18">
        <f t="shared" si="2"/>
        <v>470</v>
      </c>
      <c r="M15" s="18">
        <f t="shared" si="2"/>
        <v>398</v>
      </c>
      <c r="N15" s="18">
        <f t="shared" si="2"/>
        <v>349</v>
      </c>
      <c r="O15" s="18">
        <f t="shared" si="2"/>
        <v>0</v>
      </c>
      <c r="P15" s="18">
        <f t="shared" si="2"/>
        <v>367</v>
      </c>
      <c r="Q15" s="18">
        <f t="shared" si="2"/>
        <v>404</v>
      </c>
      <c r="R15" s="18">
        <f t="shared" si="2"/>
        <v>381</v>
      </c>
      <c r="S15" s="18">
        <f t="shared" si="2"/>
        <v>0</v>
      </c>
      <c r="T15" s="18">
        <f t="shared" si="2"/>
        <v>397</v>
      </c>
      <c r="U15" s="18">
        <f t="shared" si="2"/>
        <v>381</v>
      </c>
      <c r="V15" s="18">
        <f t="shared" si="2"/>
        <v>395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220</v>
      </c>
      <c r="D16" s="19">
        <f t="shared" ref="D16:X16" si="3">+D15+C16</f>
        <v>519</v>
      </c>
      <c r="E16" s="19">
        <f t="shared" si="3"/>
        <v>900</v>
      </c>
      <c r="F16" s="19">
        <f t="shared" si="3"/>
        <v>900</v>
      </c>
      <c r="G16" s="19">
        <f t="shared" si="3"/>
        <v>1252</v>
      </c>
      <c r="H16" s="19">
        <f t="shared" si="3"/>
        <v>1678</v>
      </c>
      <c r="I16" s="19">
        <f t="shared" si="3"/>
        <v>2055</v>
      </c>
      <c r="J16" s="19">
        <f t="shared" si="3"/>
        <v>2055</v>
      </c>
      <c r="K16" s="19">
        <f t="shared" si="3"/>
        <v>2429</v>
      </c>
      <c r="L16" s="19">
        <f t="shared" si="3"/>
        <v>2899</v>
      </c>
      <c r="M16" s="19">
        <f t="shared" si="3"/>
        <v>3297</v>
      </c>
      <c r="N16" s="19">
        <f t="shared" si="3"/>
        <v>3646</v>
      </c>
      <c r="O16" s="19">
        <f t="shared" si="3"/>
        <v>3646</v>
      </c>
      <c r="P16" s="19">
        <f t="shared" si="3"/>
        <v>4013</v>
      </c>
      <c r="Q16" s="19">
        <f t="shared" si="3"/>
        <v>4417</v>
      </c>
      <c r="R16" s="19">
        <f t="shared" si="3"/>
        <v>4798</v>
      </c>
      <c r="S16" s="19">
        <f t="shared" si="3"/>
        <v>4798</v>
      </c>
      <c r="T16" s="19">
        <f t="shared" si="3"/>
        <v>5195</v>
      </c>
      <c r="U16" s="19">
        <f t="shared" si="3"/>
        <v>5576</v>
      </c>
      <c r="V16" s="19">
        <f t="shared" si="3"/>
        <v>5971</v>
      </c>
      <c r="W16" s="19">
        <f t="shared" si="3"/>
        <v>5971</v>
      </c>
      <c r="X16" s="19">
        <f t="shared" si="3"/>
        <v>5971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110</v>
      </c>
      <c r="D17" s="20">
        <f t="shared" si="4"/>
        <v>103.8</v>
      </c>
      <c r="E17" s="20">
        <f t="shared" si="4"/>
        <v>112.5</v>
      </c>
      <c r="F17" s="20">
        <f t="shared" si="4"/>
        <v>112.5</v>
      </c>
      <c r="G17" s="20">
        <f t="shared" si="4"/>
        <v>113.81818181818181</v>
      </c>
      <c r="H17" s="20">
        <f t="shared" si="4"/>
        <v>119.85714285714286</v>
      </c>
      <c r="I17" s="20">
        <f t="shared" si="4"/>
        <v>120.88235294117646</v>
      </c>
      <c r="J17" s="20">
        <f t="shared" si="4"/>
        <v>120.88235294117646</v>
      </c>
      <c r="K17" s="20">
        <f t="shared" si="4"/>
        <v>121.45</v>
      </c>
      <c r="L17" s="20">
        <f t="shared" si="4"/>
        <v>126.04347826086956</v>
      </c>
      <c r="M17" s="20">
        <f t="shared" si="4"/>
        <v>126.80769230769231</v>
      </c>
      <c r="N17" s="20">
        <f t="shared" si="4"/>
        <v>125.72413793103448</v>
      </c>
      <c r="O17" s="20">
        <f t="shared" si="4"/>
        <v>125.72413793103448</v>
      </c>
      <c r="P17" s="20">
        <f t="shared" si="4"/>
        <v>125.40625</v>
      </c>
      <c r="Q17" s="20">
        <f t="shared" si="4"/>
        <v>126.2</v>
      </c>
      <c r="R17" s="20">
        <f t="shared" si="4"/>
        <v>126.26315789473684</v>
      </c>
      <c r="S17" s="20">
        <f t="shared" si="4"/>
        <v>126.26315789473684</v>
      </c>
      <c r="T17" s="20">
        <f t="shared" si="4"/>
        <v>126.70731707317073</v>
      </c>
      <c r="U17" s="20">
        <f t="shared" si="4"/>
        <v>126.72727272727273</v>
      </c>
      <c r="V17" s="20">
        <f t="shared" si="4"/>
        <v>127.04255319148936</v>
      </c>
      <c r="W17" s="20">
        <f t="shared" si="4"/>
        <v>127.04255319148936</v>
      </c>
      <c r="X17" s="20">
        <f t="shared" si="4"/>
        <v>127.04255319148936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81</v>
      </c>
      <c r="D18" s="19">
        <f t="shared" si="5"/>
        <v>87</v>
      </c>
      <c r="E18" s="19">
        <f t="shared" si="5"/>
        <v>79</v>
      </c>
      <c r="F18" s="19">
        <f t="shared" si="5"/>
        <v>79</v>
      </c>
      <c r="G18" s="19">
        <f t="shared" si="5"/>
        <v>78</v>
      </c>
      <c r="H18" s="19">
        <f t="shared" si="5"/>
        <v>72</v>
      </c>
      <c r="I18" s="19">
        <f t="shared" si="5"/>
        <v>71</v>
      </c>
      <c r="J18" s="19">
        <f t="shared" si="5"/>
        <v>71</v>
      </c>
      <c r="K18" s="19">
        <f t="shared" si="5"/>
        <v>71</v>
      </c>
      <c r="L18" s="19">
        <f t="shared" si="5"/>
        <v>67</v>
      </c>
      <c r="M18" s="19">
        <f t="shared" si="5"/>
        <v>66</v>
      </c>
      <c r="N18" s="19">
        <f t="shared" si="5"/>
        <v>67</v>
      </c>
      <c r="O18" s="19">
        <f t="shared" si="5"/>
        <v>67</v>
      </c>
      <c r="P18" s="19">
        <f t="shared" si="5"/>
        <v>67</v>
      </c>
      <c r="Q18" s="19">
        <f t="shared" si="5"/>
        <v>66</v>
      </c>
      <c r="R18" s="19">
        <f t="shared" si="5"/>
        <v>66</v>
      </c>
      <c r="S18" s="19">
        <f t="shared" si="5"/>
        <v>66</v>
      </c>
      <c r="T18" s="19">
        <f t="shared" si="5"/>
        <v>66</v>
      </c>
      <c r="U18" s="19">
        <f t="shared" si="5"/>
        <v>66</v>
      </c>
      <c r="V18" s="19">
        <f t="shared" si="5"/>
        <v>66</v>
      </c>
      <c r="W18" s="19">
        <f t="shared" si="5"/>
        <v>66</v>
      </c>
      <c r="X18" s="19">
        <f t="shared" si="5"/>
        <v>66</v>
      </c>
    </row>
    <row r="19" spans="1:25" ht="13.15" x14ac:dyDescent="0.4">
      <c r="A19">
        <v>13</v>
      </c>
      <c r="B19" s="4" t="s">
        <v>9</v>
      </c>
      <c r="C19" s="19">
        <f>COUNT(C9:C14)</f>
        <v>2</v>
      </c>
      <c r="D19" s="19">
        <f t="shared" ref="D19:X19" si="6">COUNT(D9:D14)+C19</f>
        <v>5</v>
      </c>
      <c r="E19" s="19">
        <f t="shared" si="6"/>
        <v>8</v>
      </c>
      <c r="F19" s="19">
        <f t="shared" si="6"/>
        <v>8</v>
      </c>
      <c r="G19" s="19">
        <f t="shared" si="6"/>
        <v>11</v>
      </c>
      <c r="H19" s="19">
        <f t="shared" si="6"/>
        <v>14</v>
      </c>
      <c r="I19" s="19">
        <f t="shared" si="6"/>
        <v>17</v>
      </c>
      <c r="J19" s="19">
        <f t="shared" si="6"/>
        <v>17</v>
      </c>
      <c r="K19" s="19">
        <f t="shared" si="6"/>
        <v>20</v>
      </c>
      <c r="L19" s="19">
        <f t="shared" si="6"/>
        <v>23</v>
      </c>
      <c r="M19" s="19">
        <f t="shared" si="6"/>
        <v>26</v>
      </c>
      <c r="N19" s="19">
        <f t="shared" si="6"/>
        <v>29</v>
      </c>
      <c r="O19" s="19">
        <f t="shared" si="6"/>
        <v>29</v>
      </c>
      <c r="P19" s="19">
        <f t="shared" si="6"/>
        <v>32</v>
      </c>
      <c r="Q19" s="19">
        <f t="shared" si="6"/>
        <v>35</v>
      </c>
      <c r="R19" s="19">
        <f t="shared" si="6"/>
        <v>38</v>
      </c>
      <c r="S19" s="19">
        <f t="shared" si="6"/>
        <v>38</v>
      </c>
      <c r="T19" s="19">
        <f t="shared" si="6"/>
        <v>41</v>
      </c>
      <c r="U19" s="19">
        <f t="shared" si="6"/>
        <v>44</v>
      </c>
      <c r="V19" s="19">
        <f t="shared" si="6"/>
        <v>47</v>
      </c>
      <c r="W19" s="19">
        <f t="shared" si="6"/>
        <v>47</v>
      </c>
      <c r="X19" s="19">
        <f t="shared" si="6"/>
        <v>47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130</v>
      </c>
      <c r="D20" s="19">
        <f t="shared" si="7"/>
        <v>121</v>
      </c>
      <c r="E20" s="19">
        <f t="shared" si="7"/>
        <v>142</v>
      </c>
      <c r="F20" s="19">
        <f t="shared" si="7"/>
        <v>0</v>
      </c>
      <c r="G20" s="19">
        <f t="shared" si="7"/>
        <v>146</v>
      </c>
      <c r="H20" s="19">
        <f t="shared" si="7"/>
        <v>146</v>
      </c>
      <c r="I20" s="19">
        <f t="shared" si="7"/>
        <v>136</v>
      </c>
      <c r="J20" s="19">
        <f t="shared" si="7"/>
        <v>0</v>
      </c>
      <c r="K20" s="19">
        <f t="shared" si="7"/>
        <v>154</v>
      </c>
      <c r="L20" s="19">
        <f t="shared" si="7"/>
        <v>167</v>
      </c>
      <c r="M20" s="19">
        <f t="shared" si="7"/>
        <v>153</v>
      </c>
      <c r="N20" s="19">
        <f t="shared" si="7"/>
        <v>124</v>
      </c>
      <c r="O20" s="19">
        <f t="shared" si="7"/>
        <v>0</v>
      </c>
      <c r="P20" s="19">
        <f t="shared" si="7"/>
        <v>135</v>
      </c>
      <c r="Q20" s="19">
        <f t="shared" si="7"/>
        <v>142</v>
      </c>
      <c r="R20" s="19">
        <f t="shared" si="7"/>
        <v>141</v>
      </c>
      <c r="S20" s="19">
        <f t="shared" si="7"/>
        <v>0</v>
      </c>
      <c r="T20" s="19">
        <f t="shared" si="7"/>
        <v>158</v>
      </c>
      <c r="U20" s="19">
        <f t="shared" si="7"/>
        <v>155</v>
      </c>
      <c r="V20" s="19">
        <f t="shared" si="7"/>
        <v>145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MAX(C$9:C$14)+C18</f>
        <v>211</v>
      </c>
      <c r="D21" s="19">
        <f t="shared" ref="D21" si="8">MAX(D$9:D$14)+C18</f>
        <v>202</v>
      </c>
      <c r="E21" s="19">
        <f t="shared" ref="E21:X21" si="9">MAX(E$9:E$14)+D18</f>
        <v>229</v>
      </c>
      <c r="F21" s="19">
        <f t="shared" si="9"/>
        <v>79</v>
      </c>
      <c r="G21" s="19">
        <f t="shared" si="9"/>
        <v>225</v>
      </c>
      <c r="H21" s="19">
        <f t="shared" si="9"/>
        <v>224</v>
      </c>
      <c r="I21" s="19">
        <f t="shared" si="9"/>
        <v>208</v>
      </c>
      <c r="J21" s="19">
        <f t="shared" si="9"/>
        <v>71</v>
      </c>
      <c r="K21" s="19">
        <f t="shared" si="9"/>
        <v>225</v>
      </c>
      <c r="L21" s="19">
        <f t="shared" si="9"/>
        <v>238</v>
      </c>
      <c r="M21" s="19">
        <f t="shared" si="9"/>
        <v>220</v>
      </c>
      <c r="N21" s="19">
        <f t="shared" si="9"/>
        <v>190</v>
      </c>
      <c r="O21" s="19">
        <f t="shared" si="9"/>
        <v>67</v>
      </c>
      <c r="P21" s="19">
        <f t="shared" si="9"/>
        <v>202</v>
      </c>
      <c r="Q21" s="19">
        <f t="shared" si="9"/>
        <v>209</v>
      </c>
      <c r="R21" s="19">
        <f t="shared" si="9"/>
        <v>207</v>
      </c>
      <c r="S21" s="19">
        <f t="shared" si="9"/>
        <v>66</v>
      </c>
      <c r="T21" s="19">
        <f t="shared" si="9"/>
        <v>224</v>
      </c>
      <c r="U21" s="19">
        <f t="shared" si="9"/>
        <v>221</v>
      </c>
      <c r="V21" s="19">
        <f t="shared" si="9"/>
        <v>211</v>
      </c>
      <c r="W21" s="19">
        <f t="shared" si="9"/>
        <v>66</v>
      </c>
      <c r="X21" s="19">
        <f t="shared" si="9"/>
        <v>66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220</v>
      </c>
      <c r="D22" s="19">
        <f t="shared" ref="D22:X22" si="10">MAX(SUM(D$9:D$11),SUM(D$12:D$14))</f>
        <v>299</v>
      </c>
      <c r="E22" s="19">
        <f t="shared" si="10"/>
        <v>381</v>
      </c>
      <c r="F22" s="19">
        <f t="shared" si="10"/>
        <v>0</v>
      </c>
      <c r="G22" s="19">
        <f t="shared" si="10"/>
        <v>352</v>
      </c>
      <c r="H22" s="19">
        <f t="shared" si="10"/>
        <v>426</v>
      </c>
      <c r="I22" s="19">
        <f t="shared" si="10"/>
        <v>377</v>
      </c>
      <c r="J22" s="19">
        <f t="shared" si="10"/>
        <v>0</v>
      </c>
      <c r="K22" s="19">
        <f t="shared" si="10"/>
        <v>374</v>
      </c>
      <c r="L22" s="19">
        <f t="shared" si="10"/>
        <v>470</v>
      </c>
      <c r="M22" s="19">
        <f t="shared" si="10"/>
        <v>398</v>
      </c>
      <c r="N22" s="19">
        <f t="shared" si="10"/>
        <v>349</v>
      </c>
      <c r="O22" s="19">
        <f t="shared" si="10"/>
        <v>0</v>
      </c>
      <c r="P22" s="19">
        <f t="shared" si="10"/>
        <v>367</v>
      </c>
      <c r="Q22" s="19">
        <f t="shared" si="10"/>
        <v>404</v>
      </c>
      <c r="R22" s="19">
        <f t="shared" si="10"/>
        <v>381</v>
      </c>
      <c r="S22" s="19">
        <f t="shared" si="10"/>
        <v>0</v>
      </c>
      <c r="T22" s="19">
        <f t="shared" si="10"/>
        <v>397</v>
      </c>
      <c r="U22" s="19">
        <f t="shared" si="10"/>
        <v>381</v>
      </c>
      <c r="V22" s="19">
        <f t="shared" si="10"/>
        <v>395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308">
        <f>MAX(SUM(C$9:C$11),SUM(C$12:C$14))+C18*3</f>
        <v>463</v>
      </c>
      <c r="D23" s="19">
        <f t="shared" ref="D23" si="11">MAX(SUM(D$9:D$11),SUM(D$12:D$14))+C18*3</f>
        <v>542</v>
      </c>
      <c r="E23" s="19">
        <f t="shared" ref="E23:X23" si="12">MAX(SUM(E$9:E$11),SUM(E$12:E$14))+D18*3</f>
        <v>642</v>
      </c>
      <c r="F23" s="19">
        <f t="shared" si="12"/>
        <v>237</v>
      </c>
      <c r="G23" s="19">
        <f t="shared" si="12"/>
        <v>589</v>
      </c>
      <c r="H23" s="19">
        <f t="shared" si="12"/>
        <v>660</v>
      </c>
      <c r="I23" s="19">
        <f t="shared" si="12"/>
        <v>593</v>
      </c>
      <c r="J23" s="19">
        <f t="shared" si="12"/>
        <v>213</v>
      </c>
      <c r="K23" s="19">
        <f t="shared" si="12"/>
        <v>587</v>
      </c>
      <c r="L23" s="19">
        <f t="shared" si="12"/>
        <v>683</v>
      </c>
      <c r="M23" s="19">
        <f t="shared" si="12"/>
        <v>599</v>
      </c>
      <c r="N23" s="19">
        <f t="shared" si="12"/>
        <v>547</v>
      </c>
      <c r="O23" s="19">
        <f t="shared" si="12"/>
        <v>201</v>
      </c>
      <c r="P23" s="19">
        <f t="shared" si="12"/>
        <v>568</v>
      </c>
      <c r="Q23" s="19">
        <f t="shared" si="12"/>
        <v>605</v>
      </c>
      <c r="R23" s="19">
        <f t="shared" si="12"/>
        <v>579</v>
      </c>
      <c r="S23" s="19">
        <f t="shared" si="12"/>
        <v>198</v>
      </c>
      <c r="T23" s="19">
        <f t="shared" si="12"/>
        <v>595</v>
      </c>
      <c r="U23" s="19">
        <f t="shared" si="12"/>
        <v>579</v>
      </c>
      <c r="V23" s="19">
        <f t="shared" si="12"/>
        <v>593</v>
      </c>
      <c r="W23" s="19">
        <f t="shared" si="12"/>
        <v>198</v>
      </c>
      <c r="X23" s="19">
        <f t="shared" si="12"/>
        <v>198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130</v>
      </c>
      <c r="D27" s="107">
        <f>MAX($C20:D20)</f>
        <v>130</v>
      </c>
      <c r="E27" s="107">
        <f>MAX($C20:E20)</f>
        <v>142</v>
      </c>
      <c r="F27" s="107">
        <f>MAX($C20:F20)</f>
        <v>142</v>
      </c>
      <c r="G27" s="107">
        <f>MAX($C20:G20)</f>
        <v>146</v>
      </c>
      <c r="H27" s="107">
        <f>MAX($C20:H20)</f>
        <v>146</v>
      </c>
      <c r="I27" s="107">
        <f>MAX($C20:I20)</f>
        <v>146</v>
      </c>
      <c r="J27" s="107">
        <f>MAX($C20:J20)</f>
        <v>146</v>
      </c>
      <c r="K27" s="107">
        <f>MAX($C20:K20)</f>
        <v>154</v>
      </c>
      <c r="L27" s="107">
        <f>MAX($C20:L20)</f>
        <v>167</v>
      </c>
      <c r="M27" s="107">
        <f>MAX($C20:M20)</f>
        <v>167</v>
      </c>
      <c r="N27" s="107">
        <f>MAX($C20:N20)</f>
        <v>167</v>
      </c>
      <c r="O27" s="107">
        <f>MAX($C20:O20)</f>
        <v>167</v>
      </c>
      <c r="P27" s="107">
        <f>MAX($C20:P20)</f>
        <v>167</v>
      </c>
      <c r="Q27" s="107">
        <f>MAX($C20:Q20)</f>
        <v>167</v>
      </c>
      <c r="R27" s="107">
        <f>MAX($C20:R20)</f>
        <v>167</v>
      </c>
      <c r="S27" s="107">
        <f>MAX($C20:S20)</f>
        <v>167</v>
      </c>
      <c r="T27" s="107">
        <f>MAX($C20:T20)</f>
        <v>167</v>
      </c>
      <c r="U27" s="107">
        <f>MAX($C20:U20)</f>
        <v>167</v>
      </c>
      <c r="V27" s="107">
        <f>MAX($C20:V20)</f>
        <v>167</v>
      </c>
      <c r="W27" s="107">
        <f>MAX($C20:W20)</f>
        <v>167</v>
      </c>
      <c r="X27" s="107">
        <f>MAX($C20:X20)</f>
        <v>167</v>
      </c>
    </row>
    <row r="28" spans="1:25" ht="13.15" x14ac:dyDescent="0.4">
      <c r="A28">
        <v>22</v>
      </c>
      <c r="B28" s="151" t="s">
        <v>78</v>
      </c>
      <c r="C28" s="19">
        <f>MAX(C21)</f>
        <v>211</v>
      </c>
      <c r="D28" s="107">
        <f>MAX($C21:D21)</f>
        <v>211</v>
      </c>
      <c r="E28" s="107">
        <f>MAX($C21:E21)</f>
        <v>229</v>
      </c>
      <c r="F28" s="107">
        <f>MAX($C21:F21)</f>
        <v>229</v>
      </c>
      <c r="G28" s="107">
        <f>MAX($C21:G21)</f>
        <v>229</v>
      </c>
      <c r="H28" s="107">
        <f>MAX($C21:H21)</f>
        <v>229</v>
      </c>
      <c r="I28" s="107">
        <f>MAX($C21:I21)</f>
        <v>229</v>
      </c>
      <c r="J28" s="107">
        <f>MAX($C21:J21)</f>
        <v>229</v>
      </c>
      <c r="K28" s="107">
        <f>MAX($C21:K21)</f>
        <v>229</v>
      </c>
      <c r="L28" s="107">
        <f>MAX($C21:L21)</f>
        <v>238</v>
      </c>
      <c r="M28" s="107">
        <f>MAX($C21:M21)</f>
        <v>238</v>
      </c>
      <c r="N28" s="107">
        <f>MAX($C21:N21)</f>
        <v>238</v>
      </c>
      <c r="O28" s="107">
        <f>MAX($C21:O21)</f>
        <v>238</v>
      </c>
      <c r="P28" s="107">
        <f>MAX($C21:P21)</f>
        <v>238</v>
      </c>
      <c r="Q28" s="107">
        <f>MAX($C21:Q21)</f>
        <v>238</v>
      </c>
      <c r="R28" s="107">
        <f>MAX($C21:R21)</f>
        <v>238</v>
      </c>
      <c r="S28" s="107">
        <f>MAX($C21:S21)</f>
        <v>238</v>
      </c>
      <c r="T28" s="107">
        <f>MAX($C21:T21)</f>
        <v>238</v>
      </c>
      <c r="U28" s="107">
        <f>MAX($C21:U21)</f>
        <v>238</v>
      </c>
      <c r="V28" s="107">
        <f>MAX($C21:V21)</f>
        <v>238</v>
      </c>
      <c r="W28" s="107">
        <f>MAX($C21:W21)</f>
        <v>238</v>
      </c>
      <c r="X28" s="107">
        <f>MAX($C21:X21)</f>
        <v>238</v>
      </c>
    </row>
    <row r="29" spans="1:25" ht="26.25" x14ac:dyDescent="0.4">
      <c r="A29">
        <v>23</v>
      </c>
      <c r="B29" s="151" t="s">
        <v>79</v>
      </c>
      <c r="C29" s="19">
        <f>MAX(C22)</f>
        <v>220</v>
      </c>
      <c r="D29" s="107">
        <f>MAX($C22:D22)</f>
        <v>299</v>
      </c>
      <c r="E29" s="107">
        <f>MAX($C22:E22)</f>
        <v>381</v>
      </c>
      <c r="F29" s="107">
        <f>MAX($C22:F22)</f>
        <v>381</v>
      </c>
      <c r="G29" s="107">
        <f>MAX($C22:G22)</f>
        <v>381</v>
      </c>
      <c r="H29" s="107">
        <f>MAX($C22:H22)</f>
        <v>426</v>
      </c>
      <c r="I29" s="107">
        <f>MAX($C22:I22)</f>
        <v>426</v>
      </c>
      <c r="J29" s="107">
        <f>MAX($C22:J22)</f>
        <v>426</v>
      </c>
      <c r="K29" s="107">
        <f>MAX($C22:K22)</f>
        <v>426</v>
      </c>
      <c r="L29" s="107">
        <f>MAX($C22:L22)</f>
        <v>470</v>
      </c>
      <c r="M29" s="107">
        <f>MAX($C22:M22)</f>
        <v>470</v>
      </c>
      <c r="N29" s="107">
        <f>MAX($C22:N22)</f>
        <v>470</v>
      </c>
      <c r="O29" s="107">
        <f>MAX($C22:O22)</f>
        <v>470</v>
      </c>
      <c r="P29" s="107">
        <f>MAX($C22:P22)</f>
        <v>470</v>
      </c>
      <c r="Q29" s="107">
        <f>MAX($C22:Q22)</f>
        <v>470</v>
      </c>
      <c r="R29" s="107">
        <f>MAX($C22:R22)</f>
        <v>470</v>
      </c>
      <c r="S29" s="107">
        <f>MAX($C22:S22)</f>
        <v>470</v>
      </c>
      <c r="T29" s="107">
        <f>MAX($C22:T22)</f>
        <v>470</v>
      </c>
      <c r="U29" s="107">
        <f>MAX($C22:U22)</f>
        <v>470</v>
      </c>
      <c r="V29" s="107">
        <f>MAX($C22:V22)</f>
        <v>470</v>
      </c>
      <c r="W29" s="107">
        <f>MAX($C22:W22)</f>
        <v>470</v>
      </c>
      <c r="X29" s="107">
        <f>MAX($C22:X22)</f>
        <v>470</v>
      </c>
    </row>
    <row r="30" spans="1:25" ht="13.15" x14ac:dyDescent="0.4">
      <c r="A30">
        <v>24</v>
      </c>
      <c r="B30" s="151" t="s">
        <v>80</v>
      </c>
      <c r="C30" s="19">
        <f>MAX(C23)</f>
        <v>463</v>
      </c>
      <c r="D30" s="107">
        <f>MAX($C23:D23)</f>
        <v>542</v>
      </c>
      <c r="E30" s="107">
        <f>MAX($C23:E23)</f>
        <v>642</v>
      </c>
      <c r="F30" s="107">
        <f>MAX($C23:F23)</f>
        <v>642</v>
      </c>
      <c r="G30" s="107">
        <f>MAX($C23:G23)</f>
        <v>642</v>
      </c>
      <c r="H30" s="107">
        <f>MAX($C23:H23)</f>
        <v>660</v>
      </c>
      <c r="I30" s="107">
        <f>MAX($C23:I23)</f>
        <v>660</v>
      </c>
      <c r="J30" s="107">
        <f>MAX($C23:J23)</f>
        <v>660</v>
      </c>
      <c r="K30" s="107">
        <f>MAX($C23:K23)</f>
        <v>660</v>
      </c>
      <c r="L30" s="107">
        <f>MAX($C23:L23)</f>
        <v>683</v>
      </c>
      <c r="M30" s="107">
        <f>MAX($C23:M23)</f>
        <v>683</v>
      </c>
      <c r="N30" s="107">
        <f>MAX($C23:N23)</f>
        <v>683</v>
      </c>
      <c r="O30" s="107">
        <f>MAX($C23:O23)</f>
        <v>683</v>
      </c>
      <c r="P30" s="107">
        <f>MAX($C23:P23)</f>
        <v>683</v>
      </c>
      <c r="Q30" s="107">
        <f>MAX($C23:Q23)</f>
        <v>683</v>
      </c>
      <c r="R30" s="107">
        <f>MAX($C23:R23)</f>
        <v>683</v>
      </c>
      <c r="S30" s="107">
        <f>MAX($C23:S23)</f>
        <v>683</v>
      </c>
      <c r="T30" s="107">
        <f>MAX($C23:T23)</f>
        <v>683</v>
      </c>
      <c r="U30" s="107">
        <f>MAX($C23:U23)</f>
        <v>683</v>
      </c>
      <c r="V30" s="107">
        <f>MAX($C23:V23)</f>
        <v>683</v>
      </c>
      <c r="W30" s="107">
        <f>MAX($C23:W23)</f>
        <v>683</v>
      </c>
      <c r="X30" s="107">
        <f>MAX($C23:X23)</f>
        <v>683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265</v>
      </c>
      <c r="G2" s="203" t="s">
        <v>266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49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49</v>
      </c>
      <c r="D21" s="19">
        <f t="shared" si="8"/>
        <v>49</v>
      </c>
      <c r="E21" s="19">
        <f t="shared" si="8"/>
        <v>49</v>
      </c>
      <c r="F21" s="19">
        <f t="shared" si="8"/>
        <v>49</v>
      </c>
      <c r="G21" s="19">
        <f t="shared" si="8"/>
        <v>49</v>
      </c>
      <c r="H21" s="19">
        <f t="shared" si="8"/>
        <v>49</v>
      </c>
      <c r="I21" s="19">
        <f t="shared" si="8"/>
        <v>49</v>
      </c>
      <c r="J21" s="19">
        <f t="shared" si="8"/>
        <v>49</v>
      </c>
      <c r="K21" s="19">
        <f t="shared" si="8"/>
        <v>49</v>
      </c>
      <c r="L21" s="19">
        <f t="shared" si="8"/>
        <v>49</v>
      </c>
      <c r="M21" s="19">
        <f t="shared" si="8"/>
        <v>49</v>
      </c>
      <c r="N21" s="19">
        <f t="shared" si="8"/>
        <v>49</v>
      </c>
      <c r="O21" s="19">
        <f t="shared" si="8"/>
        <v>49</v>
      </c>
      <c r="P21" s="19">
        <f t="shared" si="8"/>
        <v>49</v>
      </c>
      <c r="Q21" s="19">
        <f t="shared" si="8"/>
        <v>49</v>
      </c>
      <c r="R21" s="19">
        <f t="shared" si="8"/>
        <v>49</v>
      </c>
      <c r="S21" s="19">
        <f t="shared" si="8"/>
        <v>49</v>
      </c>
      <c r="T21" s="19">
        <f t="shared" si="8"/>
        <v>49</v>
      </c>
      <c r="U21" s="19">
        <f t="shared" si="8"/>
        <v>49</v>
      </c>
      <c r="V21" s="19">
        <f t="shared" si="8"/>
        <v>49</v>
      </c>
      <c r="W21" s="19">
        <f t="shared" si="8"/>
        <v>49</v>
      </c>
      <c r="X21" s="19">
        <f t="shared" si="8"/>
        <v>49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147</v>
      </c>
      <c r="D23" s="19">
        <f t="shared" ref="D23:X23" si="10">MAX(SUM(D$9:D$11),SUM(D$12:D$14))+$I$5*3</f>
        <v>147</v>
      </c>
      <c r="E23" s="19">
        <f t="shared" si="10"/>
        <v>147</v>
      </c>
      <c r="F23" s="19">
        <f t="shared" si="10"/>
        <v>147</v>
      </c>
      <c r="G23" s="19">
        <f t="shared" si="10"/>
        <v>147</v>
      </c>
      <c r="H23" s="19">
        <f t="shared" si="10"/>
        <v>147</v>
      </c>
      <c r="I23" s="19">
        <f t="shared" si="10"/>
        <v>147</v>
      </c>
      <c r="J23" s="19">
        <f t="shared" si="10"/>
        <v>147</v>
      </c>
      <c r="K23" s="19">
        <f t="shared" si="10"/>
        <v>147</v>
      </c>
      <c r="L23" s="19">
        <f t="shared" si="10"/>
        <v>147</v>
      </c>
      <c r="M23" s="19">
        <f t="shared" si="10"/>
        <v>147</v>
      </c>
      <c r="N23" s="19">
        <f t="shared" si="10"/>
        <v>147</v>
      </c>
      <c r="O23" s="19">
        <f t="shared" si="10"/>
        <v>147</v>
      </c>
      <c r="P23" s="19">
        <f t="shared" si="10"/>
        <v>147</v>
      </c>
      <c r="Q23" s="19">
        <f t="shared" si="10"/>
        <v>147</v>
      </c>
      <c r="R23" s="19">
        <f t="shared" si="10"/>
        <v>147</v>
      </c>
      <c r="S23" s="19">
        <f t="shared" si="10"/>
        <v>147</v>
      </c>
      <c r="T23" s="19">
        <f t="shared" si="10"/>
        <v>147</v>
      </c>
      <c r="U23" s="19">
        <f t="shared" si="10"/>
        <v>147</v>
      </c>
      <c r="V23" s="19">
        <f t="shared" si="10"/>
        <v>147</v>
      </c>
      <c r="W23" s="19">
        <f t="shared" si="10"/>
        <v>147</v>
      </c>
      <c r="X23" s="19">
        <f t="shared" si="10"/>
        <v>147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49</v>
      </c>
      <c r="D28" s="107">
        <f>MAX($C21:D21)</f>
        <v>49</v>
      </c>
      <c r="E28" s="107">
        <f>MAX($C21:E21)</f>
        <v>49</v>
      </c>
      <c r="F28" s="107">
        <f>MAX($C21:F21)</f>
        <v>49</v>
      </c>
      <c r="G28" s="107">
        <f>MAX($C21:G21)</f>
        <v>49</v>
      </c>
      <c r="H28" s="107">
        <f>MAX($C21:H21)</f>
        <v>49</v>
      </c>
      <c r="I28" s="107">
        <f>MAX($C21:I21)</f>
        <v>49</v>
      </c>
      <c r="J28" s="107">
        <f>MAX($C21:J21)</f>
        <v>49</v>
      </c>
      <c r="K28" s="107">
        <f>MAX($C21:K21)</f>
        <v>49</v>
      </c>
      <c r="L28" s="107">
        <f>MAX($C21:L21)</f>
        <v>49</v>
      </c>
      <c r="M28" s="107">
        <f>MAX($C21:M21)</f>
        <v>49</v>
      </c>
      <c r="N28" s="107">
        <f>MAX($C21:N21)</f>
        <v>49</v>
      </c>
      <c r="O28" s="107">
        <f>MAX($C21:O21)</f>
        <v>49</v>
      </c>
      <c r="P28" s="107">
        <f>MAX($C21:P21)</f>
        <v>49</v>
      </c>
      <c r="Q28" s="107">
        <f>MAX($C21:Q21)</f>
        <v>49</v>
      </c>
      <c r="R28" s="107">
        <f>MAX($C21:R21)</f>
        <v>49</v>
      </c>
      <c r="S28" s="107">
        <f>MAX($C21:S21)</f>
        <v>49</v>
      </c>
      <c r="T28" s="107">
        <f>MAX($C21:T21)</f>
        <v>49</v>
      </c>
      <c r="U28" s="107">
        <f>MAX($C21:U21)</f>
        <v>49</v>
      </c>
      <c r="V28" s="107">
        <f>MAX($C21:V21)</f>
        <v>49</v>
      </c>
      <c r="W28" s="107">
        <f>MAX($C21:W21)</f>
        <v>49</v>
      </c>
      <c r="X28" s="107">
        <f>MAX($C21:X21)</f>
        <v>49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147</v>
      </c>
      <c r="D30" s="107">
        <f>MAX($C23:D23)</f>
        <v>147</v>
      </c>
      <c r="E30" s="107">
        <f>MAX($C23:E23)</f>
        <v>147</v>
      </c>
      <c r="F30" s="107">
        <f>MAX($C23:F23)</f>
        <v>147</v>
      </c>
      <c r="G30" s="107">
        <f>MAX($C23:G23)</f>
        <v>147</v>
      </c>
      <c r="H30" s="107">
        <f>MAX($C23:H23)</f>
        <v>147</v>
      </c>
      <c r="I30" s="107">
        <f>MAX($C23:I23)</f>
        <v>147</v>
      </c>
      <c r="J30" s="107">
        <f>MAX($C23:J23)</f>
        <v>147</v>
      </c>
      <c r="K30" s="107">
        <f>MAX($C23:K23)</f>
        <v>147</v>
      </c>
      <c r="L30" s="107">
        <f>MAX($C23:L23)</f>
        <v>147</v>
      </c>
      <c r="M30" s="107">
        <f>MAX($C23:M23)</f>
        <v>147</v>
      </c>
      <c r="N30" s="107">
        <f>MAX($C23:N23)</f>
        <v>147</v>
      </c>
      <c r="O30" s="107">
        <f>MAX($C23:O23)</f>
        <v>147</v>
      </c>
      <c r="P30" s="107">
        <f>MAX($C23:P23)</f>
        <v>147</v>
      </c>
      <c r="Q30" s="107">
        <f>MAX($C23:Q23)</f>
        <v>147</v>
      </c>
      <c r="R30" s="107">
        <f>MAX($C23:R23)</f>
        <v>147</v>
      </c>
      <c r="S30" s="107">
        <f>MAX($C23:S23)</f>
        <v>147</v>
      </c>
      <c r="T30" s="107">
        <f>MAX($C23:T23)</f>
        <v>147</v>
      </c>
      <c r="U30" s="107">
        <f>MAX($C23:U23)</f>
        <v>147</v>
      </c>
      <c r="V30" s="107">
        <f>MAX($C23:V23)</f>
        <v>147</v>
      </c>
      <c r="W30" s="107">
        <f>MAX($C23:W23)</f>
        <v>147</v>
      </c>
      <c r="X30" s="107">
        <f>MAX($C23:X23)</f>
        <v>147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270</v>
      </c>
      <c r="G2" s="203" t="s">
        <v>271</v>
      </c>
      <c r="H2" s="224">
        <v>3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107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107</v>
      </c>
      <c r="D21" s="19">
        <f t="shared" si="8"/>
        <v>107</v>
      </c>
      <c r="E21" s="19">
        <f t="shared" si="8"/>
        <v>107</v>
      </c>
      <c r="F21" s="19">
        <f t="shared" si="8"/>
        <v>107</v>
      </c>
      <c r="G21" s="19">
        <f t="shared" si="8"/>
        <v>107</v>
      </c>
      <c r="H21" s="19">
        <f t="shared" si="8"/>
        <v>107</v>
      </c>
      <c r="I21" s="19">
        <f t="shared" si="8"/>
        <v>107</v>
      </c>
      <c r="J21" s="19">
        <f t="shared" si="8"/>
        <v>107</v>
      </c>
      <c r="K21" s="19">
        <f t="shared" si="8"/>
        <v>107</v>
      </c>
      <c r="L21" s="19">
        <f t="shared" si="8"/>
        <v>107</v>
      </c>
      <c r="M21" s="19">
        <f t="shared" si="8"/>
        <v>107</v>
      </c>
      <c r="N21" s="19">
        <f t="shared" si="8"/>
        <v>107</v>
      </c>
      <c r="O21" s="19">
        <f t="shared" si="8"/>
        <v>107</v>
      </c>
      <c r="P21" s="19">
        <f t="shared" si="8"/>
        <v>107</v>
      </c>
      <c r="Q21" s="19">
        <f t="shared" si="8"/>
        <v>107</v>
      </c>
      <c r="R21" s="19">
        <f t="shared" si="8"/>
        <v>107</v>
      </c>
      <c r="S21" s="19">
        <f t="shared" si="8"/>
        <v>107</v>
      </c>
      <c r="T21" s="19">
        <f t="shared" si="8"/>
        <v>107</v>
      </c>
      <c r="U21" s="19">
        <f t="shared" si="8"/>
        <v>107</v>
      </c>
      <c r="V21" s="19">
        <f t="shared" si="8"/>
        <v>107</v>
      </c>
      <c r="W21" s="19">
        <f t="shared" si="8"/>
        <v>107</v>
      </c>
      <c r="X21" s="19">
        <f t="shared" si="8"/>
        <v>107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321</v>
      </c>
      <c r="D23" s="19">
        <f t="shared" ref="D23:X23" si="10">MAX(SUM(D$9:D$11),SUM(D$12:D$14))+$I$5*3</f>
        <v>321</v>
      </c>
      <c r="E23" s="19">
        <f t="shared" si="10"/>
        <v>321</v>
      </c>
      <c r="F23" s="19">
        <f t="shared" si="10"/>
        <v>321</v>
      </c>
      <c r="G23" s="19">
        <f t="shared" si="10"/>
        <v>321</v>
      </c>
      <c r="H23" s="19">
        <f t="shared" si="10"/>
        <v>321</v>
      </c>
      <c r="I23" s="19">
        <f t="shared" si="10"/>
        <v>321</v>
      </c>
      <c r="J23" s="19">
        <f t="shared" si="10"/>
        <v>321</v>
      </c>
      <c r="K23" s="19">
        <f t="shared" si="10"/>
        <v>321</v>
      </c>
      <c r="L23" s="19">
        <f t="shared" si="10"/>
        <v>321</v>
      </c>
      <c r="M23" s="19">
        <f t="shared" si="10"/>
        <v>321</v>
      </c>
      <c r="N23" s="19">
        <f t="shared" si="10"/>
        <v>321</v>
      </c>
      <c r="O23" s="19">
        <f t="shared" si="10"/>
        <v>321</v>
      </c>
      <c r="P23" s="19">
        <f t="shared" si="10"/>
        <v>321</v>
      </c>
      <c r="Q23" s="19">
        <f t="shared" si="10"/>
        <v>321</v>
      </c>
      <c r="R23" s="19">
        <f t="shared" si="10"/>
        <v>321</v>
      </c>
      <c r="S23" s="19">
        <f t="shared" si="10"/>
        <v>321</v>
      </c>
      <c r="T23" s="19">
        <f t="shared" si="10"/>
        <v>321</v>
      </c>
      <c r="U23" s="19">
        <f t="shared" si="10"/>
        <v>321</v>
      </c>
      <c r="V23" s="19">
        <f t="shared" si="10"/>
        <v>321</v>
      </c>
      <c r="W23" s="19">
        <f t="shared" si="10"/>
        <v>321</v>
      </c>
      <c r="X23" s="19">
        <f t="shared" si="10"/>
        <v>321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107</v>
      </c>
      <c r="D28" s="107">
        <f>MAX($C21:D21)</f>
        <v>107</v>
      </c>
      <c r="E28" s="107">
        <f>MAX($C21:E21)</f>
        <v>107</v>
      </c>
      <c r="F28" s="107">
        <f>MAX($C21:F21)</f>
        <v>107</v>
      </c>
      <c r="G28" s="107">
        <f>MAX($C21:G21)</f>
        <v>107</v>
      </c>
      <c r="H28" s="107">
        <f>MAX($C21:H21)</f>
        <v>107</v>
      </c>
      <c r="I28" s="107">
        <f>MAX($C21:I21)</f>
        <v>107</v>
      </c>
      <c r="J28" s="107">
        <f>MAX($C21:J21)</f>
        <v>107</v>
      </c>
      <c r="K28" s="107">
        <f>MAX($C21:K21)</f>
        <v>107</v>
      </c>
      <c r="L28" s="107">
        <f>MAX($C21:L21)</f>
        <v>107</v>
      </c>
      <c r="M28" s="107">
        <f>MAX($C21:M21)</f>
        <v>107</v>
      </c>
      <c r="N28" s="107">
        <f>MAX($C21:N21)</f>
        <v>107</v>
      </c>
      <c r="O28" s="107">
        <f>MAX($C21:O21)</f>
        <v>107</v>
      </c>
      <c r="P28" s="107">
        <f>MAX($C21:P21)</f>
        <v>107</v>
      </c>
      <c r="Q28" s="107">
        <f>MAX($C21:Q21)</f>
        <v>107</v>
      </c>
      <c r="R28" s="107">
        <f>MAX($C21:R21)</f>
        <v>107</v>
      </c>
      <c r="S28" s="107">
        <f>MAX($C21:S21)</f>
        <v>107</v>
      </c>
      <c r="T28" s="107">
        <f>MAX($C21:T21)</f>
        <v>107</v>
      </c>
      <c r="U28" s="107">
        <f>MAX($C21:U21)</f>
        <v>107</v>
      </c>
      <c r="V28" s="107">
        <f>MAX($C21:V21)</f>
        <v>107</v>
      </c>
      <c r="W28" s="107">
        <f>MAX($C21:W21)</f>
        <v>107</v>
      </c>
      <c r="X28" s="107">
        <f>MAX($C21:X21)</f>
        <v>107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321</v>
      </c>
      <c r="D30" s="107">
        <f>MAX($C23:D23)</f>
        <v>321</v>
      </c>
      <c r="E30" s="107">
        <f>MAX($C23:E23)</f>
        <v>321</v>
      </c>
      <c r="F30" s="107">
        <f>MAX($C23:F23)</f>
        <v>321</v>
      </c>
      <c r="G30" s="107">
        <f>MAX($C23:G23)</f>
        <v>321</v>
      </c>
      <c r="H30" s="107">
        <f>MAX($C23:H23)</f>
        <v>321</v>
      </c>
      <c r="I30" s="107">
        <f>MAX($C23:I23)</f>
        <v>321</v>
      </c>
      <c r="J30" s="107">
        <f>MAX($C23:J23)</f>
        <v>321</v>
      </c>
      <c r="K30" s="107">
        <f>MAX($C23:K23)</f>
        <v>321</v>
      </c>
      <c r="L30" s="107">
        <f>MAX($C23:L23)</f>
        <v>321</v>
      </c>
      <c r="M30" s="107">
        <f>MAX($C23:M23)</f>
        <v>321</v>
      </c>
      <c r="N30" s="107">
        <f>MAX($C23:N23)</f>
        <v>321</v>
      </c>
      <c r="O30" s="107">
        <f>MAX($C23:O23)</f>
        <v>321</v>
      </c>
      <c r="P30" s="107">
        <f>MAX($C23:P23)</f>
        <v>321</v>
      </c>
      <c r="Q30" s="107">
        <f>MAX($C23:Q23)</f>
        <v>321</v>
      </c>
      <c r="R30" s="107">
        <f>MAX($C23:R23)</f>
        <v>321</v>
      </c>
      <c r="S30" s="107">
        <f>MAX($C23:S23)</f>
        <v>321</v>
      </c>
      <c r="T30" s="107">
        <f>MAX($C23:T23)</f>
        <v>321</v>
      </c>
      <c r="U30" s="107">
        <f>MAX($C23:U23)</f>
        <v>321</v>
      </c>
      <c r="V30" s="107">
        <f>MAX($C23:V23)</f>
        <v>321</v>
      </c>
      <c r="W30" s="107">
        <f>MAX($C23:W23)</f>
        <v>321</v>
      </c>
      <c r="X30" s="107">
        <f>MAX($C23:X23)</f>
        <v>321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282</v>
      </c>
      <c r="G2" s="203" t="s">
        <v>283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93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93</v>
      </c>
      <c r="D21" s="19">
        <f t="shared" si="8"/>
        <v>93</v>
      </c>
      <c r="E21" s="19">
        <f t="shared" si="8"/>
        <v>93</v>
      </c>
      <c r="F21" s="19">
        <f t="shared" si="8"/>
        <v>93</v>
      </c>
      <c r="G21" s="19">
        <f t="shared" si="8"/>
        <v>93</v>
      </c>
      <c r="H21" s="19">
        <f t="shared" si="8"/>
        <v>93</v>
      </c>
      <c r="I21" s="19">
        <f t="shared" si="8"/>
        <v>93</v>
      </c>
      <c r="J21" s="19">
        <f t="shared" si="8"/>
        <v>93</v>
      </c>
      <c r="K21" s="19">
        <f t="shared" si="8"/>
        <v>93</v>
      </c>
      <c r="L21" s="19">
        <f t="shared" si="8"/>
        <v>93</v>
      </c>
      <c r="M21" s="19">
        <f t="shared" si="8"/>
        <v>93</v>
      </c>
      <c r="N21" s="19">
        <f t="shared" si="8"/>
        <v>93</v>
      </c>
      <c r="O21" s="19">
        <f t="shared" si="8"/>
        <v>93</v>
      </c>
      <c r="P21" s="19">
        <f t="shared" si="8"/>
        <v>93</v>
      </c>
      <c r="Q21" s="19">
        <f t="shared" si="8"/>
        <v>93</v>
      </c>
      <c r="R21" s="19">
        <f t="shared" si="8"/>
        <v>93</v>
      </c>
      <c r="S21" s="19">
        <f t="shared" si="8"/>
        <v>93</v>
      </c>
      <c r="T21" s="19">
        <f t="shared" si="8"/>
        <v>93</v>
      </c>
      <c r="U21" s="19">
        <f t="shared" si="8"/>
        <v>93</v>
      </c>
      <c r="V21" s="19">
        <f t="shared" si="8"/>
        <v>93</v>
      </c>
      <c r="W21" s="19">
        <f t="shared" si="8"/>
        <v>93</v>
      </c>
      <c r="X21" s="19">
        <f t="shared" si="8"/>
        <v>93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279</v>
      </c>
      <c r="D23" s="19">
        <f t="shared" ref="D23:X23" si="10">MAX(SUM(D$9:D$11),SUM(D$12:D$14))+$I$5*3</f>
        <v>279</v>
      </c>
      <c r="E23" s="19">
        <f t="shared" si="10"/>
        <v>279</v>
      </c>
      <c r="F23" s="19">
        <f t="shared" si="10"/>
        <v>279</v>
      </c>
      <c r="G23" s="19">
        <f t="shared" si="10"/>
        <v>279</v>
      </c>
      <c r="H23" s="19">
        <f t="shared" si="10"/>
        <v>279</v>
      </c>
      <c r="I23" s="19">
        <f t="shared" si="10"/>
        <v>279</v>
      </c>
      <c r="J23" s="19">
        <f t="shared" si="10"/>
        <v>279</v>
      </c>
      <c r="K23" s="19">
        <f t="shared" si="10"/>
        <v>279</v>
      </c>
      <c r="L23" s="19">
        <f t="shared" si="10"/>
        <v>279</v>
      </c>
      <c r="M23" s="19">
        <f t="shared" si="10"/>
        <v>279</v>
      </c>
      <c r="N23" s="19">
        <f t="shared" si="10"/>
        <v>279</v>
      </c>
      <c r="O23" s="19">
        <f t="shared" si="10"/>
        <v>279</v>
      </c>
      <c r="P23" s="19">
        <f t="shared" si="10"/>
        <v>279</v>
      </c>
      <c r="Q23" s="19">
        <f t="shared" si="10"/>
        <v>279</v>
      </c>
      <c r="R23" s="19">
        <f t="shared" si="10"/>
        <v>279</v>
      </c>
      <c r="S23" s="19">
        <f t="shared" si="10"/>
        <v>279</v>
      </c>
      <c r="T23" s="19">
        <f t="shared" si="10"/>
        <v>279</v>
      </c>
      <c r="U23" s="19">
        <f t="shared" si="10"/>
        <v>279</v>
      </c>
      <c r="V23" s="19">
        <f t="shared" si="10"/>
        <v>279</v>
      </c>
      <c r="W23" s="19">
        <f t="shared" si="10"/>
        <v>279</v>
      </c>
      <c r="X23" s="19">
        <f t="shared" si="10"/>
        <v>279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93</v>
      </c>
      <c r="D28" s="107">
        <f>MAX($C21:D21)</f>
        <v>93</v>
      </c>
      <c r="E28" s="107">
        <f>MAX($C21:E21)</f>
        <v>93</v>
      </c>
      <c r="F28" s="107">
        <f>MAX($C21:F21)</f>
        <v>93</v>
      </c>
      <c r="G28" s="107">
        <f>MAX($C21:G21)</f>
        <v>93</v>
      </c>
      <c r="H28" s="107">
        <f>MAX($C21:H21)</f>
        <v>93</v>
      </c>
      <c r="I28" s="107">
        <f>MAX($C21:I21)</f>
        <v>93</v>
      </c>
      <c r="J28" s="107">
        <f>MAX($C21:J21)</f>
        <v>93</v>
      </c>
      <c r="K28" s="107">
        <f>MAX($C21:K21)</f>
        <v>93</v>
      </c>
      <c r="L28" s="107">
        <f>MAX($C21:L21)</f>
        <v>93</v>
      </c>
      <c r="M28" s="107">
        <f>MAX($C21:M21)</f>
        <v>93</v>
      </c>
      <c r="N28" s="107">
        <f>MAX($C21:N21)</f>
        <v>93</v>
      </c>
      <c r="O28" s="107">
        <f>MAX($C21:O21)</f>
        <v>93</v>
      </c>
      <c r="P28" s="107">
        <f>MAX($C21:P21)</f>
        <v>93</v>
      </c>
      <c r="Q28" s="107">
        <f>MAX($C21:Q21)</f>
        <v>93</v>
      </c>
      <c r="R28" s="107">
        <f>MAX($C21:R21)</f>
        <v>93</v>
      </c>
      <c r="S28" s="107">
        <f>MAX($C21:S21)</f>
        <v>93</v>
      </c>
      <c r="T28" s="107">
        <f>MAX($C21:T21)</f>
        <v>93</v>
      </c>
      <c r="U28" s="107">
        <f>MAX($C21:U21)</f>
        <v>93</v>
      </c>
      <c r="V28" s="107">
        <f>MAX($C21:V21)</f>
        <v>93</v>
      </c>
      <c r="W28" s="107">
        <f>MAX($C21:W21)</f>
        <v>93</v>
      </c>
      <c r="X28" s="107">
        <f>MAX($C21:X21)</f>
        <v>93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279</v>
      </c>
      <c r="D30" s="107">
        <f>MAX($C23:D23)</f>
        <v>279</v>
      </c>
      <c r="E30" s="107">
        <f>MAX($C23:E23)</f>
        <v>279</v>
      </c>
      <c r="F30" s="107">
        <f>MAX($C23:F23)</f>
        <v>279</v>
      </c>
      <c r="G30" s="107">
        <f>MAX($C23:G23)</f>
        <v>279</v>
      </c>
      <c r="H30" s="107">
        <f>MAX($C23:H23)</f>
        <v>279</v>
      </c>
      <c r="I30" s="107">
        <f>MAX($C23:I23)</f>
        <v>279</v>
      </c>
      <c r="J30" s="107">
        <f>MAX($C23:J23)</f>
        <v>279</v>
      </c>
      <c r="K30" s="107">
        <f>MAX($C23:K23)</f>
        <v>279</v>
      </c>
      <c r="L30" s="107">
        <f>MAX($C23:L23)</f>
        <v>279</v>
      </c>
      <c r="M30" s="107">
        <f>MAX($C23:M23)</f>
        <v>279</v>
      </c>
      <c r="N30" s="107">
        <f>MAX($C23:N23)</f>
        <v>279</v>
      </c>
      <c r="O30" s="107">
        <f>MAX($C23:O23)</f>
        <v>279</v>
      </c>
      <c r="P30" s="107">
        <f>MAX($C23:P23)</f>
        <v>279</v>
      </c>
      <c r="Q30" s="107">
        <f>MAX($C23:Q23)</f>
        <v>279</v>
      </c>
      <c r="R30" s="107">
        <f>MAX($C23:R23)</f>
        <v>279</v>
      </c>
      <c r="S30" s="107">
        <f>MAX($C23:S23)</f>
        <v>279</v>
      </c>
      <c r="T30" s="107">
        <f>MAX($C23:T23)</f>
        <v>279</v>
      </c>
      <c r="U30" s="107">
        <f>MAX($C23:U23)</f>
        <v>279</v>
      </c>
      <c r="V30" s="107">
        <f>MAX($C23:V23)</f>
        <v>279</v>
      </c>
      <c r="W30" s="107">
        <f>MAX($C23:W23)</f>
        <v>279</v>
      </c>
      <c r="X30" s="107">
        <f>MAX($C23:X23)</f>
        <v>279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57</v>
      </c>
      <c r="G2" s="203" t="s">
        <v>155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71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73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G9">
        <v>116</v>
      </c>
      <c r="H9">
        <v>126</v>
      </c>
      <c r="I9">
        <v>143</v>
      </c>
      <c r="J9">
        <v>106</v>
      </c>
      <c r="K9">
        <v>110</v>
      </c>
      <c r="M9">
        <v>103</v>
      </c>
      <c r="P9">
        <v>148</v>
      </c>
      <c r="T9">
        <v>100</v>
      </c>
      <c r="U9">
        <v>103</v>
      </c>
    </row>
    <row r="10" spans="1:24" ht="13.15" x14ac:dyDescent="0.4">
      <c r="A10">
        <v>4</v>
      </c>
      <c r="B10" s="3" t="s">
        <v>15</v>
      </c>
      <c r="K10">
        <v>102</v>
      </c>
      <c r="T10">
        <v>148</v>
      </c>
    </row>
    <row r="11" spans="1:24" ht="13.15" x14ac:dyDescent="0.4">
      <c r="A11">
        <v>5</v>
      </c>
      <c r="B11" s="3" t="s">
        <v>16</v>
      </c>
      <c r="T11">
        <v>149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116</v>
      </c>
      <c r="H15" s="18">
        <f t="shared" si="2"/>
        <v>126</v>
      </c>
      <c r="I15" s="18">
        <f t="shared" si="2"/>
        <v>143</v>
      </c>
      <c r="J15" s="18">
        <f t="shared" si="2"/>
        <v>106</v>
      </c>
      <c r="K15" s="18">
        <f t="shared" si="2"/>
        <v>212</v>
      </c>
      <c r="L15" s="18">
        <f t="shared" si="2"/>
        <v>0</v>
      </c>
      <c r="M15" s="18">
        <f t="shared" si="2"/>
        <v>103</v>
      </c>
      <c r="N15" s="18">
        <f t="shared" si="2"/>
        <v>0</v>
      </c>
      <c r="O15" s="18">
        <f t="shared" si="2"/>
        <v>0</v>
      </c>
      <c r="P15" s="18">
        <f t="shared" si="2"/>
        <v>148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397</v>
      </c>
      <c r="U15" s="18">
        <f t="shared" si="2"/>
        <v>103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116</v>
      </c>
      <c r="H16" s="19">
        <f t="shared" si="3"/>
        <v>242</v>
      </c>
      <c r="I16" s="19">
        <f t="shared" si="3"/>
        <v>385</v>
      </c>
      <c r="J16" s="19">
        <f t="shared" si="3"/>
        <v>491</v>
      </c>
      <c r="K16" s="19">
        <f t="shared" si="3"/>
        <v>703</v>
      </c>
      <c r="L16" s="19">
        <f t="shared" si="3"/>
        <v>703</v>
      </c>
      <c r="M16" s="19">
        <f t="shared" si="3"/>
        <v>806</v>
      </c>
      <c r="N16" s="19">
        <f t="shared" si="3"/>
        <v>806</v>
      </c>
      <c r="O16" s="19">
        <f t="shared" si="3"/>
        <v>806</v>
      </c>
      <c r="P16" s="19">
        <f t="shared" si="3"/>
        <v>954</v>
      </c>
      <c r="Q16" s="19">
        <f t="shared" si="3"/>
        <v>954</v>
      </c>
      <c r="R16" s="19">
        <f t="shared" si="3"/>
        <v>954</v>
      </c>
      <c r="S16" s="19">
        <f t="shared" si="3"/>
        <v>954</v>
      </c>
      <c r="T16" s="19">
        <f t="shared" si="3"/>
        <v>1351</v>
      </c>
      <c r="U16" s="19">
        <f t="shared" si="3"/>
        <v>1454</v>
      </c>
      <c r="V16" s="19">
        <f t="shared" si="3"/>
        <v>1454</v>
      </c>
      <c r="W16" s="19">
        <f t="shared" si="3"/>
        <v>1454</v>
      </c>
      <c r="X16" s="19">
        <f t="shared" si="3"/>
        <v>1454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>
        <f t="shared" si="4"/>
        <v>116</v>
      </c>
      <c r="H17" s="20">
        <f t="shared" si="4"/>
        <v>121</v>
      </c>
      <c r="I17" s="20">
        <f t="shared" si="4"/>
        <v>128.33333333333334</v>
      </c>
      <c r="J17" s="20">
        <f t="shared" si="4"/>
        <v>122.75</v>
      </c>
      <c r="K17" s="20">
        <f t="shared" si="4"/>
        <v>117.16666666666667</v>
      </c>
      <c r="L17" s="20">
        <f t="shared" si="4"/>
        <v>117.16666666666667</v>
      </c>
      <c r="M17" s="20">
        <f t="shared" si="4"/>
        <v>115.14285714285714</v>
      </c>
      <c r="N17" s="20">
        <f t="shared" si="4"/>
        <v>115.14285714285714</v>
      </c>
      <c r="O17" s="20">
        <f t="shared" si="4"/>
        <v>115.14285714285714</v>
      </c>
      <c r="P17" s="20">
        <f t="shared" si="4"/>
        <v>119.25</v>
      </c>
      <c r="Q17" s="20">
        <f t="shared" si="4"/>
        <v>119.25</v>
      </c>
      <c r="R17" s="20">
        <f t="shared" si="4"/>
        <v>119.25</v>
      </c>
      <c r="S17" s="20">
        <f t="shared" si="4"/>
        <v>119.25</v>
      </c>
      <c r="T17" s="20">
        <f t="shared" si="4"/>
        <v>122.81818181818181</v>
      </c>
      <c r="U17" s="20">
        <f t="shared" si="4"/>
        <v>121.16666666666667</v>
      </c>
      <c r="V17" s="20">
        <f t="shared" si="4"/>
        <v>121.16666666666667</v>
      </c>
      <c r="W17" s="20">
        <f t="shared" si="4"/>
        <v>121.16666666666667</v>
      </c>
      <c r="X17" s="20">
        <f t="shared" si="4"/>
        <v>121.16666666666667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>
        <f t="shared" si="5"/>
        <v>76</v>
      </c>
      <c r="H18" s="19">
        <f t="shared" si="5"/>
        <v>71</v>
      </c>
      <c r="I18" s="19">
        <f t="shared" si="5"/>
        <v>65</v>
      </c>
      <c r="J18" s="19">
        <f t="shared" si="5"/>
        <v>70</v>
      </c>
      <c r="K18" s="19">
        <f t="shared" si="5"/>
        <v>75</v>
      </c>
      <c r="L18" s="19">
        <f t="shared" si="5"/>
        <v>75</v>
      </c>
      <c r="M18" s="19">
        <f t="shared" si="5"/>
        <v>76</v>
      </c>
      <c r="N18" s="19">
        <f t="shared" si="5"/>
        <v>76</v>
      </c>
      <c r="O18" s="19">
        <f t="shared" si="5"/>
        <v>76</v>
      </c>
      <c r="P18" s="19">
        <f t="shared" si="5"/>
        <v>73</v>
      </c>
      <c r="Q18" s="19">
        <f t="shared" si="5"/>
        <v>73</v>
      </c>
      <c r="R18" s="19">
        <f t="shared" si="5"/>
        <v>73</v>
      </c>
      <c r="S18" s="19">
        <f t="shared" si="5"/>
        <v>73</v>
      </c>
      <c r="T18" s="19">
        <f t="shared" si="5"/>
        <v>69</v>
      </c>
      <c r="U18" s="19">
        <f t="shared" si="5"/>
        <v>71</v>
      </c>
      <c r="V18" s="19">
        <f t="shared" si="5"/>
        <v>71</v>
      </c>
      <c r="W18" s="19">
        <f t="shared" si="5"/>
        <v>71</v>
      </c>
      <c r="X18" s="19">
        <f t="shared" si="5"/>
        <v>71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1</v>
      </c>
      <c r="H19" s="19">
        <f t="shared" si="6"/>
        <v>2</v>
      </c>
      <c r="I19" s="19">
        <f t="shared" si="6"/>
        <v>3</v>
      </c>
      <c r="J19" s="19">
        <f t="shared" si="6"/>
        <v>4</v>
      </c>
      <c r="K19" s="19">
        <f t="shared" si="6"/>
        <v>6</v>
      </c>
      <c r="L19" s="19">
        <f t="shared" si="6"/>
        <v>6</v>
      </c>
      <c r="M19" s="19">
        <f t="shared" si="6"/>
        <v>7</v>
      </c>
      <c r="N19" s="19">
        <f t="shared" si="6"/>
        <v>7</v>
      </c>
      <c r="O19" s="19">
        <f t="shared" si="6"/>
        <v>7</v>
      </c>
      <c r="P19" s="19">
        <f t="shared" si="6"/>
        <v>8</v>
      </c>
      <c r="Q19" s="19">
        <f t="shared" si="6"/>
        <v>8</v>
      </c>
      <c r="R19" s="19">
        <f t="shared" si="6"/>
        <v>8</v>
      </c>
      <c r="S19" s="19">
        <f t="shared" si="6"/>
        <v>8</v>
      </c>
      <c r="T19" s="19">
        <f t="shared" si="6"/>
        <v>11</v>
      </c>
      <c r="U19" s="19">
        <f t="shared" si="6"/>
        <v>12</v>
      </c>
      <c r="V19" s="19">
        <f t="shared" si="6"/>
        <v>12</v>
      </c>
      <c r="W19" s="19">
        <f t="shared" si="6"/>
        <v>12</v>
      </c>
      <c r="X19" s="19">
        <f t="shared" si="6"/>
        <v>12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116</v>
      </c>
      <c r="H20" s="19">
        <f t="shared" si="7"/>
        <v>126</v>
      </c>
      <c r="I20" s="19">
        <f t="shared" si="7"/>
        <v>143</v>
      </c>
      <c r="J20" s="19">
        <f t="shared" si="7"/>
        <v>106</v>
      </c>
      <c r="K20" s="19">
        <f t="shared" si="7"/>
        <v>110</v>
      </c>
      <c r="L20" s="19">
        <f t="shared" si="7"/>
        <v>0</v>
      </c>
      <c r="M20" s="19">
        <f t="shared" si="7"/>
        <v>103</v>
      </c>
      <c r="N20" s="19">
        <f t="shared" si="7"/>
        <v>0</v>
      </c>
      <c r="O20" s="19">
        <f t="shared" si="7"/>
        <v>0</v>
      </c>
      <c r="P20" s="19">
        <f t="shared" si="7"/>
        <v>148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149</v>
      </c>
      <c r="U20" s="19">
        <f t="shared" si="7"/>
        <v>103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J21" si="8">MAX(C$9:C$14)+$I$5</f>
        <v>73</v>
      </c>
      <c r="D21" s="19">
        <f t="shared" si="8"/>
        <v>73</v>
      </c>
      <c r="E21" s="19">
        <f t="shared" si="8"/>
        <v>73</v>
      </c>
      <c r="F21" s="19">
        <f t="shared" si="8"/>
        <v>73</v>
      </c>
      <c r="G21" s="19">
        <f t="shared" si="8"/>
        <v>189</v>
      </c>
      <c r="H21" s="19">
        <f t="shared" si="8"/>
        <v>199</v>
      </c>
      <c r="I21" s="19">
        <f t="shared" si="8"/>
        <v>216</v>
      </c>
      <c r="J21" s="19">
        <f t="shared" si="8"/>
        <v>179</v>
      </c>
      <c r="K21" s="19">
        <f t="shared" ref="K21:X21" si="9">MAX(K$9:K$14)+J18</f>
        <v>180</v>
      </c>
      <c r="L21" s="19">
        <f t="shared" si="9"/>
        <v>75</v>
      </c>
      <c r="M21" s="19">
        <f t="shared" si="9"/>
        <v>178</v>
      </c>
      <c r="N21" s="19">
        <f t="shared" si="9"/>
        <v>76</v>
      </c>
      <c r="O21" s="19">
        <f t="shared" si="9"/>
        <v>76</v>
      </c>
      <c r="P21" s="19">
        <f t="shared" si="9"/>
        <v>224</v>
      </c>
      <c r="Q21" s="19">
        <f t="shared" si="9"/>
        <v>73</v>
      </c>
      <c r="R21" s="19">
        <f t="shared" si="9"/>
        <v>73</v>
      </c>
      <c r="S21" s="19">
        <f t="shared" si="9"/>
        <v>73</v>
      </c>
      <c r="T21" s="19">
        <f t="shared" si="9"/>
        <v>222</v>
      </c>
      <c r="U21" s="19">
        <f t="shared" si="9"/>
        <v>172</v>
      </c>
      <c r="V21" s="19">
        <f t="shared" si="9"/>
        <v>71</v>
      </c>
      <c r="W21" s="19">
        <f t="shared" si="9"/>
        <v>71</v>
      </c>
      <c r="X21" s="19">
        <f t="shared" si="9"/>
        <v>71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0</v>
      </c>
      <c r="F22" s="19">
        <f t="shared" si="10"/>
        <v>0</v>
      </c>
      <c r="G22" s="19">
        <f t="shared" si="10"/>
        <v>116</v>
      </c>
      <c r="H22" s="19">
        <f t="shared" si="10"/>
        <v>126</v>
      </c>
      <c r="I22" s="19">
        <f t="shared" si="10"/>
        <v>143</v>
      </c>
      <c r="J22" s="19">
        <f t="shared" si="10"/>
        <v>106</v>
      </c>
      <c r="K22" s="19">
        <f t="shared" si="10"/>
        <v>212</v>
      </c>
      <c r="L22" s="19">
        <f t="shared" si="10"/>
        <v>0</v>
      </c>
      <c r="M22" s="19">
        <f t="shared" si="10"/>
        <v>103</v>
      </c>
      <c r="N22" s="19">
        <f t="shared" si="10"/>
        <v>0</v>
      </c>
      <c r="O22" s="19">
        <f t="shared" si="10"/>
        <v>0</v>
      </c>
      <c r="P22" s="19">
        <f t="shared" si="10"/>
        <v>148</v>
      </c>
      <c r="Q22" s="19">
        <f t="shared" si="10"/>
        <v>0</v>
      </c>
      <c r="R22" s="19">
        <f t="shared" si="10"/>
        <v>0</v>
      </c>
      <c r="S22" s="19">
        <f t="shared" si="10"/>
        <v>0</v>
      </c>
      <c r="T22" s="19">
        <f t="shared" si="10"/>
        <v>397</v>
      </c>
      <c r="U22" s="19">
        <f t="shared" si="10"/>
        <v>103</v>
      </c>
      <c r="V22" s="19">
        <f t="shared" si="10"/>
        <v>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219</v>
      </c>
      <c r="D23" s="19">
        <f t="shared" ref="D23:J23" si="11">MAX(SUM(D$9:D$11),SUM(D$12:D$14))+$I$5*3</f>
        <v>219</v>
      </c>
      <c r="E23" s="19">
        <f t="shared" si="11"/>
        <v>219</v>
      </c>
      <c r="F23" s="19">
        <f t="shared" si="11"/>
        <v>219</v>
      </c>
      <c r="G23" s="19">
        <f t="shared" si="11"/>
        <v>335</v>
      </c>
      <c r="H23" s="19">
        <f t="shared" si="11"/>
        <v>345</v>
      </c>
      <c r="I23" s="19">
        <f t="shared" si="11"/>
        <v>362</v>
      </c>
      <c r="J23" s="19">
        <f t="shared" si="11"/>
        <v>325</v>
      </c>
      <c r="K23" s="19">
        <f t="shared" ref="K23:X23" si="12">MAX(SUM(K$9:K$11),SUM(K$12:K$14))+J18*3</f>
        <v>422</v>
      </c>
      <c r="L23" s="19">
        <f t="shared" si="12"/>
        <v>225</v>
      </c>
      <c r="M23" s="19">
        <f t="shared" si="12"/>
        <v>328</v>
      </c>
      <c r="N23" s="19">
        <f t="shared" si="12"/>
        <v>228</v>
      </c>
      <c r="O23" s="19">
        <f t="shared" si="12"/>
        <v>228</v>
      </c>
      <c r="P23" s="19">
        <f t="shared" si="12"/>
        <v>376</v>
      </c>
      <c r="Q23" s="19">
        <f t="shared" si="12"/>
        <v>219</v>
      </c>
      <c r="R23" s="19">
        <f t="shared" si="12"/>
        <v>219</v>
      </c>
      <c r="S23" s="19">
        <f t="shared" si="12"/>
        <v>219</v>
      </c>
      <c r="T23" s="19">
        <f t="shared" si="12"/>
        <v>616</v>
      </c>
      <c r="U23" s="19">
        <f t="shared" si="12"/>
        <v>310</v>
      </c>
      <c r="V23" s="19">
        <f t="shared" si="12"/>
        <v>213</v>
      </c>
      <c r="W23" s="19">
        <f t="shared" si="12"/>
        <v>213</v>
      </c>
      <c r="X23" s="19">
        <f t="shared" si="12"/>
        <v>213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116</v>
      </c>
      <c r="H27" s="107">
        <f>MAX($C20:H20)</f>
        <v>126</v>
      </c>
      <c r="I27" s="107">
        <f>MAX($C20:I20)</f>
        <v>143</v>
      </c>
      <c r="J27" s="107">
        <f>MAX($C20:J20)</f>
        <v>143</v>
      </c>
      <c r="K27" s="107">
        <f>MAX($C20:K20)</f>
        <v>143</v>
      </c>
      <c r="L27" s="107">
        <f>MAX($C20:L20)</f>
        <v>143</v>
      </c>
      <c r="M27" s="107">
        <f>MAX($C20:M20)</f>
        <v>143</v>
      </c>
      <c r="N27" s="107">
        <f>MAX($C20:N20)</f>
        <v>143</v>
      </c>
      <c r="O27" s="107">
        <f>MAX($C20:O20)</f>
        <v>143</v>
      </c>
      <c r="P27" s="107">
        <f>MAX($C20:P20)</f>
        <v>148</v>
      </c>
      <c r="Q27" s="107">
        <f>MAX($C20:Q20)</f>
        <v>148</v>
      </c>
      <c r="R27" s="107">
        <f>MAX($C20:R20)</f>
        <v>148</v>
      </c>
      <c r="S27" s="107">
        <f>MAX($C20:S20)</f>
        <v>148</v>
      </c>
      <c r="T27" s="107">
        <f>MAX($C20:T20)</f>
        <v>149</v>
      </c>
      <c r="U27" s="107">
        <f>MAX($C20:U20)</f>
        <v>149</v>
      </c>
      <c r="V27" s="107">
        <f>MAX($C20:V20)</f>
        <v>149</v>
      </c>
      <c r="W27" s="107">
        <f>MAX($C20:W20)</f>
        <v>149</v>
      </c>
      <c r="X27" s="107">
        <f>MAX($C20:X20)</f>
        <v>149</v>
      </c>
    </row>
    <row r="28" spans="1:25" ht="13.15" x14ac:dyDescent="0.4">
      <c r="A28">
        <v>22</v>
      </c>
      <c r="B28" s="151" t="s">
        <v>78</v>
      </c>
      <c r="C28" s="19">
        <f>MAX(C21)</f>
        <v>73</v>
      </c>
      <c r="D28" s="107">
        <f>MAX($C21:D21)</f>
        <v>73</v>
      </c>
      <c r="E28" s="107">
        <f>MAX($C21:E21)</f>
        <v>73</v>
      </c>
      <c r="F28" s="107">
        <f>MAX($C21:F21)</f>
        <v>73</v>
      </c>
      <c r="G28" s="107">
        <f>MAX($C21:G21)</f>
        <v>189</v>
      </c>
      <c r="H28" s="107">
        <f>MAX($C21:H21)</f>
        <v>199</v>
      </c>
      <c r="I28" s="107">
        <f>MAX($C21:I21)</f>
        <v>216</v>
      </c>
      <c r="J28" s="107">
        <f>MAX($C21:J21)</f>
        <v>216</v>
      </c>
      <c r="K28" s="107">
        <f>MAX($C21:K21)</f>
        <v>216</v>
      </c>
      <c r="L28" s="107">
        <f>MAX($C21:L21)</f>
        <v>216</v>
      </c>
      <c r="M28" s="107">
        <f>MAX($C21:M21)</f>
        <v>216</v>
      </c>
      <c r="N28" s="107">
        <f>MAX($C21:N21)</f>
        <v>216</v>
      </c>
      <c r="O28" s="107">
        <f>MAX($C21:O21)</f>
        <v>216</v>
      </c>
      <c r="P28" s="107">
        <f>MAX($C21:P21)</f>
        <v>224</v>
      </c>
      <c r="Q28" s="107">
        <f>MAX($C21:Q21)</f>
        <v>224</v>
      </c>
      <c r="R28" s="107">
        <f>MAX($C21:R21)</f>
        <v>224</v>
      </c>
      <c r="S28" s="107">
        <f>MAX($C21:S21)</f>
        <v>224</v>
      </c>
      <c r="T28" s="107">
        <f>MAX($C21:T21)</f>
        <v>224</v>
      </c>
      <c r="U28" s="107">
        <f>MAX($C21:U21)</f>
        <v>224</v>
      </c>
      <c r="V28" s="107">
        <f>MAX($C21:V21)</f>
        <v>224</v>
      </c>
      <c r="W28" s="107">
        <f>MAX($C21:W21)</f>
        <v>224</v>
      </c>
      <c r="X28" s="107">
        <f>MAX($C21:X21)</f>
        <v>224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116</v>
      </c>
      <c r="H29" s="107">
        <f>MAX($C22:H22)</f>
        <v>126</v>
      </c>
      <c r="I29" s="107">
        <f>MAX($C22:I22)</f>
        <v>143</v>
      </c>
      <c r="J29" s="107">
        <f>MAX($C22:J22)</f>
        <v>143</v>
      </c>
      <c r="K29" s="107">
        <f>MAX($C22:K22)</f>
        <v>212</v>
      </c>
      <c r="L29" s="107">
        <f>MAX($C22:L22)</f>
        <v>212</v>
      </c>
      <c r="M29" s="107">
        <f>MAX($C22:M22)</f>
        <v>212</v>
      </c>
      <c r="N29" s="107">
        <f>MAX($C22:N22)</f>
        <v>212</v>
      </c>
      <c r="O29" s="107">
        <f>MAX($C22:O22)</f>
        <v>212</v>
      </c>
      <c r="P29" s="107">
        <f>MAX($C22:P22)</f>
        <v>212</v>
      </c>
      <c r="Q29" s="107">
        <f>MAX($C22:Q22)</f>
        <v>212</v>
      </c>
      <c r="R29" s="107">
        <f>MAX($C22:R22)</f>
        <v>212</v>
      </c>
      <c r="S29" s="107">
        <f>MAX($C22:S22)</f>
        <v>212</v>
      </c>
      <c r="T29" s="107">
        <f>MAX($C22:T22)</f>
        <v>397</v>
      </c>
      <c r="U29" s="107">
        <f>MAX($C22:U22)</f>
        <v>397</v>
      </c>
      <c r="V29" s="107">
        <f>MAX($C22:V22)</f>
        <v>397</v>
      </c>
      <c r="W29" s="107">
        <f>MAX($C22:W22)</f>
        <v>397</v>
      </c>
      <c r="X29" s="107">
        <f>MAX($C22:X22)</f>
        <v>397</v>
      </c>
    </row>
    <row r="30" spans="1:25" ht="13.15" x14ac:dyDescent="0.4">
      <c r="A30">
        <v>24</v>
      </c>
      <c r="B30" s="151" t="s">
        <v>80</v>
      </c>
      <c r="C30" s="19">
        <f>MAX(C23)</f>
        <v>219</v>
      </c>
      <c r="D30" s="107">
        <f>MAX($C23:D23)</f>
        <v>219</v>
      </c>
      <c r="E30" s="107">
        <f>MAX($C23:E23)</f>
        <v>219</v>
      </c>
      <c r="F30" s="107">
        <f>MAX($C23:F23)</f>
        <v>219</v>
      </c>
      <c r="G30" s="107">
        <f>MAX($C23:G23)</f>
        <v>335</v>
      </c>
      <c r="H30" s="107">
        <f>MAX($C23:H23)</f>
        <v>345</v>
      </c>
      <c r="I30" s="107">
        <f>MAX($C23:I23)</f>
        <v>362</v>
      </c>
      <c r="J30" s="107">
        <f>MAX($C23:J23)</f>
        <v>362</v>
      </c>
      <c r="K30" s="107">
        <f>MAX($C23:K23)</f>
        <v>422</v>
      </c>
      <c r="L30" s="107">
        <f>MAX($C23:L23)</f>
        <v>422</v>
      </c>
      <c r="M30" s="107">
        <f>MAX($C23:M23)</f>
        <v>422</v>
      </c>
      <c r="N30" s="107">
        <f>MAX($C23:N23)</f>
        <v>422</v>
      </c>
      <c r="O30" s="107">
        <f>MAX($C23:O23)</f>
        <v>422</v>
      </c>
      <c r="P30" s="107">
        <f>MAX($C23:P23)</f>
        <v>422</v>
      </c>
      <c r="Q30" s="107">
        <f>MAX($C23:Q23)</f>
        <v>422</v>
      </c>
      <c r="R30" s="107">
        <f>MAX($C23:R23)</f>
        <v>422</v>
      </c>
      <c r="S30" s="107">
        <f>MAX($C23:S23)</f>
        <v>422</v>
      </c>
      <c r="T30" s="107">
        <f>MAX($C23:T23)</f>
        <v>616</v>
      </c>
      <c r="U30" s="107">
        <f>MAX($C23:U23)</f>
        <v>616</v>
      </c>
      <c r="V30" s="107">
        <f>MAX($C23:V23)</f>
        <v>616</v>
      </c>
      <c r="W30" s="107">
        <f>MAX($C23:W23)</f>
        <v>616</v>
      </c>
      <c r="X30" s="107">
        <f>MAX($C23:X23)</f>
        <v>616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201"/>
    </row>
    <row r="2" spans="1:24" ht="13.15" x14ac:dyDescent="0.4">
      <c r="B2" s="1" t="s">
        <v>1</v>
      </c>
      <c r="F2" s="202" t="s">
        <v>31</v>
      </c>
      <c r="G2" s="203" t="s">
        <v>32</v>
      </c>
      <c r="H2" s="224">
        <v>3</v>
      </c>
      <c r="I2" s="204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53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45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126</v>
      </c>
      <c r="D9">
        <v>148</v>
      </c>
      <c r="E9">
        <v>157</v>
      </c>
      <c r="F9">
        <v>135</v>
      </c>
      <c r="G9">
        <v>124</v>
      </c>
      <c r="H9">
        <v>123</v>
      </c>
      <c r="I9">
        <v>113</v>
      </c>
      <c r="J9">
        <v>115</v>
      </c>
      <c r="K9">
        <v>135</v>
      </c>
      <c r="L9">
        <v>122</v>
      </c>
      <c r="M9">
        <v>156</v>
      </c>
      <c r="O9">
        <v>113</v>
      </c>
      <c r="P9">
        <v>182</v>
      </c>
      <c r="Q9">
        <v>134</v>
      </c>
      <c r="R9">
        <v>144</v>
      </c>
      <c r="T9">
        <v>160</v>
      </c>
      <c r="U9">
        <v>152</v>
      </c>
      <c r="V9">
        <v>137</v>
      </c>
    </row>
    <row r="10" spans="1:24" ht="13.15" x14ac:dyDescent="0.4">
      <c r="A10">
        <v>4</v>
      </c>
      <c r="B10" s="3" t="s">
        <v>15</v>
      </c>
      <c r="C10">
        <v>143</v>
      </c>
      <c r="D10">
        <v>162</v>
      </c>
      <c r="E10">
        <v>152</v>
      </c>
      <c r="F10">
        <v>135</v>
      </c>
      <c r="G10">
        <v>135</v>
      </c>
      <c r="H10">
        <v>114</v>
      </c>
      <c r="I10">
        <v>125</v>
      </c>
      <c r="J10">
        <v>160</v>
      </c>
      <c r="K10">
        <v>133</v>
      </c>
      <c r="L10">
        <v>125</v>
      </c>
      <c r="M10">
        <v>148</v>
      </c>
      <c r="O10">
        <v>149</v>
      </c>
      <c r="P10">
        <v>135</v>
      </c>
      <c r="Q10">
        <v>128</v>
      </c>
      <c r="R10">
        <v>142</v>
      </c>
      <c r="T10">
        <v>144</v>
      </c>
      <c r="V10">
        <v>153</v>
      </c>
    </row>
    <row r="11" spans="1:24" ht="13.15" x14ac:dyDescent="0.4">
      <c r="A11">
        <v>5</v>
      </c>
      <c r="B11" s="3" t="s">
        <v>16</v>
      </c>
      <c r="E11">
        <v>140</v>
      </c>
      <c r="F11">
        <v>113</v>
      </c>
      <c r="H11">
        <v>108</v>
      </c>
      <c r="I11">
        <v>132</v>
      </c>
      <c r="J11">
        <v>143</v>
      </c>
      <c r="K11">
        <v>162</v>
      </c>
      <c r="L11">
        <v>161</v>
      </c>
      <c r="M11">
        <v>137</v>
      </c>
      <c r="O11">
        <v>162</v>
      </c>
      <c r="P11">
        <v>149</v>
      </c>
      <c r="Q11">
        <v>176</v>
      </c>
      <c r="R11">
        <v>144</v>
      </c>
      <c r="T11">
        <v>201</v>
      </c>
      <c r="V11">
        <v>128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269</v>
      </c>
      <c r="D15" s="18">
        <f t="shared" si="2"/>
        <v>310</v>
      </c>
      <c r="E15" s="18">
        <f t="shared" si="2"/>
        <v>449</v>
      </c>
      <c r="F15" s="18">
        <f t="shared" si="2"/>
        <v>383</v>
      </c>
      <c r="G15" s="18">
        <f t="shared" si="2"/>
        <v>259</v>
      </c>
      <c r="H15" s="18">
        <f t="shared" si="2"/>
        <v>345</v>
      </c>
      <c r="I15" s="18">
        <f t="shared" si="2"/>
        <v>370</v>
      </c>
      <c r="J15" s="18">
        <f t="shared" si="2"/>
        <v>418</v>
      </c>
      <c r="K15" s="18">
        <f t="shared" si="2"/>
        <v>430</v>
      </c>
      <c r="L15" s="18">
        <f t="shared" si="2"/>
        <v>408</v>
      </c>
      <c r="M15" s="18">
        <f t="shared" si="2"/>
        <v>441</v>
      </c>
      <c r="N15" s="18">
        <f t="shared" si="2"/>
        <v>0</v>
      </c>
      <c r="O15" s="18">
        <f t="shared" si="2"/>
        <v>424</v>
      </c>
      <c r="P15" s="18">
        <f t="shared" si="2"/>
        <v>466</v>
      </c>
      <c r="Q15" s="18">
        <f t="shared" si="2"/>
        <v>438</v>
      </c>
      <c r="R15" s="18">
        <f t="shared" si="2"/>
        <v>430</v>
      </c>
      <c r="S15" s="18">
        <f t="shared" si="2"/>
        <v>0</v>
      </c>
      <c r="T15" s="18">
        <f t="shared" si="2"/>
        <v>505</v>
      </c>
      <c r="U15" s="18">
        <f t="shared" si="2"/>
        <v>152</v>
      </c>
      <c r="V15" s="18">
        <f t="shared" si="2"/>
        <v>418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269</v>
      </c>
      <c r="D16" s="19">
        <f t="shared" ref="D16:X16" si="3">+D15+C16</f>
        <v>579</v>
      </c>
      <c r="E16" s="19">
        <f t="shared" si="3"/>
        <v>1028</v>
      </c>
      <c r="F16" s="19">
        <f t="shared" si="3"/>
        <v>1411</v>
      </c>
      <c r="G16" s="19">
        <f t="shared" si="3"/>
        <v>1670</v>
      </c>
      <c r="H16" s="19">
        <f t="shared" si="3"/>
        <v>2015</v>
      </c>
      <c r="I16" s="19">
        <f t="shared" si="3"/>
        <v>2385</v>
      </c>
      <c r="J16" s="19">
        <f t="shared" si="3"/>
        <v>2803</v>
      </c>
      <c r="K16" s="19">
        <f t="shared" si="3"/>
        <v>3233</v>
      </c>
      <c r="L16" s="19">
        <f t="shared" si="3"/>
        <v>3641</v>
      </c>
      <c r="M16" s="19">
        <f t="shared" si="3"/>
        <v>4082</v>
      </c>
      <c r="N16" s="19">
        <f t="shared" si="3"/>
        <v>4082</v>
      </c>
      <c r="O16" s="19">
        <f t="shared" si="3"/>
        <v>4506</v>
      </c>
      <c r="P16" s="19">
        <f t="shared" si="3"/>
        <v>4972</v>
      </c>
      <c r="Q16" s="19">
        <f t="shared" si="3"/>
        <v>5410</v>
      </c>
      <c r="R16" s="19">
        <f t="shared" si="3"/>
        <v>5840</v>
      </c>
      <c r="S16" s="19">
        <f t="shared" si="3"/>
        <v>5840</v>
      </c>
      <c r="T16" s="19">
        <f t="shared" si="3"/>
        <v>6345</v>
      </c>
      <c r="U16" s="19">
        <f t="shared" si="3"/>
        <v>6497</v>
      </c>
      <c r="V16" s="19">
        <f t="shared" si="3"/>
        <v>6915</v>
      </c>
      <c r="W16" s="19">
        <f t="shared" si="3"/>
        <v>6915</v>
      </c>
      <c r="X16" s="19">
        <f t="shared" si="3"/>
        <v>6915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134.5</v>
      </c>
      <c r="D17" s="20">
        <f t="shared" si="4"/>
        <v>144.75</v>
      </c>
      <c r="E17" s="20">
        <f t="shared" si="4"/>
        <v>146.85714285714286</v>
      </c>
      <c r="F17" s="20">
        <f t="shared" si="4"/>
        <v>141.1</v>
      </c>
      <c r="G17" s="20">
        <f t="shared" si="4"/>
        <v>139.16666666666666</v>
      </c>
      <c r="H17" s="20">
        <f t="shared" si="4"/>
        <v>134.33333333333334</v>
      </c>
      <c r="I17" s="20">
        <f t="shared" si="4"/>
        <v>132.5</v>
      </c>
      <c r="J17" s="20">
        <f t="shared" si="4"/>
        <v>133.47619047619048</v>
      </c>
      <c r="K17" s="20">
        <f t="shared" si="4"/>
        <v>134.70833333333334</v>
      </c>
      <c r="L17" s="20">
        <f t="shared" si="4"/>
        <v>134.85185185185185</v>
      </c>
      <c r="M17" s="20">
        <f t="shared" si="4"/>
        <v>136.06666666666666</v>
      </c>
      <c r="N17" s="20">
        <f t="shared" si="4"/>
        <v>136.06666666666666</v>
      </c>
      <c r="O17" s="20">
        <f t="shared" si="4"/>
        <v>136.54545454545453</v>
      </c>
      <c r="P17" s="20">
        <f t="shared" si="4"/>
        <v>138.11111111111111</v>
      </c>
      <c r="Q17" s="20">
        <f t="shared" si="4"/>
        <v>138.71794871794873</v>
      </c>
      <c r="R17" s="20">
        <f t="shared" si="4"/>
        <v>139.04761904761904</v>
      </c>
      <c r="S17" s="20">
        <f t="shared" si="4"/>
        <v>139.04761904761904</v>
      </c>
      <c r="T17" s="20">
        <f t="shared" si="4"/>
        <v>141</v>
      </c>
      <c r="U17" s="20">
        <f t="shared" si="4"/>
        <v>141.2391304347826</v>
      </c>
      <c r="V17" s="20">
        <f t="shared" si="4"/>
        <v>141.12244897959184</v>
      </c>
      <c r="W17" s="20">
        <f t="shared" si="4"/>
        <v>141.12244897959184</v>
      </c>
      <c r="X17" s="20">
        <f t="shared" si="4"/>
        <v>141.12244897959184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59</v>
      </c>
      <c r="D18" s="19">
        <f t="shared" si="5"/>
        <v>50</v>
      </c>
      <c r="E18" s="19">
        <f t="shared" si="5"/>
        <v>48</v>
      </c>
      <c r="F18" s="19">
        <f t="shared" si="5"/>
        <v>53</v>
      </c>
      <c r="G18" s="19">
        <f t="shared" si="5"/>
        <v>55</v>
      </c>
      <c r="H18" s="19">
        <f t="shared" si="5"/>
        <v>59</v>
      </c>
      <c r="I18" s="19">
        <f t="shared" si="5"/>
        <v>61</v>
      </c>
      <c r="J18" s="19">
        <f t="shared" si="5"/>
        <v>60</v>
      </c>
      <c r="K18" s="19">
        <f t="shared" si="5"/>
        <v>59</v>
      </c>
      <c r="L18" s="19">
        <f t="shared" si="5"/>
        <v>59</v>
      </c>
      <c r="M18" s="19">
        <f t="shared" si="5"/>
        <v>58</v>
      </c>
      <c r="N18" s="19">
        <f t="shared" si="5"/>
        <v>58</v>
      </c>
      <c r="O18" s="19">
        <f t="shared" si="5"/>
        <v>57</v>
      </c>
      <c r="P18" s="19">
        <f t="shared" si="5"/>
        <v>56</v>
      </c>
      <c r="Q18" s="19">
        <f t="shared" si="5"/>
        <v>55</v>
      </c>
      <c r="R18" s="19">
        <f t="shared" si="5"/>
        <v>55</v>
      </c>
      <c r="S18" s="19">
        <f t="shared" si="5"/>
        <v>55</v>
      </c>
      <c r="T18" s="19">
        <f t="shared" si="5"/>
        <v>53</v>
      </c>
      <c r="U18" s="19">
        <f t="shared" si="5"/>
        <v>53</v>
      </c>
      <c r="V18" s="19">
        <f t="shared" si="5"/>
        <v>53</v>
      </c>
      <c r="W18" s="19">
        <f t="shared" si="5"/>
        <v>53</v>
      </c>
      <c r="X18" s="19">
        <f t="shared" si="5"/>
        <v>53</v>
      </c>
    </row>
    <row r="19" spans="1:25" ht="13.15" x14ac:dyDescent="0.4">
      <c r="A19">
        <v>13</v>
      </c>
      <c r="B19" s="4" t="s">
        <v>9</v>
      </c>
      <c r="C19" s="19">
        <f>COUNT(C9:C14)</f>
        <v>2</v>
      </c>
      <c r="D19" s="19">
        <f t="shared" ref="D19:X19" si="6">COUNT(D9:D14)+C19</f>
        <v>4</v>
      </c>
      <c r="E19" s="19">
        <f t="shared" si="6"/>
        <v>7</v>
      </c>
      <c r="F19" s="19">
        <f t="shared" si="6"/>
        <v>10</v>
      </c>
      <c r="G19" s="19">
        <f t="shared" si="6"/>
        <v>12</v>
      </c>
      <c r="H19" s="19">
        <f t="shared" si="6"/>
        <v>15</v>
      </c>
      <c r="I19" s="19">
        <f t="shared" si="6"/>
        <v>18</v>
      </c>
      <c r="J19" s="19">
        <f t="shared" si="6"/>
        <v>21</v>
      </c>
      <c r="K19" s="19">
        <f t="shared" si="6"/>
        <v>24</v>
      </c>
      <c r="L19" s="19">
        <f t="shared" si="6"/>
        <v>27</v>
      </c>
      <c r="M19" s="19">
        <f t="shared" si="6"/>
        <v>30</v>
      </c>
      <c r="N19" s="19">
        <f t="shared" si="6"/>
        <v>30</v>
      </c>
      <c r="O19" s="19">
        <f t="shared" si="6"/>
        <v>33</v>
      </c>
      <c r="P19" s="19">
        <f t="shared" si="6"/>
        <v>36</v>
      </c>
      <c r="Q19" s="19">
        <f t="shared" si="6"/>
        <v>39</v>
      </c>
      <c r="R19" s="19">
        <f t="shared" si="6"/>
        <v>42</v>
      </c>
      <c r="S19" s="19">
        <f t="shared" si="6"/>
        <v>42</v>
      </c>
      <c r="T19" s="19">
        <f t="shared" si="6"/>
        <v>45</v>
      </c>
      <c r="U19" s="19">
        <f t="shared" si="6"/>
        <v>46</v>
      </c>
      <c r="V19" s="19">
        <f t="shared" si="6"/>
        <v>49</v>
      </c>
      <c r="W19" s="19">
        <f t="shared" si="6"/>
        <v>49</v>
      </c>
      <c r="X19" s="19">
        <f t="shared" si="6"/>
        <v>49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143</v>
      </c>
      <c r="D20" s="19">
        <f t="shared" si="7"/>
        <v>162</v>
      </c>
      <c r="E20" s="19">
        <f t="shared" si="7"/>
        <v>157</v>
      </c>
      <c r="F20" s="19">
        <f t="shared" si="7"/>
        <v>135</v>
      </c>
      <c r="G20" s="19">
        <f t="shared" si="7"/>
        <v>135</v>
      </c>
      <c r="H20" s="19">
        <f t="shared" si="7"/>
        <v>123</v>
      </c>
      <c r="I20" s="19">
        <f t="shared" si="7"/>
        <v>132</v>
      </c>
      <c r="J20" s="19">
        <f t="shared" si="7"/>
        <v>160</v>
      </c>
      <c r="K20" s="19">
        <f t="shared" si="7"/>
        <v>162</v>
      </c>
      <c r="L20" s="19">
        <f t="shared" si="7"/>
        <v>161</v>
      </c>
      <c r="M20" s="19">
        <f t="shared" si="7"/>
        <v>156</v>
      </c>
      <c r="N20" s="19">
        <f t="shared" si="7"/>
        <v>0</v>
      </c>
      <c r="O20" s="19">
        <f t="shared" si="7"/>
        <v>162</v>
      </c>
      <c r="P20" s="19">
        <f t="shared" si="7"/>
        <v>182</v>
      </c>
      <c r="Q20" s="19">
        <f t="shared" si="7"/>
        <v>176</v>
      </c>
      <c r="R20" s="19">
        <f t="shared" si="7"/>
        <v>144</v>
      </c>
      <c r="S20" s="19">
        <f t="shared" si="7"/>
        <v>0</v>
      </c>
      <c r="T20" s="19">
        <f t="shared" si="7"/>
        <v>201</v>
      </c>
      <c r="U20" s="19">
        <f t="shared" si="7"/>
        <v>152</v>
      </c>
      <c r="V20" s="19">
        <f t="shared" si="7"/>
        <v>153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188</v>
      </c>
      <c r="D21" s="19">
        <f>MAX(D$9:D$14)+$I$5</f>
        <v>207</v>
      </c>
      <c r="E21" s="19">
        <f t="shared" ref="E21:X21" si="8">MAX(E$9:E$14)+D18</f>
        <v>207</v>
      </c>
      <c r="F21" s="19">
        <f t="shared" si="8"/>
        <v>183</v>
      </c>
      <c r="G21" s="19">
        <f t="shared" si="8"/>
        <v>188</v>
      </c>
      <c r="H21" s="19">
        <f t="shared" si="8"/>
        <v>178</v>
      </c>
      <c r="I21" s="19">
        <f t="shared" si="8"/>
        <v>191</v>
      </c>
      <c r="J21" s="19">
        <f t="shared" si="8"/>
        <v>221</v>
      </c>
      <c r="K21" s="19">
        <f t="shared" si="8"/>
        <v>222</v>
      </c>
      <c r="L21" s="19">
        <f t="shared" si="8"/>
        <v>220</v>
      </c>
      <c r="M21" s="19">
        <f t="shared" si="8"/>
        <v>215</v>
      </c>
      <c r="N21" s="19">
        <f t="shared" si="8"/>
        <v>58</v>
      </c>
      <c r="O21" s="19">
        <f t="shared" si="8"/>
        <v>220</v>
      </c>
      <c r="P21" s="19">
        <f t="shared" si="8"/>
        <v>239</v>
      </c>
      <c r="Q21" s="19">
        <f t="shared" si="8"/>
        <v>232</v>
      </c>
      <c r="R21" s="19">
        <f t="shared" si="8"/>
        <v>199</v>
      </c>
      <c r="S21" s="19">
        <f t="shared" si="8"/>
        <v>55</v>
      </c>
      <c r="T21" s="19">
        <f t="shared" si="8"/>
        <v>256</v>
      </c>
      <c r="U21" s="19">
        <f t="shared" si="8"/>
        <v>205</v>
      </c>
      <c r="V21" s="19">
        <f t="shared" si="8"/>
        <v>206</v>
      </c>
      <c r="W21" s="19">
        <f t="shared" si="8"/>
        <v>53</v>
      </c>
      <c r="X21" s="19">
        <f t="shared" si="8"/>
        <v>53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269</v>
      </c>
      <c r="D22" s="19">
        <f t="shared" ref="D22:X22" si="9">MAX(SUM(D$9:D$11),SUM(D$12:D$14))</f>
        <v>310</v>
      </c>
      <c r="E22" s="19">
        <f t="shared" si="9"/>
        <v>449</v>
      </c>
      <c r="F22" s="19">
        <f t="shared" si="9"/>
        <v>383</v>
      </c>
      <c r="G22" s="19">
        <f t="shared" si="9"/>
        <v>259</v>
      </c>
      <c r="H22" s="19">
        <f t="shared" si="9"/>
        <v>345</v>
      </c>
      <c r="I22" s="19">
        <f t="shared" si="9"/>
        <v>370</v>
      </c>
      <c r="J22" s="19">
        <f t="shared" si="9"/>
        <v>418</v>
      </c>
      <c r="K22" s="19">
        <f t="shared" si="9"/>
        <v>430</v>
      </c>
      <c r="L22" s="19">
        <f t="shared" si="9"/>
        <v>408</v>
      </c>
      <c r="M22" s="19">
        <f t="shared" si="9"/>
        <v>441</v>
      </c>
      <c r="N22" s="19">
        <f t="shared" si="9"/>
        <v>0</v>
      </c>
      <c r="O22" s="19">
        <f t="shared" si="9"/>
        <v>424</v>
      </c>
      <c r="P22" s="19">
        <f t="shared" si="9"/>
        <v>466</v>
      </c>
      <c r="Q22" s="19">
        <f t="shared" si="9"/>
        <v>438</v>
      </c>
      <c r="R22" s="19">
        <f t="shared" si="9"/>
        <v>430</v>
      </c>
      <c r="S22" s="19">
        <f t="shared" si="9"/>
        <v>0</v>
      </c>
      <c r="T22" s="19">
        <f t="shared" si="9"/>
        <v>505</v>
      </c>
      <c r="U22" s="19">
        <f t="shared" si="9"/>
        <v>152</v>
      </c>
      <c r="V22" s="19">
        <f t="shared" si="9"/>
        <v>418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404</v>
      </c>
      <c r="D23" s="19">
        <f>MAX(SUM(D$9:D$11),SUM(D$12:D$14))+$I$5*3</f>
        <v>445</v>
      </c>
      <c r="E23" s="19">
        <f t="shared" ref="E23:X23" si="10">MAX(SUM(E$9:E$11),SUM(E$12:E$14))+D18*3</f>
        <v>599</v>
      </c>
      <c r="F23" s="19">
        <f t="shared" si="10"/>
        <v>527</v>
      </c>
      <c r="G23" s="19">
        <f t="shared" si="10"/>
        <v>418</v>
      </c>
      <c r="H23" s="19">
        <f t="shared" si="10"/>
        <v>510</v>
      </c>
      <c r="I23" s="19">
        <f t="shared" si="10"/>
        <v>547</v>
      </c>
      <c r="J23" s="19">
        <f t="shared" si="10"/>
        <v>601</v>
      </c>
      <c r="K23" s="19">
        <f t="shared" si="10"/>
        <v>610</v>
      </c>
      <c r="L23" s="19">
        <f t="shared" si="10"/>
        <v>585</v>
      </c>
      <c r="M23" s="19">
        <f t="shared" si="10"/>
        <v>618</v>
      </c>
      <c r="N23" s="19">
        <f t="shared" si="10"/>
        <v>174</v>
      </c>
      <c r="O23" s="19">
        <f t="shared" si="10"/>
        <v>598</v>
      </c>
      <c r="P23" s="19">
        <f t="shared" si="10"/>
        <v>637</v>
      </c>
      <c r="Q23" s="19">
        <f t="shared" si="10"/>
        <v>606</v>
      </c>
      <c r="R23" s="19">
        <f t="shared" si="10"/>
        <v>595</v>
      </c>
      <c r="S23" s="19">
        <f t="shared" si="10"/>
        <v>165</v>
      </c>
      <c r="T23" s="19">
        <f t="shared" si="10"/>
        <v>670</v>
      </c>
      <c r="U23" s="19">
        <f t="shared" si="10"/>
        <v>311</v>
      </c>
      <c r="V23" s="19">
        <f t="shared" si="10"/>
        <v>577</v>
      </c>
      <c r="W23" s="19">
        <f t="shared" si="10"/>
        <v>159</v>
      </c>
      <c r="X23" s="19">
        <f t="shared" si="10"/>
        <v>159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143</v>
      </c>
      <c r="D27" s="107">
        <f>MAX($C20:D20)</f>
        <v>162</v>
      </c>
      <c r="E27" s="107">
        <f>MAX($C20:E20)</f>
        <v>162</v>
      </c>
      <c r="F27" s="107">
        <f>MAX($C20:F20)</f>
        <v>162</v>
      </c>
      <c r="G27" s="107">
        <f>MAX($C20:G20)</f>
        <v>162</v>
      </c>
      <c r="H27" s="107">
        <f>MAX($C20:H20)</f>
        <v>162</v>
      </c>
      <c r="I27" s="107">
        <f>MAX($C20:I20)</f>
        <v>162</v>
      </c>
      <c r="J27" s="107">
        <f>MAX($C20:J20)</f>
        <v>162</v>
      </c>
      <c r="K27" s="107">
        <f>MAX($C20:K20)</f>
        <v>162</v>
      </c>
      <c r="L27" s="107">
        <f>MAX($C20:L20)</f>
        <v>162</v>
      </c>
      <c r="M27" s="107">
        <f>MAX($C20:M20)</f>
        <v>162</v>
      </c>
      <c r="N27" s="107">
        <f>MAX($C20:N20)</f>
        <v>162</v>
      </c>
      <c r="O27" s="107">
        <f>MAX($C20:O20)</f>
        <v>162</v>
      </c>
      <c r="P27" s="107">
        <f>MAX($C20:P20)</f>
        <v>182</v>
      </c>
      <c r="Q27" s="107">
        <f>MAX($C20:Q20)</f>
        <v>182</v>
      </c>
      <c r="R27" s="107">
        <f>MAX($C20:R20)</f>
        <v>182</v>
      </c>
      <c r="S27" s="107">
        <f>MAX($C20:S20)</f>
        <v>182</v>
      </c>
      <c r="T27" s="107">
        <f>MAX($C20:T20)</f>
        <v>201</v>
      </c>
      <c r="U27" s="107">
        <f>MAX($C20:U20)</f>
        <v>201</v>
      </c>
      <c r="V27" s="107">
        <f>MAX($C20:V20)</f>
        <v>201</v>
      </c>
      <c r="W27" s="107">
        <f>MAX($C20:W20)</f>
        <v>201</v>
      </c>
      <c r="X27" s="107">
        <f>MAX($C20:X20)</f>
        <v>201</v>
      </c>
    </row>
    <row r="28" spans="1:25" ht="13.15" x14ac:dyDescent="0.4">
      <c r="A28">
        <v>22</v>
      </c>
      <c r="B28" s="151" t="s">
        <v>78</v>
      </c>
      <c r="C28" s="19">
        <f>MAX(C21)</f>
        <v>188</v>
      </c>
      <c r="D28" s="107">
        <f>MAX($C21:D21)</f>
        <v>207</v>
      </c>
      <c r="E28" s="107">
        <f>MAX($C21:E21)</f>
        <v>207</v>
      </c>
      <c r="F28" s="107">
        <f>MAX($C21:F21)</f>
        <v>207</v>
      </c>
      <c r="G28" s="107">
        <f>MAX($C21:G21)</f>
        <v>207</v>
      </c>
      <c r="H28" s="107">
        <f>MAX($C21:H21)</f>
        <v>207</v>
      </c>
      <c r="I28" s="107">
        <f>MAX($C21:I21)</f>
        <v>207</v>
      </c>
      <c r="J28" s="107">
        <f>MAX($C21:J21)</f>
        <v>221</v>
      </c>
      <c r="K28" s="107">
        <f>MAX($C21:K21)</f>
        <v>222</v>
      </c>
      <c r="L28" s="107">
        <f>MAX($C21:L21)</f>
        <v>222</v>
      </c>
      <c r="M28" s="107">
        <f>MAX($C21:M21)</f>
        <v>222</v>
      </c>
      <c r="N28" s="107">
        <f>MAX($C21:N21)</f>
        <v>222</v>
      </c>
      <c r="O28" s="107">
        <f>MAX($C21:O21)</f>
        <v>222</v>
      </c>
      <c r="P28" s="107">
        <f>MAX($C21:P21)</f>
        <v>239</v>
      </c>
      <c r="Q28" s="107">
        <f>MAX($C21:Q21)</f>
        <v>239</v>
      </c>
      <c r="R28" s="107">
        <f>MAX($C21:R21)</f>
        <v>239</v>
      </c>
      <c r="S28" s="107">
        <f>MAX($C21:S21)</f>
        <v>239</v>
      </c>
      <c r="T28" s="107">
        <f>MAX($C21:T21)</f>
        <v>256</v>
      </c>
      <c r="U28" s="107">
        <f>MAX($C21:U21)</f>
        <v>256</v>
      </c>
      <c r="V28" s="107">
        <f>MAX($C21:V21)</f>
        <v>256</v>
      </c>
      <c r="W28" s="107">
        <f>MAX($C21:W21)</f>
        <v>256</v>
      </c>
      <c r="X28" s="107">
        <f>MAX($C21:X21)</f>
        <v>256</v>
      </c>
    </row>
    <row r="29" spans="1:25" ht="26.25" x14ac:dyDescent="0.4">
      <c r="A29">
        <v>23</v>
      </c>
      <c r="B29" s="151" t="s">
        <v>79</v>
      </c>
      <c r="C29" s="19">
        <f>MAX(C22)</f>
        <v>269</v>
      </c>
      <c r="D29" s="107">
        <f>MAX($C22:D22)</f>
        <v>310</v>
      </c>
      <c r="E29" s="107">
        <f>MAX($C22:E22)</f>
        <v>449</v>
      </c>
      <c r="F29" s="107">
        <f>MAX($C22:F22)</f>
        <v>449</v>
      </c>
      <c r="G29" s="107">
        <f>MAX($C22:G22)</f>
        <v>449</v>
      </c>
      <c r="H29" s="107">
        <f>MAX($C22:H22)</f>
        <v>449</v>
      </c>
      <c r="I29" s="107">
        <f>MAX($C22:I22)</f>
        <v>449</v>
      </c>
      <c r="J29" s="107">
        <f>MAX($C22:J22)</f>
        <v>449</v>
      </c>
      <c r="K29" s="107">
        <f>MAX($C22:K22)</f>
        <v>449</v>
      </c>
      <c r="L29" s="107">
        <f>MAX($C22:L22)</f>
        <v>449</v>
      </c>
      <c r="M29" s="107">
        <f>MAX($C22:M22)</f>
        <v>449</v>
      </c>
      <c r="N29" s="107">
        <f>MAX($C22:N22)</f>
        <v>449</v>
      </c>
      <c r="O29" s="107">
        <f>MAX($C22:O22)</f>
        <v>449</v>
      </c>
      <c r="P29" s="107">
        <f>MAX($C22:P22)</f>
        <v>466</v>
      </c>
      <c r="Q29" s="107">
        <f>MAX($C22:Q22)</f>
        <v>466</v>
      </c>
      <c r="R29" s="107">
        <f>MAX($C22:R22)</f>
        <v>466</v>
      </c>
      <c r="S29" s="107">
        <f>MAX($C22:S22)</f>
        <v>466</v>
      </c>
      <c r="T29" s="107">
        <f>MAX($C22:T22)</f>
        <v>505</v>
      </c>
      <c r="U29" s="107">
        <f>MAX($C22:U22)</f>
        <v>505</v>
      </c>
      <c r="V29" s="107">
        <f>MAX($C22:V22)</f>
        <v>505</v>
      </c>
      <c r="W29" s="107">
        <f>MAX($C22:W22)</f>
        <v>505</v>
      </c>
      <c r="X29" s="107">
        <f>MAX($C22:X22)</f>
        <v>505</v>
      </c>
    </row>
    <row r="30" spans="1:25" ht="13.15" x14ac:dyDescent="0.4">
      <c r="A30">
        <v>24</v>
      </c>
      <c r="B30" s="151" t="s">
        <v>80</v>
      </c>
      <c r="C30" s="19">
        <f>MAX(C23)</f>
        <v>404</v>
      </c>
      <c r="D30" s="107">
        <f>MAX($C23:D23)</f>
        <v>445</v>
      </c>
      <c r="E30" s="107">
        <f>MAX($C23:E23)</f>
        <v>599</v>
      </c>
      <c r="F30" s="107">
        <f>MAX($C23:F23)</f>
        <v>599</v>
      </c>
      <c r="G30" s="107">
        <f>MAX($C23:G23)</f>
        <v>599</v>
      </c>
      <c r="H30" s="107">
        <f>MAX($C23:H23)</f>
        <v>599</v>
      </c>
      <c r="I30" s="107">
        <f>MAX($C23:I23)</f>
        <v>599</v>
      </c>
      <c r="J30" s="107">
        <f>MAX($C23:J23)</f>
        <v>601</v>
      </c>
      <c r="K30" s="107">
        <f>MAX($C23:K23)</f>
        <v>610</v>
      </c>
      <c r="L30" s="107">
        <f>MAX($C23:L23)</f>
        <v>610</v>
      </c>
      <c r="M30" s="107">
        <f>MAX($C23:M23)</f>
        <v>618</v>
      </c>
      <c r="N30" s="107">
        <f>MAX($C23:N23)</f>
        <v>618</v>
      </c>
      <c r="O30" s="107">
        <f>MAX($C23:O23)</f>
        <v>618</v>
      </c>
      <c r="P30" s="107">
        <f>MAX($C23:P23)</f>
        <v>637</v>
      </c>
      <c r="Q30" s="107">
        <f>MAX($C23:Q23)</f>
        <v>637</v>
      </c>
      <c r="R30" s="107">
        <f>MAX($C23:R23)</f>
        <v>637</v>
      </c>
      <c r="S30" s="107">
        <f>MAX($C23:S23)</f>
        <v>637</v>
      </c>
      <c r="T30" s="107">
        <f>MAX($C23:T23)</f>
        <v>670</v>
      </c>
      <c r="U30" s="107">
        <f>MAX($C23:U23)</f>
        <v>670</v>
      </c>
      <c r="V30" s="107">
        <f>MAX($C23:V23)</f>
        <v>670</v>
      </c>
      <c r="W30" s="107">
        <f>MAX($C23:W23)</f>
        <v>670</v>
      </c>
      <c r="X30" s="107">
        <f>MAX($C23:X23)</f>
        <v>670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226</v>
      </c>
      <c r="G2" s="203" t="s">
        <v>227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58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66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133</v>
      </c>
      <c r="D9">
        <v>131</v>
      </c>
      <c r="E9">
        <v>123</v>
      </c>
      <c r="F9">
        <v>172</v>
      </c>
      <c r="G9">
        <v>152</v>
      </c>
      <c r="H9">
        <v>131</v>
      </c>
      <c r="I9">
        <v>166</v>
      </c>
      <c r="K9">
        <v>135</v>
      </c>
      <c r="L9">
        <v>134</v>
      </c>
      <c r="M9">
        <v>101</v>
      </c>
      <c r="R9">
        <v>152</v>
      </c>
      <c r="U9">
        <v>141</v>
      </c>
      <c r="V9">
        <v>135</v>
      </c>
    </row>
    <row r="10" spans="1:24" ht="13.15" x14ac:dyDescent="0.4">
      <c r="A10">
        <v>4</v>
      </c>
      <c r="B10" s="3" t="s">
        <v>15</v>
      </c>
      <c r="C10">
        <v>115</v>
      </c>
      <c r="D10">
        <v>123</v>
      </c>
      <c r="E10">
        <v>134</v>
      </c>
      <c r="F10">
        <v>112</v>
      </c>
      <c r="G10">
        <v>139</v>
      </c>
      <c r="H10">
        <v>143</v>
      </c>
      <c r="I10">
        <v>137</v>
      </c>
      <c r="K10">
        <v>144</v>
      </c>
      <c r="L10">
        <v>156</v>
      </c>
      <c r="M10">
        <v>174</v>
      </c>
      <c r="R10">
        <v>122</v>
      </c>
      <c r="U10">
        <v>118</v>
      </c>
      <c r="V10">
        <v>145</v>
      </c>
    </row>
    <row r="11" spans="1:24" ht="13.15" x14ac:dyDescent="0.4">
      <c r="A11">
        <v>5</v>
      </c>
      <c r="B11" s="3" t="s">
        <v>16</v>
      </c>
      <c r="C11">
        <v>103</v>
      </c>
      <c r="D11">
        <v>127</v>
      </c>
      <c r="E11">
        <v>151</v>
      </c>
      <c r="F11">
        <v>127</v>
      </c>
      <c r="G11">
        <v>126</v>
      </c>
      <c r="H11">
        <v>128</v>
      </c>
      <c r="I11">
        <v>120</v>
      </c>
      <c r="L11">
        <v>112</v>
      </c>
      <c r="M11">
        <v>158</v>
      </c>
      <c r="R11">
        <v>151</v>
      </c>
      <c r="V11">
        <v>132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351</v>
      </c>
      <c r="D15" s="18">
        <f t="shared" si="2"/>
        <v>381</v>
      </c>
      <c r="E15" s="18">
        <f t="shared" si="2"/>
        <v>408</v>
      </c>
      <c r="F15" s="18">
        <f t="shared" si="2"/>
        <v>411</v>
      </c>
      <c r="G15" s="18">
        <f t="shared" si="2"/>
        <v>417</v>
      </c>
      <c r="H15" s="18">
        <f t="shared" si="2"/>
        <v>402</v>
      </c>
      <c r="I15" s="18">
        <f t="shared" si="2"/>
        <v>423</v>
      </c>
      <c r="J15" s="18">
        <f t="shared" si="2"/>
        <v>0</v>
      </c>
      <c r="K15" s="18">
        <f t="shared" si="2"/>
        <v>279</v>
      </c>
      <c r="L15" s="18">
        <f t="shared" si="2"/>
        <v>402</v>
      </c>
      <c r="M15" s="18">
        <f t="shared" si="2"/>
        <v>433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425</v>
      </c>
      <c r="S15" s="18">
        <f t="shared" si="2"/>
        <v>0</v>
      </c>
      <c r="T15" s="18">
        <f t="shared" si="2"/>
        <v>0</v>
      </c>
      <c r="U15" s="18">
        <f t="shared" si="2"/>
        <v>259</v>
      </c>
      <c r="V15" s="18">
        <f t="shared" si="2"/>
        <v>412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351</v>
      </c>
      <c r="D16" s="19">
        <f t="shared" ref="D16:X16" si="3">+D15+C16</f>
        <v>732</v>
      </c>
      <c r="E16" s="19">
        <f t="shared" si="3"/>
        <v>1140</v>
      </c>
      <c r="F16" s="19">
        <f t="shared" si="3"/>
        <v>1551</v>
      </c>
      <c r="G16" s="19">
        <f t="shared" si="3"/>
        <v>1968</v>
      </c>
      <c r="H16" s="19">
        <f t="shared" si="3"/>
        <v>2370</v>
      </c>
      <c r="I16" s="19">
        <f t="shared" si="3"/>
        <v>2793</v>
      </c>
      <c r="J16" s="19">
        <f t="shared" si="3"/>
        <v>2793</v>
      </c>
      <c r="K16" s="19">
        <f t="shared" si="3"/>
        <v>3072</v>
      </c>
      <c r="L16" s="19">
        <f t="shared" si="3"/>
        <v>3474</v>
      </c>
      <c r="M16" s="19">
        <f t="shared" si="3"/>
        <v>3907</v>
      </c>
      <c r="N16" s="19">
        <f t="shared" si="3"/>
        <v>3907</v>
      </c>
      <c r="O16" s="19">
        <f t="shared" si="3"/>
        <v>3907</v>
      </c>
      <c r="P16" s="19">
        <f t="shared" si="3"/>
        <v>3907</v>
      </c>
      <c r="Q16" s="19">
        <f t="shared" si="3"/>
        <v>3907</v>
      </c>
      <c r="R16" s="19">
        <f t="shared" si="3"/>
        <v>4332</v>
      </c>
      <c r="S16" s="19">
        <f t="shared" si="3"/>
        <v>4332</v>
      </c>
      <c r="T16" s="19">
        <f t="shared" si="3"/>
        <v>4332</v>
      </c>
      <c r="U16" s="19">
        <f t="shared" si="3"/>
        <v>4591</v>
      </c>
      <c r="V16" s="19">
        <f t="shared" si="3"/>
        <v>5003</v>
      </c>
      <c r="W16" s="19">
        <f t="shared" si="3"/>
        <v>5003</v>
      </c>
      <c r="X16" s="19">
        <f t="shared" si="3"/>
        <v>5003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117</v>
      </c>
      <c r="D17" s="20">
        <f t="shared" si="4"/>
        <v>122</v>
      </c>
      <c r="E17" s="20">
        <f t="shared" si="4"/>
        <v>126.66666666666667</v>
      </c>
      <c r="F17" s="20">
        <f t="shared" si="4"/>
        <v>129.25</v>
      </c>
      <c r="G17" s="20">
        <f t="shared" si="4"/>
        <v>131.19999999999999</v>
      </c>
      <c r="H17" s="20">
        <f t="shared" si="4"/>
        <v>131.66666666666666</v>
      </c>
      <c r="I17" s="20">
        <f t="shared" si="4"/>
        <v>133</v>
      </c>
      <c r="J17" s="20">
        <f t="shared" si="4"/>
        <v>133</v>
      </c>
      <c r="K17" s="20">
        <f t="shared" si="4"/>
        <v>133.56521739130434</v>
      </c>
      <c r="L17" s="20">
        <f t="shared" si="4"/>
        <v>133.61538461538461</v>
      </c>
      <c r="M17" s="20">
        <f t="shared" si="4"/>
        <v>134.72413793103448</v>
      </c>
      <c r="N17" s="20">
        <f t="shared" si="4"/>
        <v>134.72413793103448</v>
      </c>
      <c r="O17" s="20">
        <f t="shared" si="4"/>
        <v>134.72413793103448</v>
      </c>
      <c r="P17" s="20">
        <f t="shared" si="4"/>
        <v>134.72413793103448</v>
      </c>
      <c r="Q17" s="20">
        <f t="shared" si="4"/>
        <v>134.72413793103448</v>
      </c>
      <c r="R17" s="20">
        <f t="shared" si="4"/>
        <v>135.375</v>
      </c>
      <c r="S17" s="20">
        <f t="shared" si="4"/>
        <v>135.375</v>
      </c>
      <c r="T17" s="20">
        <f t="shared" si="4"/>
        <v>135.375</v>
      </c>
      <c r="U17" s="20">
        <f t="shared" si="4"/>
        <v>135.02941176470588</v>
      </c>
      <c r="V17" s="20">
        <f t="shared" si="4"/>
        <v>135.21621621621622</v>
      </c>
      <c r="W17" s="20">
        <f t="shared" si="4"/>
        <v>135.21621621621622</v>
      </c>
      <c r="X17" s="20">
        <f t="shared" si="4"/>
        <v>135.21621621621622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75</v>
      </c>
      <c r="D18" s="19">
        <f t="shared" si="5"/>
        <v>70</v>
      </c>
      <c r="E18" s="19">
        <f t="shared" si="5"/>
        <v>66</v>
      </c>
      <c r="F18" s="19">
        <f t="shared" si="5"/>
        <v>64</v>
      </c>
      <c r="G18" s="19">
        <f t="shared" si="5"/>
        <v>62</v>
      </c>
      <c r="H18" s="19">
        <f t="shared" si="5"/>
        <v>62</v>
      </c>
      <c r="I18" s="19">
        <f t="shared" si="5"/>
        <v>60</v>
      </c>
      <c r="J18" s="19">
        <f t="shared" si="5"/>
        <v>60</v>
      </c>
      <c r="K18" s="19">
        <f t="shared" si="5"/>
        <v>60</v>
      </c>
      <c r="L18" s="19">
        <f t="shared" si="5"/>
        <v>60</v>
      </c>
      <c r="M18" s="19">
        <f t="shared" si="5"/>
        <v>59</v>
      </c>
      <c r="N18" s="19">
        <f t="shared" si="5"/>
        <v>59</v>
      </c>
      <c r="O18" s="19">
        <f t="shared" si="5"/>
        <v>59</v>
      </c>
      <c r="P18" s="19">
        <f t="shared" si="5"/>
        <v>59</v>
      </c>
      <c r="Q18" s="19">
        <f t="shared" si="5"/>
        <v>59</v>
      </c>
      <c r="R18" s="19">
        <f t="shared" si="5"/>
        <v>58</v>
      </c>
      <c r="S18" s="19">
        <f t="shared" si="5"/>
        <v>58</v>
      </c>
      <c r="T18" s="19">
        <f t="shared" si="5"/>
        <v>58</v>
      </c>
      <c r="U18" s="19">
        <f t="shared" si="5"/>
        <v>58</v>
      </c>
      <c r="V18" s="19">
        <f t="shared" si="5"/>
        <v>58</v>
      </c>
      <c r="W18" s="19">
        <f t="shared" si="5"/>
        <v>58</v>
      </c>
      <c r="X18" s="19">
        <f t="shared" si="5"/>
        <v>58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6</v>
      </c>
      <c r="E19" s="19">
        <f t="shared" si="6"/>
        <v>9</v>
      </c>
      <c r="F19" s="19">
        <f t="shared" si="6"/>
        <v>12</v>
      </c>
      <c r="G19" s="19">
        <f t="shared" si="6"/>
        <v>15</v>
      </c>
      <c r="H19" s="19">
        <f t="shared" si="6"/>
        <v>18</v>
      </c>
      <c r="I19" s="19">
        <f t="shared" si="6"/>
        <v>21</v>
      </c>
      <c r="J19" s="19">
        <f t="shared" si="6"/>
        <v>21</v>
      </c>
      <c r="K19" s="19">
        <f t="shared" si="6"/>
        <v>23</v>
      </c>
      <c r="L19" s="19">
        <f t="shared" si="6"/>
        <v>26</v>
      </c>
      <c r="M19" s="19">
        <f t="shared" si="6"/>
        <v>29</v>
      </c>
      <c r="N19" s="19">
        <f t="shared" si="6"/>
        <v>29</v>
      </c>
      <c r="O19" s="19">
        <f t="shared" si="6"/>
        <v>29</v>
      </c>
      <c r="P19" s="19">
        <f t="shared" si="6"/>
        <v>29</v>
      </c>
      <c r="Q19" s="19">
        <f t="shared" si="6"/>
        <v>29</v>
      </c>
      <c r="R19" s="19">
        <f t="shared" si="6"/>
        <v>32</v>
      </c>
      <c r="S19" s="19">
        <f t="shared" si="6"/>
        <v>32</v>
      </c>
      <c r="T19" s="19">
        <f t="shared" si="6"/>
        <v>32</v>
      </c>
      <c r="U19" s="19">
        <f t="shared" si="6"/>
        <v>34</v>
      </c>
      <c r="V19" s="19">
        <f t="shared" si="6"/>
        <v>37</v>
      </c>
      <c r="W19" s="19">
        <f t="shared" si="6"/>
        <v>37</v>
      </c>
      <c r="X19" s="19">
        <f t="shared" si="6"/>
        <v>37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133</v>
      </c>
      <c r="D20" s="19">
        <f t="shared" si="7"/>
        <v>131</v>
      </c>
      <c r="E20" s="19">
        <f t="shared" si="7"/>
        <v>151</v>
      </c>
      <c r="F20" s="19">
        <f t="shared" si="7"/>
        <v>172</v>
      </c>
      <c r="G20" s="19">
        <f t="shared" si="7"/>
        <v>152</v>
      </c>
      <c r="H20" s="19">
        <f t="shared" si="7"/>
        <v>143</v>
      </c>
      <c r="I20" s="19">
        <f t="shared" si="7"/>
        <v>166</v>
      </c>
      <c r="J20" s="19">
        <f t="shared" si="7"/>
        <v>0</v>
      </c>
      <c r="K20" s="19">
        <f t="shared" si="7"/>
        <v>144</v>
      </c>
      <c r="L20" s="19">
        <f t="shared" si="7"/>
        <v>156</v>
      </c>
      <c r="M20" s="19">
        <f t="shared" si="7"/>
        <v>174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152</v>
      </c>
      <c r="S20" s="19">
        <f t="shared" si="7"/>
        <v>0</v>
      </c>
      <c r="T20" s="19">
        <f t="shared" si="7"/>
        <v>0</v>
      </c>
      <c r="U20" s="19">
        <f t="shared" si="7"/>
        <v>141</v>
      </c>
      <c r="V20" s="19">
        <f t="shared" si="7"/>
        <v>145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199</v>
      </c>
      <c r="D21" s="19">
        <f>MAX(D$9:D$14)+$I$5</f>
        <v>197</v>
      </c>
      <c r="E21" s="19">
        <f t="shared" ref="E21:X21" si="8">MAX(E$9:E$14)+D18</f>
        <v>221</v>
      </c>
      <c r="F21" s="19">
        <f t="shared" si="8"/>
        <v>238</v>
      </c>
      <c r="G21" s="19">
        <f t="shared" si="8"/>
        <v>216</v>
      </c>
      <c r="H21" s="19">
        <f t="shared" si="8"/>
        <v>205</v>
      </c>
      <c r="I21" s="19">
        <f t="shared" si="8"/>
        <v>228</v>
      </c>
      <c r="J21" s="19">
        <f t="shared" si="8"/>
        <v>60</v>
      </c>
      <c r="K21" s="19">
        <f t="shared" si="8"/>
        <v>204</v>
      </c>
      <c r="L21" s="19">
        <f t="shared" si="8"/>
        <v>216</v>
      </c>
      <c r="M21" s="19">
        <f t="shared" si="8"/>
        <v>234</v>
      </c>
      <c r="N21" s="19">
        <f t="shared" si="8"/>
        <v>59</v>
      </c>
      <c r="O21" s="19">
        <f t="shared" si="8"/>
        <v>59</v>
      </c>
      <c r="P21" s="19">
        <f t="shared" si="8"/>
        <v>59</v>
      </c>
      <c r="Q21" s="19">
        <f t="shared" si="8"/>
        <v>59</v>
      </c>
      <c r="R21" s="19">
        <f t="shared" si="8"/>
        <v>211</v>
      </c>
      <c r="S21" s="19">
        <f t="shared" si="8"/>
        <v>58</v>
      </c>
      <c r="T21" s="19">
        <f t="shared" si="8"/>
        <v>58</v>
      </c>
      <c r="U21" s="19">
        <f t="shared" si="8"/>
        <v>199</v>
      </c>
      <c r="V21" s="19">
        <f t="shared" si="8"/>
        <v>203</v>
      </c>
      <c r="W21" s="19">
        <f t="shared" si="8"/>
        <v>58</v>
      </c>
      <c r="X21" s="19">
        <f t="shared" si="8"/>
        <v>58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351</v>
      </c>
      <c r="D22" s="19">
        <f t="shared" ref="D22:X22" si="9">MAX(SUM(D$9:D$11),SUM(D$12:D$14))</f>
        <v>381</v>
      </c>
      <c r="E22" s="19">
        <f t="shared" si="9"/>
        <v>408</v>
      </c>
      <c r="F22" s="19">
        <f t="shared" si="9"/>
        <v>411</v>
      </c>
      <c r="G22" s="19">
        <f t="shared" si="9"/>
        <v>417</v>
      </c>
      <c r="H22" s="19">
        <f t="shared" si="9"/>
        <v>402</v>
      </c>
      <c r="I22" s="19">
        <f t="shared" si="9"/>
        <v>423</v>
      </c>
      <c r="J22" s="19">
        <f t="shared" si="9"/>
        <v>0</v>
      </c>
      <c r="K22" s="19">
        <f t="shared" si="9"/>
        <v>279</v>
      </c>
      <c r="L22" s="19">
        <f t="shared" si="9"/>
        <v>402</v>
      </c>
      <c r="M22" s="19">
        <f t="shared" si="9"/>
        <v>433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425</v>
      </c>
      <c r="S22" s="19">
        <f t="shared" si="9"/>
        <v>0</v>
      </c>
      <c r="T22" s="19">
        <f t="shared" si="9"/>
        <v>0</v>
      </c>
      <c r="U22" s="19">
        <f t="shared" si="9"/>
        <v>259</v>
      </c>
      <c r="V22" s="19">
        <f t="shared" si="9"/>
        <v>412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549</v>
      </c>
      <c r="D23" s="19">
        <f>MAX(SUM(D$9:D$11),SUM(D$12:D$14))+$I$5*3</f>
        <v>579</v>
      </c>
      <c r="E23" s="19">
        <f t="shared" ref="E23:X23" si="10">MAX(SUM(E$9:E$11),SUM(E$12:E$14))+D18*3</f>
        <v>618</v>
      </c>
      <c r="F23" s="19">
        <f t="shared" si="10"/>
        <v>609</v>
      </c>
      <c r="G23" s="19">
        <f t="shared" si="10"/>
        <v>609</v>
      </c>
      <c r="H23" s="19">
        <f t="shared" si="10"/>
        <v>588</v>
      </c>
      <c r="I23" s="19">
        <f t="shared" si="10"/>
        <v>609</v>
      </c>
      <c r="J23" s="19">
        <f t="shared" si="10"/>
        <v>180</v>
      </c>
      <c r="K23" s="19">
        <f t="shared" si="10"/>
        <v>459</v>
      </c>
      <c r="L23" s="19">
        <f t="shared" si="10"/>
        <v>582</v>
      </c>
      <c r="M23" s="19">
        <f t="shared" si="10"/>
        <v>613</v>
      </c>
      <c r="N23" s="19">
        <f t="shared" si="10"/>
        <v>177</v>
      </c>
      <c r="O23" s="19">
        <f t="shared" si="10"/>
        <v>177</v>
      </c>
      <c r="P23" s="19">
        <f t="shared" si="10"/>
        <v>177</v>
      </c>
      <c r="Q23" s="19">
        <f t="shared" si="10"/>
        <v>177</v>
      </c>
      <c r="R23" s="19">
        <f t="shared" si="10"/>
        <v>602</v>
      </c>
      <c r="S23" s="19">
        <f t="shared" si="10"/>
        <v>174</v>
      </c>
      <c r="T23" s="19">
        <f t="shared" si="10"/>
        <v>174</v>
      </c>
      <c r="U23" s="19">
        <f t="shared" si="10"/>
        <v>433</v>
      </c>
      <c r="V23" s="19">
        <f t="shared" si="10"/>
        <v>586</v>
      </c>
      <c r="W23" s="19">
        <f t="shared" si="10"/>
        <v>174</v>
      </c>
      <c r="X23" s="19">
        <f t="shared" si="10"/>
        <v>174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133</v>
      </c>
      <c r="D27" s="107">
        <f>MAX($C20:D20)</f>
        <v>133</v>
      </c>
      <c r="E27" s="107">
        <f>MAX($C20:E20)</f>
        <v>151</v>
      </c>
      <c r="F27" s="107">
        <f>MAX($C20:F20)</f>
        <v>172</v>
      </c>
      <c r="G27" s="107">
        <f>MAX($C20:G20)</f>
        <v>172</v>
      </c>
      <c r="H27" s="107">
        <f>MAX($C20:H20)</f>
        <v>172</v>
      </c>
      <c r="I27" s="107">
        <f>MAX($C20:I20)</f>
        <v>172</v>
      </c>
      <c r="J27" s="107">
        <f>MAX($C20:J20)</f>
        <v>172</v>
      </c>
      <c r="K27" s="107">
        <f>MAX($C20:K20)</f>
        <v>172</v>
      </c>
      <c r="L27" s="107">
        <f>MAX($C20:L20)</f>
        <v>172</v>
      </c>
      <c r="M27" s="107">
        <f>MAX($C20:M20)</f>
        <v>174</v>
      </c>
      <c r="N27" s="107">
        <f>MAX($C20:N20)</f>
        <v>174</v>
      </c>
      <c r="O27" s="107">
        <f>MAX($C20:O20)</f>
        <v>174</v>
      </c>
      <c r="P27" s="107">
        <f>MAX($C20:P20)</f>
        <v>174</v>
      </c>
      <c r="Q27" s="107">
        <f>MAX($C20:Q20)</f>
        <v>174</v>
      </c>
      <c r="R27" s="107">
        <f>MAX($C20:R20)</f>
        <v>174</v>
      </c>
      <c r="S27" s="107">
        <f>MAX($C20:S20)</f>
        <v>174</v>
      </c>
      <c r="T27" s="107">
        <f>MAX($C20:T20)</f>
        <v>174</v>
      </c>
      <c r="U27" s="107">
        <f>MAX($C20:U20)</f>
        <v>174</v>
      </c>
      <c r="V27" s="107">
        <f>MAX($C20:V20)</f>
        <v>174</v>
      </c>
      <c r="W27" s="107">
        <f>MAX($C20:W20)</f>
        <v>174</v>
      </c>
      <c r="X27" s="107">
        <f>MAX($C20:X20)</f>
        <v>174</v>
      </c>
    </row>
    <row r="28" spans="1:25" ht="13.15" x14ac:dyDescent="0.4">
      <c r="A28">
        <v>22</v>
      </c>
      <c r="B28" s="151" t="s">
        <v>78</v>
      </c>
      <c r="C28" s="19">
        <f>MAX(C21)</f>
        <v>199</v>
      </c>
      <c r="D28" s="107">
        <f>MAX($C21:D21)</f>
        <v>199</v>
      </c>
      <c r="E28" s="107">
        <f>MAX($C21:E21)</f>
        <v>221</v>
      </c>
      <c r="F28" s="107">
        <f>MAX($C21:F21)</f>
        <v>238</v>
      </c>
      <c r="G28" s="107">
        <f>MAX($C21:G21)</f>
        <v>238</v>
      </c>
      <c r="H28" s="107">
        <f>MAX($C21:H21)</f>
        <v>238</v>
      </c>
      <c r="I28" s="107">
        <f>MAX($C21:I21)</f>
        <v>238</v>
      </c>
      <c r="J28" s="107">
        <f>MAX($C21:J21)</f>
        <v>238</v>
      </c>
      <c r="K28" s="107">
        <f>MAX($C21:K21)</f>
        <v>238</v>
      </c>
      <c r="L28" s="107">
        <f>MAX($C21:L21)</f>
        <v>238</v>
      </c>
      <c r="M28" s="107">
        <f>MAX($C21:M21)</f>
        <v>238</v>
      </c>
      <c r="N28" s="107">
        <f>MAX($C21:N21)</f>
        <v>238</v>
      </c>
      <c r="O28" s="107">
        <f>MAX($C21:O21)</f>
        <v>238</v>
      </c>
      <c r="P28" s="107">
        <f>MAX($C21:P21)</f>
        <v>238</v>
      </c>
      <c r="Q28" s="107">
        <f>MAX($C21:Q21)</f>
        <v>238</v>
      </c>
      <c r="R28" s="107">
        <f>MAX($C21:R21)</f>
        <v>238</v>
      </c>
      <c r="S28" s="107">
        <f>MAX($C21:S21)</f>
        <v>238</v>
      </c>
      <c r="T28" s="107">
        <f>MAX($C21:T21)</f>
        <v>238</v>
      </c>
      <c r="U28" s="107">
        <f>MAX($C21:U21)</f>
        <v>238</v>
      </c>
      <c r="V28" s="107">
        <f>MAX($C21:V21)</f>
        <v>238</v>
      </c>
      <c r="W28" s="107">
        <f>MAX($C21:W21)</f>
        <v>238</v>
      </c>
      <c r="X28" s="107">
        <f>MAX($C21:X21)</f>
        <v>238</v>
      </c>
    </row>
    <row r="29" spans="1:25" ht="26.25" x14ac:dyDescent="0.4">
      <c r="A29">
        <v>23</v>
      </c>
      <c r="B29" s="151" t="s">
        <v>79</v>
      </c>
      <c r="C29" s="19">
        <f>MAX(C22)</f>
        <v>351</v>
      </c>
      <c r="D29" s="107">
        <f>MAX($C22:D22)</f>
        <v>381</v>
      </c>
      <c r="E29" s="107">
        <f>MAX($C22:E22)</f>
        <v>408</v>
      </c>
      <c r="F29" s="107">
        <f>MAX($C22:F22)</f>
        <v>411</v>
      </c>
      <c r="G29" s="107">
        <f>MAX($C22:G22)</f>
        <v>417</v>
      </c>
      <c r="H29" s="107">
        <f>MAX($C22:H22)</f>
        <v>417</v>
      </c>
      <c r="I29" s="107">
        <f>MAX($C22:I22)</f>
        <v>423</v>
      </c>
      <c r="J29" s="107">
        <f>MAX($C22:J22)</f>
        <v>423</v>
      </c>
      <c r="K29" s="107">
        <f>MAX($C22:K22)</f>
        <v>423</v>
      </c>
      <c r="L29" s="107">
        <f>MAX($C22:L22)</f>
        <v>423</v>
      </c>
      <c r="M29" s="107">
        <f>MAX($C22:M22)</f>
        <v>433</v>
      </c>
      <c r="N29" s="107">
        <f>MAX($C22:N22)</f>
        <v>433</v>
      </c>
      <c r="O29" s="107">
        <f>MAX($C22:O22)</f>
        <v>433</v>
      </c>
      <c r="P29" s="107">
        <f>MAX($C22:P22)</f>
        <v>433</v>
      </c>
      <c r="Q29" s="107">
        <f>MAX($C22:Q22)</f>
        <v>433</v>
      </c>
      <c r="R29" s="107">
        <f>MAX($C22:R22)</f>
        <v>433</v>
      </c>
      <c r="S29" s="107">
        <f>MAX($C22:S22)</f>
        <v>433</v>
      </c>
      <c r="T29" s="107">
        <f>MAX($C22:T22)</f>
        <v>433</v>
      </c>
      <c r="U29" s="107">
        <f>MAX($C22:U22)</f>
        <v>433</v>
      </c>
      <c r="V29" s="107">
        <f>MAX($C22:V22)</f>
        <v>433</v>
      </c>
      <c r="W29" s="107">
        <f>MAX($C22:W22)</f>
        <v>433</v>
      </c>
      <c r="X29" s="107">
        <f>MAX($C22:X22)</f>
        <v>433</v>
      </c>
    </row>
    <row r="30" spans="1:25" ht="13.15" x14ac:dyDescent="0.4">
      <c r="A30">
        <v>24</v>
      </c>
      <c r="B30" s="151" t="s">
        <v>80</v>
      </c>
      <c r="C30" s="19">
        <f>MAX(C23)</f>
        <v>549</v>
      </c>
      <c r="D30" s="107">
        <f>MAX($C23:D23)</f>
        <v>579</v>
      </c>
      <c r="E30" s="107">
        <f>MAX($C23:E23)</f>
        <v>618</v>
      </c>
      <c r="F30" s="107">
        <f>MAX($C23:F23)</f>
        <v>618</v>
      </c>
      <c r="G30" s="107">
        <f>MAX($C23:G23)</f>
        <v>618</v>
      </c>
      <c r="H30" s="107">
        <f>MAX($C23:H23)</f>
        <v>618</v>
      </c>
      <c r="I30" s="107">
        <f>MAX($C23:I23)</f>
        <v>618</v>
      </c>
      <c r="J30" s="107">
        <f>MAX($C23:J23)</f>
        <v>618</v>
      </c>
      <c r="K30" s="107">
        <f>MAX($C23:K23)</f>
        <v>618</v>
      </c>
      <c r="L30" s="107">
        <f>MAX($C23:L23)</f>
        <v>618</v>
      </c>
      <c r="M30" s="107">
        <f>MAX($C23:M23)</f>
        <v>618</v>
      </c>
      <c r="N30" s="107">
        <f>MAX($C23:N23)</f>
        <v>618</v>
      </c>
      <c r="O30" s="107">
        <f>MAX($C23:O23)</f>
        <v>618</v>
      </c>
      <c r="P30" s="107">
        <f>MAX($C23:P23)</f>
        <v>618</v>
      </c>
      <c r="Q30" s="107">
        <f>MAX($C23:Q23)</f>
        <v>618</v>
      </c>
      <c r="R30" s="107">
        <f>MAX($C23:R23)</f>
        <v>618</v>
      </c>
      <c r="S30" s="107">
        <f>MAX($C23:S23)</f>
        <v>618</v>
      </c>
      <c r="T30" s="107">
        <f>MAX($C23:T23)</f>
        <v>618</v>
      </c>
      <c r="U30" s="107">
        <f>MAX($C23:U23)</f>
        <v>618</v>
      </c>
      <c r="V30" s="107">
        <f>MAX($C23:V23)</f>
        <v>618</v>
      </c>
      <c r="W30" s="107">
        <f>MAX($C23:W23)</f>
        <v>618</v>
      </c>
      <c r="X30" s="107">
        <f>MAX($C23:X23)</f>
        <v>618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256</v>
      </c>
      <c r="G2" s="203" t="s">
        <v>224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56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66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169</v>
      </c>
      <c r="E9">
        <v>113</v>
      </c>
      <c r="H9">
        <v>136</v>
      </c>
      <c r="J9">
        <v>141</v>
      </c>
      <c r="M9">
        <v>140</v>
      </c>
      <c r="O9">
        <v>118</v>
      </c>
      <c r="P9">
        <v>131</v>
      </c>
      <c r="U9">
        <v>156</v>
      </c>
      <c r="V9">
        <v>170</v>
      </c>
    </row>
    <row r="10" spans="1:24" ht="13.15" x14ac:dyDescent="0.4">
      <c r="A10">
        <v>4</v>
      </c>
      <c r="B10" s="3" t="s">
        <v>15</v>
      </c>
      <c r="C10">
        <v>167</v>
      </c>
      <c r="E10">
        <v>147</v>
      </c>
      <c r="H10">
        <v>140</v>
      </c>
      <c r="J10">
        <v>185</v>
      </c>
      <c r="M10">
        <v>138</v>
      </c>
      <c r="O10">
        <v>177</v>
      </c>
      <c r="P10">
        <v>119</v>
      </c>
      <c r="U10">
        <v>102</v>
      </c>
      <c r="V10">
        <v>126</v>
      </c>
    </row>
    <row r="11" spans="1:24" ht="13.15" x14ac:dyDescent="0.4">
      <c r="A11">
        <v>5</v>
      </c>
      <c r="B11" s="3" t="s">
        <v>16</v>
      </c>
      <c r="E11">
        <v>141</v>
      </c>
      <c r="J11">
        <v>84</v>
      </c>
      <c r="M11">
        <v>125</v>
      </c>
      <c r="O11">
        <v>126</v>
      </c>
      <c r="U11">
        <v>132</v>
      </c>
      <c r="V11">
        <v>132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336</v>
      </c>
      <c r="D15" s="18">
        <f t="shared" si="2"/>
        <v>0</v>
      </c>
      <c r="E15" s="18">
        <f t="shared" si="2"/>
        <v>401</v>
      </c>
      <c r="F15" s="18">
        <f t="shared" si="2"/>
        <v>0</v>
      </c>
      <c r="G15" s="18">
        <f t="shared" si="2"/>
        <v>0</v>
      </c>
      <c r="H15" s="18">
        <f t="shared" si="2"/>
        <v>276</v>
      </c>
      <c r="I15" s="18">
        <f t="shared" si="2"/>
        <v>0</v>
      </c>
      <c r="J15" s="18">
        <f t="shared" si="2"/>
        <v>410</v>
      </c>
      <c r="K15" s="18">
        <f t="shared" si="2"/>
        <v>0</v>
      </c>
      <c r="L15" s="18">
        <f t="shared" si="2"/>
        <v>0</v>
      </c>
      <c r="M15" s="18">
        <f t="shared" si="2"/>
        <v>403</v>
      </c>
      <c r="N15" s="18">
        <f t="shared" si="2"/>
        <v>0</v>
      </c>
      <c r="O15" s="18">
        <f t="shared" si="2"/>
        <v>421</v>
      </c>
      <c r="P15" s="18">
        <f t="shared" si="2"/>
        <v>250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390</v>
      </c>
      <c r="V15" s="18">
        <f t="shared" si="2"/>
        <v>428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336</v>
      </c>
      <c r="D16" s="19">
        <f t="shared" ref="D16:X16" si="3">+D15+C16</f>
        <v>336</v>
      </c>
      <c r="E16" s="19">
        <f t="shared" si="3"/>
        <v>737</v>
      </c>
      <c r="F16" s="19">
        <f t="shared" si="3"/>
        <v>737</v>
      </c>
      <c r="G16" s="19">
        <f t="shared" si="3"/>
        <v>737</v>
      </c>
      <c r="H16" s="19">
        <f t="shared" si="3"/>
        <v>1013</v>
      </c>
      <c r="I16" s="19">
        <f t="shared" si="3"/>
        <v>1013</v>
      </c>
      <c r="J16" s="19">
        <f t="shared" si="3"/>
        <v>1423</v>
      </c>
      <c r="K16" s="19">
        <f t="shared" si="3"/>
        <v>1423</v>
      </c>
      <c r="L16" s="19">
        <f t="shared" si="3"/>
        <v>1423</v>
      </c>
      <c r="M16" s="19">
        <f t="shared" si="3"/>
        <v>1826</v>
      </c>
      <c r="N16" s="19">
        <f t="shared" si="3"/>
        <v>1826</v>
      </c>
      <c r="O16" s="19">
        <f t="shared" si="3"/>
        <v>2247</v>
      </c>
      <c r="P16" s="19">
        <f t="shared" si="3"/>
        <v>2497</v>
      </c>
      <c r="Q16" s="19">
        <f t="shared" si="3"/>
        <v>2497</v>
      </c>
      <c r="R16" s="19">
        <f t="shared" si="3"/>
        <v>2497</v>
      </c>
      <c r="S16" s="19">
        <f t="shared" si="3"/>
        <v>2497</v>
      </c>
      <c r="T16" s="19">
        <f t="shared" si="3"/>
        <v>2497</v>
      </c>
      <c r="U16" s="19">
        <f t="shared" si="3"/>
        <v>2887</v>
      </c>
      <c r="V16" s="19">
        <f t="shared" si="3"/>
        <v>3315</v>
      </c>
      <c r="W16" s="19">
        <f t="shared" si="3"/>
        <v>3315</v>
      </c>
      <c r="X16" s="19">
        <f t="shared" si="3"/>
        <v>3315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168</v>
      </c>
      <c r="D17" s="20">
        <f t="shared" si="4"/>
        <v>168</v>
      </c>
      <c r="E17" s="20">
        <f t="shared" si="4"/>
        <v>147.4</v>
      </c>
      <c r="F17" s="20">
        <f t="shared" si="4"/>
        <v>147.4</v>
      </c>
      <c r="G17" s="20">
        <f t="shared" si="4"/>
        <v>147.4</v>
      </c>
      <c r="H17" s="20">
        <f t="shared" si="4"/>
        <v>144.71428571428572</v>
      </c>
      <c r="I17" s="20">
        <f t="shared" si="4"/>
        <v>144.71428571428572</v>
      </c>
      <c r="J17" s="20">
        <f t="shared" si="4"/>
        <v>142.30000000000001</v>
      </c>
      <c r="K17" s="20">
        <f t="shared" si="4"/>
        <v>142.30000000000001</v>
      </c>
      <c r="L17" s="20">
        <f t="shared" si="4"/>
        <v>142.30000000000001</v>
      </c>
      <c r="M17" s="20">
        <f t="shared" si="4"/>
        <v>140.46153846153845</v>
      </c>
      <c r="N17" s="20">
        <f t="shared" si="4"/>
        <v>140.46153846153845</v>
      </c>
      <c r="O17" s="20">
        <f t="shared" si="4"/>
        <v>140.4375</v>
      </c>
      <c r="P17" s="20">
        <f t="shared" si="4"/>
        <v>138.72222222222223</v>
      </c>
      <c r="Q17" s="20">
        <f t="shared" si="4"/>
        <v>138.72222222222223</v>
      </c>
      <c r="R17" s="20">
        <f t="shared" si="4"/>
        <v>138.72222222222223</v>
      </c>
      <c r="S17" s="20">
        <f t="shared" si="4"/>
        <v>138.72222222222223</v>
      </c>
      <c r="T17" s="20">
        <f t="shared" si="4"/>
        <v>138.72222222222223</v>
      </c>
      <c r="U17" s="20">
        <f t="shared" si="4"/>
        <v>137.47619047619048</v>
      </c>
      <c r="V17" s="20">
        <f t="shared" si="4"/>
        <v>138.125</v>
      </c>
      <c r="W17" s="20">
        <f t="shared" si="4"/>
        <v>138.125</v>
      </c>
      <c r="X17" s="20">
        <f t="shared" si="4"/>
        <v>138.125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29</v>
      </c>
      <c r="D18" s="19">
        <f t="shared" si="5"/>
        <v>29</v>
      </c>
      <c r="E18" s="19">
        <f t="shared" si="5"/>
        <v>47</v>
      </c>
      <c r="F18" s="19">
        <f t="shared" si="5"/>
        <v>47</v>
      </c>
      <c r="G18" s="19">
        <f t="shared" si="5"/>
        <v>47</v>
      </c>
      <c r="H18" s="19">
        <f t="shared" si="5"/>
        <v>50</v>
      </c>
      <c r="I18" s="19">
        <f t="shared" si="5"/>
        <v>50</v>
      </c>
      <c r="J18" s="19">
        <f t="shared" si="5"/>
        <v>52</v>
      </c>
      <c r="K18" s="19">
        <f t="shared" si="5"/>
        <v>52</v>
      </c>
      <c r="L18" s="19">
        <f t="shared" si="5"/>
        <v>52</v>
      </c>
      <c r="M18" s="19">
        <f t="shared" si="5"/>
        <v>54</v>
      </c>
      <c r="N18" s="19">
        <f t="shared" si="5"/>
        <v>54</v>
      </c>
      <c r="O18" s="19">
        <f t="shared" si="5"/>
        <v>54</v>
      </c>
      <c r="P18" s="19">
        <f t="shared" si="5"/>
        <v>55</v>
      </c>
      <c r="Q18" s="19">
        <f t="shared" si="5"/>
        <v>55</v>
      </c>
      <c r="R18" s="19">
        <f t="shared" si="5"/>
        <v>55</v>
      </c>
      <c r="S18" s="19">
        <f t="shared" si="5"/>
        <v>55</v>
      </c>
      <c r="T18" s="19">
        <f t="shared" si="5"/>
        <v>55</v>
      </c>
      <c r="U18" s="19">
        <f t="shared" si="5"/>
        <v>56</v>
      </c>
      <c r="V18" s="19">
        <f t="shared" si="5"/>
        <v>56</v>
      </c>
      <c r="W18" s="19">
        <f t="shared" si="5"/>
        <v>56</v>
      </c>
      <c r="X18" s="19">
        <f t="shared" si="5"/>
        <v>56</v>
      </c>
    </row>
    <row r="19" spans="1:25" ht="13.15" x14ac:dyDescent="0.4">
      <c r="A19">
        <v>13</v>
      </c>
      <c r="B19" s="4" t="s">
        <v>9</v>
      </c>
      <c r="C19" s="19">
        <f>COUNT(C9:C14)</f>
        <v>2</v>
      </c>
      <c r="D19" s="19">
        <f t="shared" ref="D19:X19" si="6">COUNT(D9:D14)+C19</f>
        <v>2</v>
      </c>
      <c r="E19" s="19">
        <f t="shared" si="6"/>
        <v>5</v>
      </c>
      <c r="F19" s="19">
        <f t="shared" si="6"/>
        <v>5</v>
      </c>
      <c r="G19" s="19">
        <f t="shared" si="6"/>
        <v>5</v>
      </c>
      <c r="H19" s="19">
        <f t="shared" si="6"/>
        <v>7</v>
      </c>
      <c r="I19" s="19">
        <f t="shared" si="6"/>
        <v>7</v>
      </c>
      <c r="J19" s="19">
        <f t="shared" si="6"/>
        <v>10</v>
      </c>
      <c r="K19" s="19">
        <f t="shared" si="6"/>
        <v>10</v>
      </c>
      <c r="L19" s="19">
        <f t="shared" si="6"/>
        <v>10</v>
      </c>
      <c r="M19" s="19">
        <f t="shared" si="6"/>
        <v>13</v>
      </c>
      <c r="N19" s="19">
        <f t="shared" si="6"/>
        <v>13</v>
      </c>
      <c r="O19" s="19">
        <f t="shared" si="6"/>
        <v>16</v>
      </c>
      <c r="P19" s="19">
        <f t="shared" si="6"/>
        <v>18</v>
      </c>
      <c r="Q19" s="19">
        <f t="shared" si="6"/>
        <v>18</v>
      </c>
      <c r="R19" s="19">
        <f t="shared" si="6"/>
        <v>18</v>
      </c>
      <c r="S19" s="19">
        <f t="shared" si="6"/>
        <v>18</v>
      </c>
      <c r="T19" s="19">
        <f t="shared" si="6"/>
        <v>18</v>
      </c>
      <c r="U19" s="19">
        <f t="shared" si="6"/>
        <v>21</v>
      </c>
      <c r="V19" s="19">
        <f t="shared" si="6"/>
        <v>24</v>
      </c>
      <c r="W19" s="19">
        <f t="shared" si="6"/>
        <v>24</v>
      </c>
      <c r="X19" s="19">
        <f t="shared" si="6"/>
        <v>24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169</v>
      </c>
      <c r="D20" s="19">
        <f t="shared" si="7"/>
        <v>0</v>
      </c>
      <c r="E20" s="19">
        <f t="shared" si="7"/>
        <v>147</v>
      </c>
      <c r="F20" s="19">
        <f t="shared" si="7"/>
        <v>0</v>
      </c>
      <c r="G20" s="19">
        <f t="shared" si="7"/>
        <v>0</v>
      </c>
      <c r="H20" s="19">
        <f t="shared" si="7"/>
        <v>140</v>
      </c>
      <c r="I20" s="19">
        <f t="shared" si="7"/>
        <v>0</v>
      </c>
      <c r="J20" s="19">
        <f t="shared" si="7"/>
        <v>185</v>
      </c>
      <c r="K20" s="19">
        <f t="shared" si="7"/>
        <v>0</v>
      </c>
      <c r="L20" s="19">
        <f t="shared" si="7"/>
        <v>0</v>
      </c>
      <c r="M20" s="19">
        <f t="shared" si="7"/>
        <v>140</v>
      </c>
      <c r="N20" s="19">
        <f t="shared" si="7"/>
        <v>0</v>
      </c>
      <c r="O20" s="19">
        <f t="shared" si="7"/>
        <v>177</v>
      </c>
      <c r="P20" s="19">
        <f t="shared" si="7"/>
        <v>131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156</v>
      </c>
      <c r="V20" s="19">
        <f t="shared" si="7"/>
        <v>170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235</v>
      </c>
      <c r="D21" s="19">
        <f>MAX(D$9:D$14)+$I$5</f>
        <v>66</v>
      </c>
      <c r="E21" s="19">
        <f>MAX(E$9:E$14)+$I$5</f>
        <v>213</v>
      </c>
      <c r="F21" s="19">
        <f t="shared" ref="F21:X21" si="8">MAX(F$9:F$14)+E18</f>
        <v>47</v>
      </c>
      <c r="G21" s="19">
        <f t="shared" si="8"/>
        <v>47</v>
      </c>
      <c r="H21" s="19">
        <f t="shared" si="8"/>
        <v>187</v>
      </c>
      <c r="I21" s="19">
        <f t="shared" si="8"/>
        <v>50</v>
      </c>
      <c r="J21" s="19">
        <f t="shared" si="8"/>
        <v>235</v>
      </c>
      <c r="K21" s="19">
        <f t="shared" si="8"/>
        <v>52</v>
      </c>
      <c r="L21" s="19">
        <f t="shared" si="8"/>
        <v>52</v>
      </c>
      <c r="M21" s="19">
        <f t="shared" si="8"/>
        <v>192</v>
      </c>
      <c r="N21" s="19">
        <f t="shared" si="8"/>
        <v>54</v>
      </c>
      <c r="O21" s="19">
        <f t="shared" si="8"/>
        <v>231</v>
      </c>
      <c r="P21" s="19">
        <f t="shared" si="8"/>
        <v>185</v>
      </c>
      <c r="Q21" s="19">
        <f t="shared" si="8"/>
        <v>55</v>
      </c>
      <c r="R21" s="19">
        <f t="shared" si="8"/>
        <v>55</v>
      </c>
      <c r="S21" s="19">
        <f t="shared" si="8"/>
        <v>55</v>
      </c>
      <c r="T21" s="19">
        <f t="shared" si="8"/>
        <v>55</v>
      </c>
      <c r="U21" s="19">
        <f t="shared" si="8"/>
        <v>211</v>
      </c>
      <c r="V21" s="19">
        <f t="shared" si="8"/>
        <v>226</v>
      </c>
      <c r="W21" s="19">
        <f t="shared" si="8"/>
        <v>56</v>
      </c>
      <c r="X21" s="19">
        <f t="shared" si="8"/>
        <v>56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336</v>
      </c>
      <c r="D22" s="19">
        <f t="shared" ref="D22:X22" si="9">MAX(SUM(D$9:D$11),SUM(D$12:D$14))</f>
        <v>0</v>
      </c>
      <c r="E22" s="19">
        <f t="shared" si="9"/>
        <v>401</v>
      </c>
      <c r="F22" s="19">
        <f t="shared" si="9"/>
        <v>0</v>
      </c>
      <c r="G22" s="19">
        <f t="shared" si="9"/>
        <v>0</v>
      </c>
      <c r="H22" s="19">
        <f t="shared" si="9"/>
        <v>276</v>
      </c>
      <c r="I22" s="19">
        <f t="shared" si="9"/>
        <v>0</v>
      </c>
      <c r="J22" s="19">
        <f t="shared" si="9"/>
        <v>410</v>
      </c>
      <c r="K22" s="19">
        <f t="shared" si="9"/>
        <v>0</v>
      </c>
      <c r="L22" s="19">
        <f t="shared" si="9"/>
        <v>0</v>
      </c>
      <c r="M22" s="19">
        <f t="shared" si="9"/>
        <v>403</v>
      </c>
      <c r="N22" s="19">
        <f t="shared" si="9"/>
        <v>0</v>
      </c>
      <c r="O22" s="19">
        <f t="shared" si="9"/>
        <v>421</v>
      </c>
      <c r="P22" s="19">
        <f t="shared" si="9"/>
        <v>250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390</v>
      </c>
      <c r="V22" s="19">
        <f t="shared" si="9"/>
        <v>428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534</v>
      </c>
      <c r="D23" s="19">
        <f>MAX(SUM(D$9:D$11),SUM(D$12:D$14))+$I$5*3</f>
        <v>198</v>
      </c>
      <c r="E23" s="19">
        <f>MAX(SUM(E$9:E$11),SUM(E$12:E$14))+$I$5*3</f>
        <v>599</v>
      </c>
      <c r="F23" s="19">
        <f t="shared" ref="F23:X23" si="10">MAX(SUM(F$9:F$11),SUM(F$12:F$14))+E18*3</f>
        <v>141</v>
      </c>
      <c r="G23" s="19">
        <f t="shared" si="10"/>
        <v>141</v>
      </c>
      <c r="H23" s="19">
        <f t="shared" si="10"/>
        <v>417</v>
      </c>
      <c r="I23" s="19">
        <f t="shared" si="10"/>
        <v>150</v>
      </c>
      <c r="J23" s="19">
        <f t="shared" si="10"/>
        <v>560</v>
      </c>
      <c r="K23" s="19">
        <f t="shared" si="10"/>
        <v>156</v>
      </c>
      <c r="L23" s="19">
        <f t="shared" si="10"/>
        <v>156</v>
      </c>
      <c r="M23" s="19">
        <f t="shared" si="10"/>
        <v>559</v>
      </c>
      <c r="N23" s="19">
        <f t="shared" si="10"/>
        <v>162</v>
      </c>
      <c r="O23" s="19">
        <f t="shared" si="10"/>
        <v>583</v>
      </c>
      <c r="P23" s="19">
        <f t="shared" si="10"/>
        <v>412</v>
      </c>
      <c r="Q23" s="19">
        <f t="shared" si="10"/>
        <v>165</v>
      </c>
      <c r="R23" s="19">
        <f t="shared" si="10"/>
        <v>165</v>
      </c>
      <c r="S23" s="19">
        <f t="shared" si="10"/>
        <v>165</v>
      </c>
      <c r="T23" s="19">
        <f t="shared" si="10"/>
        <v>165</v>
      </c>
      <c r="U23" s="19">
        <f t="shared" si="10"/>
        <v>555</v>
      </c>
      <c r="V23" s="19">
        <f t="shared" si="10"/>
        <v>596</v>
      </c>
      <c r="W23" s="19">
        <f t="shared" si="10"/>
        <v>168</v>
      </c>
      <c r="X23" s="19">
        <f t="shared" si="10"/>
        <v>168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169</v>
      </c>
      <c r="D27" s="107">
        <f>MAX($C20:D20)</f>
        <v>169</v>
      </c>
      <c r="E27" s="107">
        <f>MAX($C20:E20)</f>
        <v>169</v>
      </c>
      <c r="F27" s="107">
        <f>MAX($C20:F20)</f>
        <v>169</v>
      </c>
      <c r="G27" s="107">
        <f>MAX($C20:G20)</f>
        <v>169</v>
      </c>
      <c r="H27" s="107">
        <f>MAX($C20:H20)</f>
        <v>169</v>
      </c>
      <c r="I27" s="107">
        <f>MAX($C20:I20)</f>
        <v>169</v>
      </c>
      <c r="J27" s="107">
        <f>MAX($C20:J20)</f>
        <v>185</v>
      </c>
      <c r="K27" s="107">
        <f>MAX($C20:K20)</f>
        <v>185</v>
      </c>
      <c r="L27" s="107">
        <f>MAX($C20:L20)</f>
        <v>185</v>
      </c>
      <c r="M27" s="107">
        <f>MAX($C20:M20)</f>
        <v>185</v>
      </c>
      <c r="N27" s="107">
        <f>MAX($C20:N20)</f>
        <v>185</v>
      </c>
      <c r="O27" s="107">
        <f>MAX($C20:O20)</f>
        <v>185</v>
      </c>
      <c r="P27" s="107">
        <f>MAX($C20:P20)</f>
        <v>185</v>
      </c>
      <c r="Q27" s="107">
        <f>MAX($C20:Q20)</f>
        <v>185</v>
      </c>
      <c r="R27" s="107">
        <f>MAX($C20:R20)</f>
        <v>185</v>
      </c>
      <c r="S27" s="107">
        <f>MAX($C20:S20)</f>
        <v>185</v>
      </c>
      <c r="T27" s="107">
        <f>MAX($C20:T20)</f>
        <v>185</v>
      </c>
      <c r="U27" s="107">
        <f>MAX($C20:U20)</f>
        <v>185</v>
      </c>
      <c r="V27" s="107">
        <f>MAX($C20:V20)</f>
        <v>185</v>
      </c>
      <c r="W27" s="107">
        <f>MAX($C20:W20)</f>
        <v>185</v>
      </c>
      <c r="X27" s="107">
        <f>MAX($C20:X20)</f>
        <v>185</v>
      </c>
    </row>
    <row r="28" spans="1:25" ht="13.15" x14ac:dyDescent="0.4">
      <c r="A28">
        <v>22</v>
      </c>
      <c r="B28" s="151" t="s">
        <v>78</v>
      </c>
      <c r="C28" s="19">
        <f>MAX(C21)</f>
        <v>235</v>
      </c>
      <c r="D28" s="107">
        <f>MAX($C21:D21)</f>
        <v>235</v>
      </c>
      <c r="E28" s="107">
        <f>MAX($C21:E21)</f>
        <v>235</v>
      </c>
      <c r="F28" s="107">
        <f>MAX($C21:F21)</f>
        <v>235</v>
      </c>
      <c r="G28" s="107">
        <f>MAX($C21:G21)</f>
        <v>235</v>
      </c>
      <c r="H28" s="107">
        <f>MAX($C21:H21)</f>
        <v>235</v>
      </c>
      <c r="I28" s="107">
        <f>MAX($C21:I21)</f>
        <v>235</v>
      </c>
      <c r="J28" s="107">
        <f>MAX($C21:J21)</f>
        <v>235</v>
      </c>
      <c r="K28" s="107">
        <f>MAX($C21:K21)</f>
        <v>235</v>
      </c>
      <c r="L28" s="107">
        <f>MAX($C21:L21)</f>
        <v>235</v>
      </c>
      <c r="M28" s="107">
        <f>MAX($C21:M21)</f>
        <v>235</v>
      </c>
      <c r="N28" s="107">
        <f>MAX($C21:N21)</f>
        <v>235</v>
      </c>
      <c r="O28" s="107">
        <f>MAX($C21:O21)</f>
        <v>235</v>
      </c>
      <c r="P28" s="107">
        <f>MAX($C21:P21)</f>
        <v>235</v>
      </c>
      <c r="Q28" s="107">
        <f>MAX($C21:Q21)</f>
        <v>235</v>
      </c>
      <c r="R28" s="107">
        <f>MAX($C21:R21)</f>
        <v>235</v>
      </c>
      <c r="S28" s="107">
        <f>MAX($C21:S21)</f>
        <v>235</v>
      </c>
      <c r="T28" s="107">
        <f>MAX($C21:T21)</f>
        <v>235</v>
      </c>
      <c r="U28" s="107">
        <f>MAX($C21:U21)</f>
        <v>235</v>
      </c>
      <c r="V28" s="107">
        <f>MAX($C21:V21)</f>
        <v>235</v>
      </c>
      <c r="W28" s="107">
        <f>MAX($C21:W21)</f>
        <v>235</v>
      </c>
      <c r="X28" s="107">
        <f>MAX($C21:X21)</f>
        <v>235</v>
      </c>
    </row>
    <row r="29" spans="1:25" ht="26.25" x14ac:dyDescent="0.4">
      <c r="A29">
        <v>23</v>
      </c>
      <c r="B29" s="151" t="s">
        <v>79</v>
      </c>
      <c r="C29" s="19">
        <f>MAX(C22)</f>
        <v>336</v>
      </c>
      <c r="D29" s="107">
        <f>MAX($C22:D22)</f>
        <v>336</v>
      </c>
      <c r="E29" s="107">
        <f>MAX($C22:E22)</f>
        <v>401</v>
      </c>
      <c r="F29" s="107">
        <f>MAX($C22:F22)</f>
        <v>401</v>
      </c>
      <c r="G29" s="107">
        <f>MAX($C22:G22)</f>
        <v>401</v>
      </c>
      <c r="H29" s="107">
        <f>MAX($C22:H22)</f>
        <v>401</v>
      </c>
      <c r="I29" s="107">
        <f>MAX($C22:I22)</f>
        <v>401</v>
      </c>
      <c r="J29" s="107">
        <f>MAX($C22:J22)</f>
        <v>410</v>
      </c>
      <c r="K29" s="107">
        <f>MAX($C22:K22)</f>
        <v>410</v>
      </c>
      <c r="L29" s="107">
        <f>MAX($C22:L22)</f>
        <v>410</v>
      </c>
      <c r="M29" s="107">
        <f>MAX($C22:M22)</f>
        <v>410</v>
      </c>
      <c r="N29" s="107">
        <f>MAX($C22:N22)</f>
        <v>410</v>
      </c>
      <c r="O29" s="107">
        <f>MAX($C22:O22)</f>
        <v>421</v>
      </c>
      <c r="P29" s="107">
        <f>MAX($C22:P22)</f>
        <v>421</v>
      </c>
      <c r="Q29" s="107">
        <f>MAX($C22:Q22)</f>
        <v>421</v>
      </c>
      <c r="R29" s="107">
        <f>MAX($C22:R22)</f>
        <v>421</v>
      </c>
      <c r="S29" s="107">
        <f>MAX($C22:S22)</f>
        <v>421</v>
      </c>
      <c r="T29" s="107">
        <f>MAX($C22:T22)</f>
        <v>421</v>
      </c>
      <c r="U29" s="107">
        <f>MAX($C22:U22)</f>
        <v>421</v>
      </c>
      <c r="V29" s="107">
        <f>MAX($C22:V22)</f>
        <v>428</v>
      </c>
      <c r="W29" s="107">
        <f>MAX($C22:W22)</f>
        <v>428</v>
      </c>
      <c r="X29" s="107">
        <f>MAX($C22:X22)</f>
        <v>428</v>
      </c>
    </row>
    <row r="30" spans="1:25" ht="13.15" x14ac:dyDescent="0.4">
      <c r="A30">
        <v>24</v>
      </c>
      <c r="B30" s="151" t="s">
        <v>80</v>
      </c>
      <c r="C30" s="19">
        <f>MAX(C23)</f>
        <v>534</v>
      </c>
      <c r="D30" s="107">
        <f>MAX($C23:D23)</f>
        <v>534</v>
      </c>
      <c r="E30" s="107">
        <f>MAX($C23:E23)</f>
        <v>599</v>
      </c>
      <c r="F30" s="107">
        <f>MAX($C23:F23)</f>
        <v>599</v>
      </c>
      <c r="G30" s="107">
        <f>MAX($C23:G23)</f>
        <v>599</v>
      </c>
      <c r="H30" s="107">
        <f>MAX($C23:H23)</f>
        <v>599</v>
      </c>
      <c r="I30" s="107">
        <f>MAX($C23:I23)</f>
        <v>599</v>
      </c>
      <c r="J30" s="107">
        <f>MAX($C23:J23)</f>
        <v>599</v>
      </c>
      <c r="K30" s="107">
        <f>MAX($C23:K23)</f>
        <v>599</v>
      </c>
      <c r="L30" s="107">
        <f>MAX($C23:L23)</f>
        <v>599</v>
      </c>
      <c r="M30" s="107">
        <f>MAX($C23:M23)</f>
        <v>599</v>
      </c>
      <c r="N30" s="107">
        <f>MAX($C23:N23)</f>
        <v>599</v>
      </c>
      <c r="O30" s="107">
        <f>MAX($C23:O23)</f>
        <v>599</v>
      </c>
      <c r="P30" s="107">
        <f>MAX($C23:P23)</f>
        <v>599</v>
      </c>
      <c r="Q30" s="107">
        <f>MAX($C23:Q23)</f>
        <v>599</v>
      </c>
      <c r="R30" s="107">
        <f>MAX($C23:R23)</f>
        <v>599</v>
      </c>
      <c r="S30" s="107">
        <f>MAX($C23:S23)</f>
        <v>599</v>
      </c>
      <c r="T30" s="107">
        <f>MAX($C23:T23)</f>
        <v>599</v>
      </c>
      <c r="U30" s="107">
        <f>MAX($C23:U23)</f>
        <v>599</v>
      </c>
      <c r="V30" s="107">
        <f>MAX($C23:V23)</f>
        <v>599</v>
      </c>
      <c r="W30" s="107">
        <f>MAX($C23:W23)</f>
        <v>599</v>
      </c>
      <c r="X30" s="107">
        <f>MAX($C23:X23)</f>
        <v>599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156</v>
      </c>
      <c r="G2" s="203" t="s">
        <v>157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47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49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182</v>
      </c>
      <c r="E9">
        <v>148</v>
      </c>
      <c r="M9">
        <v>140</v>
      </c>
      <c r="T9">
        <v>111</v>
      </c>
      <c r="U9">
        <v>159</v>
      </c>
    </row>
    <row r="10" spans="1:24" ht="13.15" x14ac:dyDescent="0.4">
      <c r="A10">
        <v>4</v>
      </c>
      <c r="B10" s="3" t="s">
        <v>15</v>
      </c>
      <c r="C10">
        <v>165</v>
      </c>
      <c r="E10">
        <v>158</v>
      </c>
      <c r="M10">
        <v>142</v>
      </c>
      <c r="U10">
        <v>132</v>
      </c>
    </row>
    <row r="11" spans="1:24" ht="13.15" x14ac:dyDescent="0.4">
      <c r="A11">
        <v>5</v>
      </c>
      <c r="B11" s="3" t="s">
        <v>16</v>
      </c>
      <c r="C11">
        <v>203</v>
      </c>
      <c r="E11">
        <v>160</v>
      </c>
      <c r="M11">
        <v>110</v>
      </c>
      <c r="U11">
        <v>132</v>
      </c>
    </row>
    <row r="12" spans="1:24" ht="13.15" x14ac:dyDescent="0.4">
      <c r="A12">
        <v>6</v>
      </c>
      <c r="B12" s="3" t="s">
        <v>64</v>
      </c>
      <c r="T12">
        <v>130</v>
      </c>
    </row>
    <row r="13" spans="1:24" ht="13.15" x14ac:dyDescent="0.4">
      <c r="A13">
        <v>7</v>
      </c>
      <c r="B13" s="3" t="s">
        <v>65</v>
      </c>
      <c r="T13">
        <v>141</v>
      </c>
    </row>
    <row r="14" spans="1:24" ht="13.15" x14ac:dyDescent="0.4">
      <c r="A14">
        <v>8</v>
      </c>
      <c r="B14" s="3" t="s">
        <v>66</v>
      </c>
      <c r="T14">
        <v>154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550</v>
      </c>
      <c r="D15" s="18">
        <f t="shared" si="2"/>
        <v>0</v>
      </c>
      <c r="E15" s="18">
        <f t="shared" si="2"/>
        <v>466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392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536</v>
      </c>
      <c r="U15" s="18">
        <f t="shared" si="2"/>
        <v>423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550</v>
      </c>
      <c r="D16" s="19">
        <f t="shared" ref="D16:X16" si="3">+D15+C16</f>
        <v>550</v>
      </c>
      <c r="E16" s="19">
        <f t="shared" si="3"/>
        <v>1016</v>
      </c>
      <c r="F16" s="19">
        <f t="shared" si="3"/>
        <v>1016</v>
      </c>
      <c r="G16" s="19">
        <f t="shared" si="3"/>
        <v>1016</v>
      </c>
      <c r="H16" s="19">
        <f t="shared" si="3"/>
        <v>1016</v>
      </c>
      <c r="I16" s="19">
        <f t="shared" si="3"/>
        <v>1016</v>
      </c>
      <c r="J16" s="19">
        <f t="shared" si="3"/>
        <v>1016</v>
      </c>
      <c r="K16" s="19">
        <f t="shared" si="3"/>
        <v>1016</v>
      </c>
      <c r="L16" s="19">
        <f t="shared" si="3"/>
        <v>1016</v>
      </c>
      <c r="M16" s="19">
        <f t="shared" si="3"/>
        <v>1408</v>
      </c>
      <c r="N16" s="19">
        <f t="shared" si="3"/>
        <v>1408</v>
      </c>
      <c r="O16" s="19">
        <f t="shared" si="3"/>
        <v>1408</v>
      </c>
      <c r="P16" s="19">
        <f t="shared" si="3"/>
        <v>1408</v>
      </c>
      <c r="Q16" s="19">
        <f t="shared" si="3"/>
        <v>1408</v>
      </c>
      <c r="R16" s="19">
        <f t="shared" si="3"/>
        <v>1408</v>
      </c>
      <c r="S16" s="19">
        <f t="shared" si="3"/>
        <v>1408</v>
      </c>
      <c r="T16" s="19">
        <f t="shared" si="3"/>
        <v>1944</v>
      </c>
      <c r="U16" s="19">
        <f t="shared" si="3"/>
        <v>2367</v>
      </c>
      <c r="V16" s="19">
        <f t="shared" si="3"/>
        <v>2367</v>
      </c>
      <c r="W16" s="19">
        <f t="shared" si="3"/>
        <v>2367</v>
      </c>
      <c r="X16" s="19">
        <f t="shared" si="3"/>
        <v>2367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183.33333333333334</v>
      </c>
      <c r="D17" s="20">
        <f t="shared" si="4"/>
        <v>183.33333333333334</v>
      </c>
      <c r="E17" s="20">
        <f t="shared" si="4"/>
        <v>169.33333333333334</v>
      </c>
      <c r="F17" s="20">
        <f t="shared" si="4"/>
        <v>169.33333333333334</v>
      </c>
      <c r="G17" s="20">
        <f t="shared" si="4"/>
        <v>169.33333333333334</v>
      </c>
      <c r="H17" s="20">
        <f t="shared" si="4"/>
        <v>169.33333333333334</v>
      </c>
      <c r="I17" s="20">
        <f t="shared" si="4"/>
        <v>169.33333333333334</v>
      </c>
      <c r="J17" s="20">
        <f t="shared" si="4"/>
        <v>169.33333333333334</v>
      </c>
      <c r="K17" s="20">
        <f t="shared" si="4"/>
        <v>169.33333333333334</v>
      </c>
      <c r="L17" s="20">
        <f t="shared" si="4"/>
        <v>169.33333333333334</v>
      </c>
      <c r="M17" s="20">
        <f t="shared" si="4"/>
        <v>156.44444444444446</v>
      </c>
      <c r="N17" s="20">
        <f t="shared" si="4"/>
        <v>156.44444444444446</v>
      </c>
      <c r="O17" s="20">
        <f t="shared" si="4"/>
        <v>156.44444444444446</v>
      </c>
      <c r="P17" s="20">
        <f t="shared" si="4"/>
        <v>156.44444444444446</v>
      </c>
      <c r="Q17" s="20">
        <f t="shared" si="4"/>
        <v>156.44444444444446</v>
      </c>
      <c r="R17" s="20">
        <f t="shared" si="4"/>
        <v>156.44444444444446</v>
      </c>
      <c r="S17" s="20">
        <f t="shared" si="4"/>
        <v>156.44444444444446</v>
      </c>
      <c r="T17" s="20">
        <f t="shared" si="4"/>
        <v>149.53846153846155</v>
      </c>
      <c r="U17" s="20">
        <f t="shared" si="4"/>
        <v>147.9375</v>
      </c>
      <c r="V17" s="20">
        <f t="shared" si="4"/>
        <v>147.9375</v>
      </c>
      <c r="W17" s="20">
        <f t="shared" si="4"/>
        <v>147.9375</v>
      </c>
      <c r="X17" s="20">
        <f t="shared" si="4"/>
        <v>147.9375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15</v>
      </c>
      <c r="D18" s="19">
        <f t="shared" si="5"/>
        <v>15</v>
      </c>
      <c r="E18" s="19">
        <f t="shared" si="5"/>
        <v>28</v>
      </c>
      <c r="F18" s="19">
        <f t="shared" si="5"/>
        <v>28</v>
      </c>
      <c r="G18" s="19">
        <f t="shared" si="5"/>
        <v>28</v>
      </c>
      <c r="H18" s="19">
        <f t="shared" si="5"/>
        <v>28</v>
      </c>
      <c r="I18" s="19">
        <f t="shared" si="5"/>
        <v>28</v>
      </c>
      <c r="J18" s="19">
        <f t="shared" si="5"/>
        <v>28</v>
      </c>
      <c r="K18" s="19">
        <f t="shared" si="5"/>
        <v>28</v>
      </c>
      <c r="L18" s="19">
        <f t="shared" si="5"/>
        <v>28</v>
      </c>
      <c r="M18" s="19">
        <f t="shared" si="5"/>
        <v>39</v>
      </c>
      <c r="N18" s="19">
        <f t="shared" si="5"/>
        <v>39</v>
      </c>
      <c r="O18" s="19">
        <f t="shared" si="5"/>
        <v>39</v>
      </c>
      <c r="P18" s="19">
        <f t="shared" si="5"/>
        <v>39</v>
      </c>
      <c r="Q18" s="19">
        <f t="shared" si="5"/>
        <v>39</v>
      </c>
      <c r="R18" s="19">
        <f t="shared" si="5"/>
        <v>39</v>
      </c>
      <c r="S18" s="19">
        <f t="shared" si="5"/>
        <v>39</v>
      </c>
      <c r="T18" s="19">
        <f t="shared" si="5"/>
        <v>45</v>
      </c>
      <c r="U18" s="19">
        <f t="shared" si="5"/>
        <v>47</v>
      </c>
      <c r="V18" s="19">
        <f t="shared" si="5"/>
        <v>47</v>
      </c>
      <c r="W18" s="19">
        <f t="shared" si="5"/>
        <v>47</v>
      </c>
      <c r="X18" s="19">
        <f t="shared" si="5"/>
        <v>47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6</v>
      </c>
      <c r="G19" s="19">
        <f t="shared" si="6"/>
        <v>6</v>
      </c>
      <c r="H19" s="19">
        <f t="shared" si="6"/>
        <v>6</v>
      </c>
      <c r="I19" s="19">
        <f t="shared" si="6"/>
        <v>6</v>
      </c>
      <c r="J19" s="19">
        <f t="shared" si="6"/>
        <v>6</v>
      </c>
      <c r="K19" s="19">
        <f t="shared" si="6"/>
        <v>6</v>
      </c>
      <c r="L19" s="19">
        <f t="shared" si="6"/>
        <v>6</v>
      </c>
      <c r="M19" s="19">
        <f t="shared" si="6"/>
        <v>9</v>
      </c>
      <c r="N19" s="19">
        <f t="shared" si="6"/>
        <v>9</v>
      </c>
      <c r="O19" s="19">
        <f t="shared" si="6"/>
        <v>9</v>
      </c>
      <c r="P19" s="19">
        <f t="shared" si="6"/>
        <v>9</v>
      </c>
      <c r="Q19" s="19">
        <f t="shared" si="6"/>
        <v>9</v>
      </c>
      <c r="R19" s="19">
        <f t="shared" si="6"/>
        <v>9</v>
      </c>
      <c r="S19" s="19">
        <f t="shared" si="6"/>
        <v>9</v>
      </c>
      <c r="T19" s="19">
        <f t="shared" si="6"/>
        <v>13</v>
      </c>
      <c r="U19" s="19">
        <f t="shared" si="6"/>
        <v>16</v>
      </c>
      <c r="V19" s="19">
        <f t="shared" si="6"/>
        <v>16</v>
      </c>
      <c r="W19" s="19">
        <f t="shared" si="6"/>
        <v>16</v>
      </c>
      <c r="X19" s="19">
        <f t="shared" si="6"/>
        <v>16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203</v>
      </c>
      <c r="D20" s="19">
        <f t="shared" si="7"/>
        <v>0</v>
      </c>
      <c r="E20" s="19">
        <f t="shared" si="7"/>
        <v>160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142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154</v>
      </c>
      <c r="U20" s="19">
        <f t="shared" si="7"/>
        <v>159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252</v>
      </c>
      <c r="D21" s="19">
        <f>MAX(D$9:D$14)+$I$5</f>
        <v>49</v>
      </c>
      <c r="E21" s="19">
        <f>MAX(E$9:E$14)+$I$5</f>
        <v>209</v>
      </c>
      <c r="F21" s="19">
        <f t="shared" ref="F21:X21" si="8">MAX(F$9:F$14)+E18</f>
        <v>28</v>
      </c>
      <c r="G21" s="19">
        <f t="shared" si="8"/>
        <v>28</v>
      </c>
      <c r="H21" s="19">
        <f t="shared" si="8"/>
        <v>28</v>
      </c>
      <c r="I21" s="19">
        <f t="shared" si="8"/>
        <v>28</v>
      </c>
      <c r="J21" s="19">
        <f t="shared" si="8"/>
        <v>28</v>
      </c>
      <c r="K21" s="19">
        <f t="shared" si="8"/>
        <v>28</v>
      </c>
      <c r="L21" s="19">
        <f t="shared" si="8"/>
        <v>28</v>
      </c>
      <c r="M21" s="19">
        <f t="shared" si="8"/>
        <v>170</v>
      </c>
      <c r="N21" s="19">
        <f t="shared" si="8"/>
        <v>39</v>
      </c>
      <c r="O21" s="19">
        <f t="shared" si="8"/>
        <v>39</v>
      </c>
      <c r="P21" s="19">
        <f t="shared" si="8"/>
        <v>39</v>
      </c>
      <c r="Q21" s="19">
        <f t="shared" si="8"/>
        <v>39</v>
      </c>
      <c r="R21" s="19">
        <f t="shared" si="8"/>
        <v>39</v>
      </c>
      <c r="S21" s="19">
        <f t="shared" si="8"/>
        <v>39</v>
      </c>
      <c r="T21" s="19">
        <f t="shared" si="8"/>
        <v>193</v>
      </c>
      <c r="U21" s="19">
        <f t="shared" si="8"/>
        <v>204</v>
      </c>
      <c r="V21" s="19">
        <f t="shared" si="8"/>
        <v>47</v>
      </c>
      <c r="W21" s="19">
        <f t="shared" si="8"/>
        <v>47</v>
      </c>
      <c r="X21" s="19">
        <f t="shared" si="8"/>
        <v>47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550</v>
      </c>
      <c r="D22" s="19">
        <f t="shared" ref="D22:X22" si="9">MAX(SUM(D$9:D$11),SUM(D$12:D$14))</f>
        <v>0</v>
      </c>
      <c r="E22" s="19">
        <f t="shared" si="9"/>
        <v>466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392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425</v>
      </c>
      <c r="U22" s="19">
        <f t="shared" si="9"/>
        <v>423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697</v>
      </c>
      <c r="D23" s="19">
        <f>MAX(SUM(D$9:D$11),SUM(D$12:D$14))+$I$5*3</f>
        <v>147</v>
      </c>
      <c r="E23" s="19">
        <f>MAX(SUM(E$9:E$11),SUM(E$12:E$14))+$I$5*3</f>
        <v>613</v>
      </c>
      <c r="F23" s="19">
        <f t="shared" ref="F23:X23" si="10">MAX(SUM(F$9:F$11),SUM(F$12:F$14))+E18*3</f>
        <v>84</v>
      </c>
      <c r="G23" s="19">
        <f t="shared" si="10"/>
        <v>84</v>
      </c>
      <c r="H23" s="19">
        <f t="shared" si="10"/>
        <v>84</v>
      </c>
      <c r="I23" s="19">
        <f t="shared" si="10"/>
        <v>84</v>
      </c>
      <c r="J23" s="19">
        <f t="shared" si="10"/>
        <v>84</v>
      </c>
      <c r="K23" s="19">
        <f t="shared" si="10"/>
        <v>84</v>
      </c>
      <c r="L23" s="19">
        <f t="shared" si="10"/>
        <v>84</v>
      </c>
      <c r="M23" s="19">
        <f t="shared" si="10"/>
        <v>476</v>
      </c>
      <c r="N23" s="19">
        <f t="shared" si="10"/>
        <v>117</v>
      </c>
      <c r="O23" s="19">
        <f t="shared" si="10"/>
        <v>117</v>
      </c>
      <c r="P23" s="19">
        <f t="shared" si="10"/>
        <v>117</v>
      </c>
      <c r="Q23" s="19">
        <f t="shared" si="10"/>
        <v>117</v>
      </c>
      <c r="R23" s="19">
        <f t="shared" si="10"/>
        <v>117</v>
      </c>
      <c r="S23" s="19">
        <f t="shared" si="10"/>
        <v>117</v>
      </c>
      <c r="T23" s="19">
        <f t="shared" si="10"/>
        <v>542</v>
      </c>
      <c r="U23" s="19">
        <f t="shared" si="10"/>
        <v>558</v>
      </c>
      <c r="V23" s="19">
        <f t="shared" si="10"/>
        <v>141</v>
      </c>
      <c r="W23" s="19">
        <f t="shared" si="10"/>
        <v>141</v>
      </c>
      <c r="X23" s="19">
        <f t="shared" si="10"/>
        <v>141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203</v>
      </c>
      <c r="D27" s="107">
        <f>MAX($C20:D20)</f>
        <v>203</v>
      </c>
      <c r="E27" s="107">
        <f>MAX($C20:E20)</f>
        <v>203</v>
      </c>
      <c r="F27" s="107">
        <f>MAX($C20:F20)</f>
        <v>203</v>
      </c>
      <c r="G27" s="107">
        <f>MAX($C20:G20)</f>
        <v>203</v>
      </c>
      <c r="H27" s="107">
        <f>MAX($C20:H20)</f>
        <v>203</v>
      </c>
      <c r="I27" s="107">
        <f>MAX($C20:I20)</f>
        <v>203</v>
      </c>
      <c r="J27" s="107">
        <f>MAX($C20:J20)</f>
        <v>203</v>
      </c>
      <c r="K27" s="107">
        <f>MAX($C20:K20)</f>
        <v>203</v>
      </c>
      <c r="L27" s="107">
        <f>MAX($C20:L20)</f>
        <v>203</v>
      </c>
      <c r="M27" s="107">
        <f>MAX($C20:M20)</f>
        <v>203</v>
      </c>
      <c r="N27" s="107">
        <f>MAX($C20:N20)</f>
        <v>203</v>
      </c>
      <c r="O27" s="107">
        <f>MAX($C20:O20)</f>
        <v>203</v>
      </c>
      <c r="P27" s="107">
        <f>MAX($C20:P20)</f>
        <v>203</v>
      </c>
      <c r="Q27" s="107">
        <f>MAX($C20:Q20)</f>
        <v>203</v>
      </c>
      <c r="R27" s="107">
        <f>MAX($C20:R20)</f>
        <v>203</v>
      </c>
      <c r="S27" s="107">
        <f>MAX($C20:S20)</f>
        <v>203</v>
      </c>
      <c r="T27" s="107">
        <f>MAX($C20:T20)</f>
        <v>203</v>
      </c>
      <c r="U27" s="107">
        <f>MAX($C20:U20)</f>
        <v>203</v>
      </c>
      <c r="V27" s="107">
        <f>MAX($C20:V20)</f>
        <v>203</v>
      </c>
      <c r="W27" s="107">
        <f>MAX($C20:W20)</f>
        <v>203</v>
      </c>
      <c r="X27" s="107">
        <f>MAX($C20:X20)</f>
        <v>203</v>
      </c>
    </row>
    <row r="28" spans="1:25" ht="13.15" x14ac:dyDescent="0.4">
      <c r="A28">
        <v>22</v>
      </c>
      <c r="B28" s="151" t="s">
        <v>78</v>
      </c>
      <c r="C28" s="19">
        <f>MAX(C21)</f>
        <v>252</v>
      </c>
      <c r="D28" s="107">
        <f>MAX($C21:D21)</f>
        <v>252</v>
      </c>
      <c r="E28" s="107">
        <f>MAX($C21:E21)</f>
        <v>252</v>
      </c>
      <c r="F28" s="107">
        <f>MAX($C21:F21)</f>
        <v>252</v>
      </c>
      <c r="G28" s="107">
        <f>MAX($C21:G21)</f>
        <v>252</v>
      </c>
      <c r="H28" s="107">
        <f>MAX($C21:H21)</f>
        <v>252</v>
      </c>
      <c r="I28" s="107">
        <f>MAX($C21:I21)</f>
        <v>252</v>
      </c>
      <c r="J28" s="107">
        <f>MAX($C21:J21)</f>
        <v>252</v>
      </c>
      <c r="K28" s="107">
        <f>MAX($C21:K21)</f>
        <v>252</v>
      </c>
      <c r="L28" s="107">
        <f>MAX($C21:L21)</f>
        <v>252</v>
      </c>
      <c r="M28" s="107">
        <f>MAX($C21:M21)</f>
        <v>252</v>
      </c>
      <c r="N28" s="107">
        <f>MAX($C21:N21)</f>
        <v>252</v>
      </c>
      <c r="O28" s="107">
        <f>MAX($C21:O21)</f>
        <v>252</v>
      </c>
      <c r="P28" s="107">
        <f>MAX($C21:P21)</f>
        <v>252</v>
      </c>
      <c r="Q28" s="107">
        <f>MAX($C21:Q21)</f>
        <v>252</v>
      </c>
      <c r="R28" s="107">
        <f>MAX($C21:R21)</f>
        <v>252</v>
      </c>
      <c r="S28" s="107">
        <f>MAX($C21:S21)</f>
        <v>252</v>
      </c>
      <c r="T28" s="107">
        <f>MAX($C21:T21)</f>
        <v>252</v>
      </c>
      <c r="U28" s="107">
        <f>MAX($C21:U21)</f>
        <v>252</v>
      </c>
      <c r="V28" s="107">
        <f>MAX($C21:V21)</f>
        <v>252</v>
      </c>
      <c r="W28" s="107">
        <f>MAX($C21:W21)</f>
        <v>252</v>
      </c>
      <c r="X28" s="107">
        <f>MAX($C21:X21)</f>
        <v>252</v>
      </c>
    </row>
    <row r="29" spans="1:25" ht="26.25" x14ac:dyDescent="0.4">
      <c r="A29">
        <v>23</v>
      </c>
      <c r="B29" s="151" t="s">
        <v>79</v>
      </c>
      <c r="C29" s="19">
        <f>MAX(C22)</f>
        <v>550</v>
      </c>
      <c r="D29" s="107">
        <f>MAX($C22:D22)</f>
        <v>550</v>
      </c>
      <c r="E29" s="107">
        <f>MAX($C22:E22)</f>
        <v>550</v>
      </c>
      <c r="F29" s="107">
        <f>MAX($C22:F22)</f>
        <v>550</v>
      </c>
      <c r="G29" s="107">
        <f>MAX($C22:G22)</f>
        <v>550</v>
      </c>
      <c r="H29" s="107">
        <f>MAX($C22:H22)</f>
        <v>550</v>
      </c>
      <c r="I29" s="107">
        <f>MAX($C22:I22)</f>
        <v>550</v>
      </c>
      <c r="J29" s="107">
        <f>MAX($C22:J22)</f>
        <v>550</v>
      </c>
      <c r="K29" s="107">
        <f>MAX($C22:K22)</f>
        <v>550</v>
      </c>
      <c r="L29" s="107">
        <f>MAX($C22:L22)</f>
        <v>550</v>
      </c>
      <c r="M29" s="107">
        <f>MAX($C22:M22)</f>
        <v>550</v>
      </c>
      <c r="N29" s="107">
        <f>MAX($C22:N22)</f>
        <v>550</v>
      </c>
      <c r="O29" s="107">
        <f>MAX($C22:O22)</f>
        <v>550</v>
      </c>
      <c r="P29" s="107">
        <f>MAX($C22:P22)</f>
        <v>550</v>
      </c>
      <c r="Q29" s="107">
        <f>MAX($C22:Q22)</f>
        <v>550</v>
      </c>
      <c r="R29" s="107">
        <f>MAX($C22:R22)</f>
        <v>550</v>
      </c>
      <c r="S29" s="107">
        <f>MAX($C22:S22)</f>
        <v>550</v>
      </c>
      <c r="T29" s="107">
        <f>MAX($C22:T22)</f>
        <v>550</v>
      </c>
      <c r="U29" s="107">
        <f>MAX($C22:U22)</f>
        <v>550</v>
      </c>
      <c r="V29" s="107">
        <f>MAX($C22:V22)</f>
        <v>550</v>
      </c>
      <c r="W29" s="107">
        <f>MAX($C22:W22)</f>
        <v>550</v>
      </c>
      <c r="X29" s="107">
        <f>MAX($C22:X22)</f>
        <v>550</v>
      </c>
    </row>
    <row r="30" spans="1:25" ht="13.15" x14ac:dyDescent="0.4">
      <c r="A30">
        <v>24</v>
      </c>
      <c r="B30" s="151" t="s">
        <v>80</v>
      </c>
      <c r="C30" s="19">
        <f>MAX(C23)</f>
        <v>697</v>
      </c>
      <c r="D30" s="107">
        <f>MAX($C23:D23)</f>
        <v>697</v>
      </c>
      <c r="E30" s="107">
        <f>MAX($C23:E23)</f>
        <v>697</v>
      </c>
      <c r="F30" s="107">
        <f>MAX($C23:F23)</f>
        <v>697</v>
      </c>
      <c r="G30" s="107">
        <f>MAX($C23:G23)</f>
        <v>697</v>
      </c>
      <c r="H30" s="107">
        <f>MAX($C23:H23)</f>
        <v>697</v>
      </c>
      <c r="I30" s="107">
        <f>MAX($C23:I23)</f>
        <v>697</v>
      </c>
      <c r="J30" s="107">
        <f>MAX($C23:J23)</f>
        <v>697</v>
      </c>
      <c r="K30" s="107">
        <f>MAX($C23:K23)</f>
        <v>697</v>
      </c>
      <c r="L30" s="107">
        <f>MAX($C23:L23)</f>
        <v>697</v>
      </c>
      <c r="M30" s="107">
        <f>MAX($C23:M23)</f>
        <v>697</v>
      </c>
      <c r="N30" s="107">
        <f>MAX($C23:N23)</f>
        <v>697</v>
      </c>
      <c r="O30" s="107">
        <f>MAX($C23:O23)</f>
        <v>697</v>
      </c>
      <c r="P30" s="107">
        <f>MAX($C23:P23)</f>
        <v>697</v>
      </c>
      <c r="Q30" s="107">
        <f>MAX($C23:Q23)</f>
        <v>697</v>
      </c>
      <c r="R30" s="107">
        <f>MAX($C23:R23)</f>
        <v>697</v>
      </c>
      <c r="S30" s="107">
        <f>MAX($C23:S23)</f>
        <v>697</v>
      </c>
      <c r="T30" s="107">
        <f>MAX($C23:T23)</f>
        <v>697</v>
      </c>
      <c r="U30" s="107">
        <f>MAX($C23:U23)</f>
        <v>697</v>
      </c>
      <c r="V30" s="107">
        <f>MAX($C23:V23)</f>
        <v>697</v>
      </c>
      <c r="W30" s="107">
        <f>MAX($C23:W23)</f>
        <v>697</v>
      </c>
      <c r="X30" s="107">
        <f>MAX($C23:X23)</f>
        <v>697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320</v>
      </c>
      <c r="G2" s="240" t="s">
        <v>321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69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118</v>
      </c>
      <c r="E9">
        <v>111</v>
      </c>
      <c r="F9">
        <v>86</v>
      </c>
      <c r="G9">
        <v>109</v>
      </c>
      <c r="H9">
        <v>113</v>
      </c>
      <c r="J9">
        <v>135</v>
      </c>
      <c r="L9">
        <v>109</v>
      </c>
      <c r="M9">
        <v>101</v>
      </c>
      <c r="N9">
        <v>137</v>
      </c>
      <c r="O9">
        <v>114</v>
      </c>
      <c r="Q9">
        <v>149</v>
      </c>
      <c r="T9">
        <v>124</v>
      </c>
      <c r="U9">
        <v>124</v>
      </c>
    </row>
    <row r="10" spans="1:24" ht="13.15" x14ac:dyDescent="0.4">
      <c r="A10">
        <v>4</v>
      </c>
      <c r="B10" s="3" t="s">
        <v>15</v>
      </c>
      <c r="D10">
        <v>138</v>
      </c>
      <c r="E10">
        <v>136</v>
      </c>
      <c r="F10">
        <v>73</v>
      </c>
      <c r="G10">
        <v>126</v>
      </c>
      <c r="H10">
        <v>138</v>
      </c>
      <c r="J10">
        <v>119</v>
      </c>
      <c r="L10">
        <v>132</v>
      </c>
      <c r="N10">
        <v>137</v>
      </c>
      <c r="O10">
        <v>135</v>
      </c>
      <c r="Q10">
        <v>94</v>
      </c>
      <c r="T10">
        <v>147</v>
      </c>
      <c r="U10">
        <v>132</v>
      </c>
    </row>
    <row r="11" spans="1:24" ht="13.15" x14ac:dyDescent="0.4">
      <c r="A11">
        <v>5</v>
      </c>
      <c r="B11" s="3" t="s">
        <v>16</v>
      </c>
      <c r="D11">
        <v>139</v>
      </c>
      <c r="E11">
        <v>109</v>
      </c>
      <c r="F11">
        <v>124</v>
      </c>
      <c r="H11">
        <v>154</v>
      </c>
      <c r="J11">
        <v>106</v>
      </c>
      <c r="N11">
        <v>139</v>
      </c>
      <c r="Q11">
        <v>150</v>
      </c>
      <c r="T11">
        <v>128</v>
      </c>
      <c r="U11">
        <v>124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395</v>
      </c>
      <c r="E15" s="18">
        <f t="shared" si="2"/>
        <v>356</v>
      </c>
      <c r="F15" s="18">
        <f t="shared" si="2"/>
        <v>283</v>
      </c>
      <c r="G15" s="18">
        <f t="shared" si="2"/>
        <v>235</v>
      </c>
      <c r="H15" s="18">
        <f t="shared" si="2"/>
        <v>405</v>
      </c>
      <c r="I15" s="18">
        <f t="shared" si="2"/>
        <v>0</v>
      </c>
      <c r="J15" s="18">
        <f t="shared" si="2"/>
        <v>360</v>
      </c>
      <c r="K15" s="18">
        <f t="shared" si="2"/>
        <v>0</v>
      </c>
      <c r="L15" s="18">
        <f t="shared" si="2"/>
        <v>241</v>
      </c>
      <c r="M15" s="18">
        <f t="shared" si="2"/>
        <v>101</v>
      </c>
      <c r="N15" s="18">
        <f t="shared" si="2"/>
        <v>413</v>
      </c>
      <c r="O15" s="18">
        <f t="shared" si="2"/>
        <v>249</v>
      </c>
      <c r="P15" s="18">
        <f t="shared" si="2"/>
        <v>0</v>
      </c>
      <c r="Q15" s="18">
        <f t="shared" si="2"/>
        <v>393</v>
      </c>
      <c r="R15" s="18">
        <f t="shared" si="2"/>
        <v>0</v>
      </c>
      <c r="S15" s="18">
        <f t="shared" si="2"/>
        <v>0</v>
      </c>
      <c r="T15" s="18">
        <f t="shared" si="2"/>
        <v>399</v>
      </c>
      <c r="U15" s="18">
        <f t="shared" si="2"/>
        <v>380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395</v>
      </c>
      <c r="E16" s="19">
        <f t="shared" si="3"/>
        <v>751</v>
      </c>
      <c r="F16" s="19">
        <f t="shared" si="3"/>
        <v>1034</v>
      </c>
      <c r="G16" s="19">
        <f t="shared" si="3"/>
        <v>1269</v>
      </c>
      <c r="H16" s="19">
        <f t="shared" si="3"/>
        <v>1674</v>
      </c>
      <c r="I16" s="19">
        <f t="shared" si="3"/>
        <v>1674</v>
      </c>
      <c r="J16" s="19">
        <f t="shared" si="3"/>
        <v>2034</v>
      </c>
      <c r="K16" s="19">
        <f t="shared" si="3"/>
        <v>2034</v>
      </c>
      <c r="L16" s="19">
        <f t="shared" si="3"/>
        <v>2275</v>
      </c>
      <c r="M16" s="19">
        <f t="shared" si="3"/>
        <v>2376</v>
      </c>
      <c r="N16" s="19">
        <f t="shared" si="3"/>
        <v>2789</v>
      </c>
      <c r="O16" s="19">
        <f t="shared" si="3"/>
        <v>3038</v>
      </c>
      <c r="P16" s="19">
        <f t="shared" si="3"/>
        <v>3038</v>
      </c>
      <c r="Q16" s="19">
        <f t="shared" si="3"/>
        <v>3431</v>
      </c>
      <c r="R16" s="19">
        <f t="shared" si="3"/>
        <v>3431</v>
      </c>
      <c r="S16" s="19">
        <f t="shared" si="3"/>
        <v>3431</v>
      </c>
      <c r="T16" s="19">
        <f t="shared" si="3"/>
        <v>3830</v>
      </c>
      <c r="U16" s="19">
        <f t="shared" si="3"/>
        <v>4210</v>
      </c>
      <c r="V16" s="19">
        <f t="shared" si="3"/>
        <v>4210</v>
      </c>
      <c r="W16" s="19">
        <f t="shared" si="3"/>
        <v>4210</v>
      </c>
      <c r="X16" s="19">
        <f t="shared" si="3"/>
        <v>4210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131.66666666666666</v>
      </c>
      <c r="E17" s="20">
        <f t="shared" si="4"/>
        <v>125.16666666666667</v>
      </c>
      <c r="F17" s="20">
        <f t="shared" si="4"/>
        <v>114.88888888888889</v>
      </c>
      <c r="G17" s="20">
        <f t="shared" si="4"/>
        <v>115.36363636363636</v>
      </c>
      <c r="H17" s="20">
        <f t="shared" si="4"/>
        <v>119.57142857142857</v>
      </c>
      <c r="I17" s="20">
        <f t="shared" si="4"/>
        <v>119.57142857142857</v>
      </c>
      <c r="J17" s="20">
        <f t="shared" si="4"/>
        <v>119.64705882352941</v>
      </c>
      <c r="K17" s="20">
        <f t="shared" si="4"/>
        <v>119.64705882352941</v>
      </c>
      <c r="L17" s="20">
        <f t="shared" si="4"/>
        <v>119.73684210526316</v>
      </c>
      <c r="M17" s="20">
        <f t="shared" si="4"/>
        <v>118.8</v>
      </c>
      <c r="N17" s="20">
        <f t="shared" si="4"/>
        <v>121.26086956521739</v>
      </c>
      <c r="O17" s="20">
        <f t="shared" si="4"/>
        <v>121.52</v>
      </c>
      <c r="P17" s="20">
        <f t="shared" si="4"/>
        <v>121.52</v>
      </c>
      <c r="Q17" s="20">
        <f t="shared" si="4"/>
        <v>122.53571428571429</v>
      </c>
      <c r="R17" s="20">
        <f t="shared" si="4"/>
        <v>122.53571428571429</v>
      </c>
      <c r="S17" s="20">
        <f t="shared" si="4"/>
        <v>122.53571428571429</v>
      </c>
      <c r="T17" s="20">
        <f t="shared" si="4"/>
        <v>123.54838709677419</v>
      </c>
      <c r="U17" s="20">
        <f t="shared" si="4"/>
        <v>123.82352941176471</v>
      </c>
      <c r="V17" s="20">
        <f t="shared" si="4"/>
        <v>123.82352941176471</v>
      </c>
      <c r="W17" s="20">
        <f t="shared" si="4"/>
        <v>123.82352941176471</v>
      </c>
      <c r="X17" s="20">
        <f t="shared" si="4"/>
        <v>123.82352941176471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62</v>
      </c>
      <c r="E18" s="19">
        <f t="shared" si="5"/>
        <v>67</v>
      </c>
      <c r="F18" s="19">
        <f t="shared" si="5"/>
        <v>77</v>
      </c>
      <c r="G18" s="19">
        <f t="shared" si="5"/>
        <v>76</v>
      </c>
      <c r="H18" s="19">
        <f t="shared" si="5"/>
        <v>72</v>
      </c>
      <c r="I18" s="19">
        <f t="shared" si="5"/>
        <v>72</v>
      </c>
      <c r="J18" s="19">
        <f t="shared" si="5"/>
        <v>72</v>
      </c>
      <c r="K18" s="19">
        <f t="shared" si="5"/>
        <v>72</v>
      </c>
      <c r="L18" s="19">
        <f t="shared" si="5"/>
        <v>72</v>
      </c>
      <c r="M18" s="19">
        <f t="shared" si="5"/>
        <v>73</v>
      </c>
      <c r="N18" s="19">
        <f t="shared" si="5"/>
        <v>71</v>
      </c>
      <c r="O18" s="19">
        <f t="shared" si="5"/>
        <v>71</v>
      </c>
      <c r="P18" s="19">
        <f t="shared" si="5"/>
        <v>71</v>
      </c>
      <c r="Q18" s="19">
        <f t="shared" si="5"/>
        <v>70</v>
      </c>
      <c r="R18" s="19">
        <f t="shared" si="5"/>
        <v>70</v>
      </c>
      <c r="S18" s="19">
        <f t="shared" si="5"/>
        <v>70</v>
      </c>
      <c r="T18" s="19">
        <f t="shared" si="5"/>
        <v>69</v>
      </c>
      <c r="U18" s="19">
        <f t="shared" si="5"/>
        <v>69</v>
      </c>
      <c r="V18" s="19">
        <f t="shared" si="5"/>
        <v>69</v>
      </c>
      <c r="W18" s="19">
        <f t="shared" si="5"/>
        <v>69</v>
      </c>
      <c r="X18" s="19">
        <f t="shared" si="5"/>
        <v>69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9</v>
      </c>
      <c r="G19" s="19">
        <f t="shared" si="6"/>
        <v>11</v>
      </c>
      <c r="H19" s="19">
        <f t="shared" si="6"/>
        <v>14</v>
      </c>
      <c r="I19" s="19">
        <f t="shared" si="6"/>
        <v>14</v>
      </c>
      <c r="J19" s="19">
        <f t="shared" si="6"/>
        <v>17</v>
      </c>
      <c r="K19" s="19">
        <f t="shared" si="6"/>
        <v>17</v>
      </c>
      <c r="L19" s="19">
        <f t="shared" si="6"/>
        <v>19</v>
      </c>
      <c r="M19" s="19">
        <f t="shared" si="6"/>
        <v>20</v>
      </c>
      <c r="N19" s="19">
        <f t="shared" si="6"/>
        <v>23</v>
      </c>
      <c r="O19" s="19">
        <f t="shared" si="6"/>
        <v>25</v>
      </c>
      <c r="P19" s="19">
        <f t="shared" si="6"/>
        <v>25</v>
      </c>
      <c r="Q19" s="19">
        <f t="shared" si="6"/>
        <v>28</v>
      </c>
      <c r="R19" s="19">
        <f t="shared" si="6"/>
        <v>28</v>
      </c>
      <c r="S19" s="19">
        <f t="shared" si="6"/>
        <v>28</v>
      </c>
      <c r="T19" s="19">
        <f t="shared" si="6"/>
        <v>31</v>
      </c>
      <c r="U19" s="19">
        <f t="shared" si="6"/>
        <v>34</v>
      </c>
      <c r="V19" s="19">
        <f t="shared" si="6"/>
        <v>34</v>
      </c>
      <c r="W19" s="19">
        <f t="shared" si="6"/>
        <v>34</v>
      </c>
      <c r="X19" s="19">
        <f t="shared" si="6"/>
        <v>34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139</v>
      </c>
      <c r="E20" s="19">
        <f t="shared" si="7"/>
        <v>136</v>
      </c>
      <c r="F20" s="19">
        <f t="shared" si="7"/>
        <v>124</v>
      </c>
      <c r="G20" s="19">
        <f t="shared" si="7"/>
        <v>126</v>
      </c>
      <c r="H20" s="19">
        <f t="shared" si="7"/>
        <v>154</v>
      </c>
      <c r="I20" s="19">
        <f t="shared" si="7"/>
        <v>0</v>
      </c>
      <c r="J20" s="19">
        <f t="shared" si="7"/>
        <v>135</v>
      </c>
      <c r="K20" s="19">
        <f t="shared" si="7"/>
        <v>0</v>
      </c>
      <c r="L20" s="19">
        <f t="shared" si="7"/>
        <v>132</v>
      </c>
      <c r="M20" s="19">
        <f t="shared" si="7"/>
        <v>101</v>
      </c>
      <c r="N20" s="19">
        <f t="shared" si="7"/>
        <v>139</v>
      </c>
      <c r="O20" s="19">
        <f t="shared" si="7"/>
        <v>135</v>
      </c>
      <c r="P20" s="19">
        <f t="shared" si="7"/>
        <v>0</v>
      </c>
      <c r="Q20" s="19">
        <f t="shared" si="7"/>
        <v>150</v>
      </c>
      <c r="R20" s="19">
        <f t="shared" si="7"/>
        <v>0</v>
      </c>
      <c r="S20" s="19">
        <f t="shared" si="7"/>
        <v>0</v>
      </c>
      <c r="T20" s="19">
        <f t="shared" si="7"/>
        <v>147</v>
      </c>
      <c r="U20" s="19">
        <f t="shared" si="7"/>
        <v>132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0</v>
      </c>
      <c r="D21" s="19">
        <f>MAX(D$9:D$14)+D18</f>
        <v>201</v>
      </c>
      <c r="E21" s="19">
        <f t="shared" ref="E21:X21" si="8">MAX(E$9:E$14)+D18</f>
        <v>198</v>
      </c>
      <c r="F21" s="19">
        <f t="shared" si="8"/>
        <v>191</v>
      </c>
      <c r="G21" s="19">
        <f t="shared" si="8"/>
        <v>203</v>
      </c>
      <c r="H21" s="19">
        <f t="shared" si="8"/>
        <v>230</v>
      </c>
      <c r="I21" s="19">
        <f t="shared" si="8"/>
        <v>72</v>
      </c>
      <c r="J21" s="19">
        <f t="shared" si="8"/>
        <v>207</v>
      </c>
      <c r="K21" s="19">
        <f t="shared" si="8"/>
        <v>72</v>
      </c>
      <c r="L21" s="19">
        <f t="shared" si="8"/>
        <v>204</v>
      </c>
      <c r="M21" s="19">
        <f t="shared" si="8"/>
        <v>173</v>
      </c>
      <c r="N21" s="19">
        <f t="shared" si="8"/>
        <v>212</v>
      </c>
      <c r="O21" s="19">
        <f t="shared" si="8"/>
        <v>206</v>
      </c>
      <c r="P21" s="19">
        <f t="shared" si="8"/>
        <v>71</v>
      </c>
      <c r="Q21" s="19">
        <f t="shared" si="8"/>
        <v>221</v>
      </c>
      <c r="R21" s="19">
        <f t="shared" si="8"/>
        <v>70</v>
      </c>
      <c r="S21" s="19">
        <f t="shared" si="8"/>
        <v>70</v>
      </c>
      <c r="T21" s="19">
        <f t="shared" si="8"/>
        <v>217</v>
      </c>
      <c r="U21" s="19">
        <f t="shared" si="8"/>
        <v>201</v>
      </c>
      <c r="V21" s="19">
        <f t="shared" si="8"/>
        <v>69</v>
      </c>
      <c r="W21" s="19">
        <f t="shared" si="8"/>
        <v>69</v>
      </c>
      <c r="X21" s="19">
        <f t="shared" si="8"/>
        <v>69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395</v>
      </c>
      <c r="E22" s="19">
        <f t="shared" si="9"/>
        <v>356</v>
      </c>
      <c r="F22" s="19">
        <f t="shared" si="9"/>
        <v>283</v>
      </c>
      <c r="G22" s="19">
        <f t="shared" si="9"/>
        <v>235</v>
      </c>
      <c r="H22" s="19">
        <f t="shared" si="9"/>
        <v>405</v>
      </c>
      <c r="I22" s="19">
        <f t="shared" si="9"/>
        <v>0</v>
      </c>
      <c r="J22" s="19">
        <f t="shared" si="9"/>
        <v>360</v>
      </c>
      <c r="K22" s="19">
        <f t="shared" si="9"/>
        <v>0</v>
      </c>
      <c r="L22" s="19">
        <f t="shared" si="9"/>
        <v>241</v>
      </c>
      <c r="M22" s="19">
        <f t="shared" si="9"/>
        <v>101</v>
      </c>
      <c r="N22" s="19">
        <f t="shared" si="9"/>
        <v>413</v>
      </c>
      <c r="O22" s="19">
        <f t="shared" si="9"/>
        <v>249</v>
      </c>
      <c r="P22" s="19">
        <f t="shared" si="9"/>
        <v>0</v>
      </c>
      <c r="Q22" s="19">
        <f t="shared" si="9"/>
        <v>393</v>
      </c>
      <c r="R22" s="19">
        <f t="shared" si="9"/>
        <v>0</v>
      </c>
      <c r="S22" s="19">
        <f t="shared" si="9"/>
        <v>0</v>
      </c>
      <c r="T22" s="19">
        <f t="shared" si="9"/>
        <v>399</v>
      </c>
      <c r="U22" s="19">
        <f t="shared" si="9"/>
        <v>380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0</v>
      </c>
      <c r="D23" s="308">
        <f>MAX(SUM(D$9:D$11),SUM(D$12:D$14))+D18*3</f>
        <v>581</v>
      </c>
      <c r="E23" s="19">
        <f t="shared" ref="E23:X23" si="10">MAX(SUM(E$9:E$11),SUM(E$12:E$14))+D18*3</f>
        <v>542</v>
      </c>
      <c r="F23" s="19">
        <f t="shared" si="10"/>
        <v>484</v>
      </c>
      <c r="G23" s="19">
        <f t="shared" si="10"/>
        <v>466</v>
      </c>
      <c r="H23" s="19">
        <f t="shared" si="10"/>
        <v>633</v>
      </c>
      <c r="I23" s="19">
        <f t="shared" si="10"/>
        <v>216</v>
      </c>
      <c r="J23" s="19">
        <f t="shared" si="10"/>
        <v>576</v>
      </c>
      <c r="K23" s="19">
        <f t="shared" si="10"/>
        <v>216</v>
      </c>
      <c r="L23" s="19">
        <f t="shared" si="10"/>
        <v>457</v>
      </c>
      <c r="M23" s="19">
        <f t="shared" si="10"/>
        <v>317</v>
      </c>
      <c r="N23" s="19">
        <f t="shared" si="10"/>
        <v>632</v>
      </c>
      <c r="O23" s="19">
        <f t="shared" si="10"/>
        <v>462</v>
      </c>
      <c r="P23" s="19">
        <f t="shared" si="10"/>
        <v>213</v>
      </c>
      <c r="Q23" s="19">
        <f t="shared" si="10"/>
        <v>606</v>
      </c>
      <c r="R23" s="19">
        <f t="shared" si="10"/>
        <v>210</v>
      </c>
      <c r="S23" s="19">
        <f t="shared" si="10"/>
        <v>210</v>
      </c>
      <c r="T23" s="19">
        <f t="shared" si="10"/>
        <v>609</v>
      </c>
      <c r="U23" s="19">
        <f t="shared" si="10"/>
        <v>587</v>
      </c>
      <c r="V23" s="19">
        <f t="shared" si="10"/>
        <v>207</v>
      </c>
      <c r="W23" s="19">
        <f t="shared" si="10"/>
        <v>207</v>
      </c>
      <c r="X23" s="19">
        <f t="shared" si="10"/>
        <v>207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139</v>
      </c>
      <c r="E27" s="107">
        <f>MAX($C20:E20)</f>
        <v>139</v>
      </c>
      <c r="F27" s="107">
        <f>MAX($C20:F20)</f>
        <v>139</v>
      </c>
      <c r="G27" s="107">
        <f>MAX($C20:G20)</f>
        <v>139</v>
      </c>
      <c r="H27" s="107">
        <f>MAX($C20:H20)</f>
        <v>154</v>
      </c>
      <c r="I27" s="107">
        <f>MAX($C20:I20)</f>
        <v>154</v>
      </c>
      <c r="J27" s="107">
        <f>MAX($C20:J20)</f>
        <v>154</v>
      </c>
      <c r="K27" s="107">
        <f>MAX($C20:K20)</f>
        <v>154</v>
      </c>
      <c r="L27" s="107">
        <f>MAX($C20:L20)</f>
        <v>154</v>
      </c>
      <c r="M27" s="107">
        <f>MAX($C20:M20)</f>
        <v>154</v>
      </c>
      <c r="N27" s="107">
        <f>MAX($C20:N20)</f>
        <v>154</v>
      </c>
      <c r="O27" s="107">
        <f>MAX($C20:O20)</f>
        <v>154</v>
      </c>
      <c r="P27" s="107">
        <f>MAX($C20:P20)</f>
        <v>154</v>
      </c>
      <c r="Q27" s="107">
        <f>MAX($C20:Q20)</f>
        <v>154</v>
      </c>
      <c r="R27" s="107">
        <f>MAX($C20:R20)</f>
        <v>154</v>
      </c>
      <c r="S27" s="107">
        <f>MAX($C20:S20)</f>
        <v>154</v>
      </c>
      <c r="T27" s="107">
        <f>MAX($C20:T20)</f>
        <v>154</v>
      </c>
      <c r="U27" s="107">
        <f>MAX($C20:U20)</f>
        <v>154</v>
      </c>
      <c r="V27" s="107">
        <f>MAX($C20:V20)</f>
        <v>154</v>
      </c>
      <c r="W27" s="107">
        <f>MAX($C20:W20)</f>
        <v>154</v>
      </c>
      <c r="X27" s="107">
        <f>MAX($C20:X20)</f>
        <v>154</v>
      </c>
    </row>
    <row r="28" spans="1:25" ht="13.15" x14ac:dyDescent="0.4">
      <c r="A28">
        <v>22</v>
      </c>
      <c r="B28" s="151" t="s">
        <v>78</v>
      </c>
      <c r="C28" s="19">
        <f>MAX(C21)</f>
        <v>0</v>
      </c>
      <c r="D28" s="107">
        <f>MAX($C21:D21)</f>
        <v>201</v>
      </c>
      <c r="E28" s="107">
        <f>MAX($C21:E21)</f>
        <v>201</v>
      </c>
      <c r="F28" s="107">
        <f>MAX($C21:F21)</f>
        <v>201</v>
      </c>
      <c r="G28" s="107">
        <f>MAX($C21:G21)</f>
        <v>203</v>
      </c>
      <c r="H28" s="107">
        <f>MAX($C21:H21)</f>
        <v>230</v>
      </c>
      <c r="I28" s="107">
        <f>MAX($C21:I21)</f>
        <v>230</v>
      </c>
      <c r="J28" s="107">
        <f>MAX($C21:J21)</f>
        <v>230</v>
      </c>
      <c r="K28" s="107">
        <f>MAX($C21:K21)</f>
        <v>230</v>
      </c>
      <c r="L28" s="107">
        <f>MAX($C21:L21)</f>
        <v>230</v>
      </c>
      <c r="M28" s="107">
        <f>MAX($C21:M21)</f>
        <v>230</v>
      </c>
      <c r="N28" s="107">
        <f>MAX($C21:N21)</f>
        <v>230</v>
      </c>
      <c r="O28" s="107">
        <f>MAX($C21:O21)</f>
        <v>230</v>
      </c>
      <c r="P28" s="107">
        <f>MAX($C21:P21)</f>
        <v>230</v>
      </c>
      <c r="Q28" s="107">
        <f>MAX($C21:Q21)</f>
        <v>230</v>
      </c>
      <c r="R28" s="107">
        <f>MAX($C21:R21)</f>
        <v>230</v>
      </c>
      <c r="S28" s="107">
        <f>MAX($C21:S21)</f>
        <v>230</v>
      </c>
      <c r="T28" s="107">
        <f>MAX($C21:T21)</f>
        <v>230</v>
      </c>
      <c r="U28" s="107">
        <f>MAX($C21:U21)</f>
        <v>230</v>
      </c>
      <c r="V28" s="107">
        <f>MAX($C21:V21)</f>
        <v>230</v>
      </c>
      <c r="W28" s="107">
        <f>MAX($C21:W21)</f>
        <v>230</v>
      </c>
      <c r="X28" s="107">
        <f>MAX($C21:X21)</f>
        <v>230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395</v>
      </c>
      <c r="E29" s="107">
        <f>MAX($C22:E22)</f>
        <v>395</v>
      </c>
      <c r="F29" s="107">
        <f>MAX($C22:F22)</f>
        <v>395</v>
      </c>
      <c r="G29" s="107">
        <f>MAX($C22:G22)</f>
        <v>395</v>
      </c>
      <c r="H29" s="107">
        <f>MAX($C22:H22)</f>
        <v>405</v>
      </c>
      <c r="I29" s="107">
        <f>MAX($C22:I22)</f>
        <v>405</v>
      </c>
      <c r="J29" s="107">
        <f>MAX($C22:J22)</f>
        <v>405</v>
      </c>
      <c r="K29" s="107">
        <f>MAX($C22:K22)</f>
        <v>405</v>
      </c>
      <c r="L29" s="107">
        <f>MAX($C22:L22)</f>
        <v>405</v>
      </c>
      <c r="M29" s="107">
        <f>MAX($C22:M22)</f>
        <v>405</v>
      </c>
      <c r="N29" s="107">
        <f>MAX($C22:N22)</f>
        <v>413</v>
      </c>
      <c r="O29" s="107">
        <f>MAX($C22:O22)</f>
        <v>413</v>
      </c>
      <c r="P29" s="107">
        <f>MAX($C22:P22)</f>
        <v>413</v>
      </c>
      <c r="Q29" s="107">
        <f>MAX($C22:Q22)</f>
        <v>413</v>
      </c>
      <c r="R29" s="107">
        <f>MAX($C22:R22)</f>
        <v>413</v>
      </c>
      <c r="S29" s="107">
        <f>MAX($C22:S22)</f>
        <v>413</v>
      </c>
      <c r="T29" s="107">
        <f>MAX($C22:T22)</f>
        <v>413</v>
      </c>
      <c r="U29" s="107">
        <f>MAX($C22:U22)</f>
        <v>413</v>
      </c>
      <c r="V29" s="107">
        <f>MAX($C22:V22)</f>
        <v>413</v>
      </c>
      <c r="W29" s="107">
        <f>MAX($C22:W22)</f>
        <v>413</v>
      </c>
      <c r="X29" s="107">
        <f>MAX($C22:X22)</f>
        <v>413</v>
      </c>
    </row>
    <row r="30" spans="1:25" ht="13.15" x14ac:dyDescent="0.4">
      <c r="A30">
        <v>24</v>
      </c>
      <c r="B30" s="151" t="s">
        <v>80</v>
      </c>
      <c r="C30" s="19">
        <f>MAX(C23)</f>
        <v>0</v>
      </c>
      <c r="D30" s="107">
        <f>MAX($C23:D23)</f>
        <v>581</v>
      </c>
      <c r="E30" s="107">
        <f>MAX($C23:E23)</f>
        <v>581</v>
      </c>
      <c r="F30" s="107">
        <f>MAX($C23:F23)</f>
        <v>581</v>
      </c>
      <c r="G30" s="107">
        <f>MAX($C23:G23)</f>
        <v>581</v>
      </c>
      <c r="H30" s="107">
        <f>MAX($C23:H23)</f>
        <v>633</v>
      </c>
      <c r="I30" s="107">
        <f>MAX($C23:I23)</f>
        <v>633</v>
      </c>
      <c r="J30" s="107">
        <f>MAX($C23:J23)</f>
        <v>633</v>
      </c>
      <c r="K30" s="107">
        <f>MAX($C23:K23)</f>
        <v>633</v>
      </c>
      <c r="L30" s="107">
        <f>MAX($C23:L23)</f>
        <v>633</v>
      </c>
      <c r="M30" s="107">
        <f>MAX($C23:M23)</f>
        <v>633</v>
      </c>
      <c r="N30" s="107">
        <f>MAX($C23:N23)</f>
        <v>633</v>
      </c>
      <c r="O30" s="107">
        <f>MAX($C23:O23)</f>
        <v>633</v>
      </c>
      <c r="P30" s="107">
        <f>MAX($C23:P23)</f>
        <v>633</v>
      </c>
      <c r="Q30" s="107">
        <f>MAX($C23:Q23)</f>
        <v>633</v>
      </c>
      <c r="R30" s="107">
        <f>MAX($C23:R23)</f>
        <v>633</v>
      </c>
      <c r="S30" s="107">
        <f>MAX($C23:S23)</f>
        <v>633</v>
      </c>
      <c r="T30" s="107">
        <f>MAX($C23:T23)</f>
        <v>633</v>
      </c>
      <c r="U30" s="107">
        <f>MAX($C23:U23)</f>
        <v>633</v>
      </c>
      <c r="V30" s="107">
        <f>MAX($C23:V23)</f>
        <v>633</v>
      </c>
      <c r="W30" s="107">
        <f>MAX($C23:W23)</f>
        <v>633</v>
      </c>
      <c r="X30" s="107">
        <f>MAX($C23:X23)</f>
        <v>633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152</v>
      </c>
      <c r="G2" s="203" t="s">
        <v>121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54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56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161</v>
      </c>
      <c r="D9">
        <v>106</v>
      </c>
      <c r="E9">
        <v>175</v>
      </c>
      <c r="I9">
        <v>202</v>
      </c>
      <c r="J9">
        <v>157</v>
      </c>
      <c r="L9">
        <v>157</v>
      </c>
      <c r="M9">
        <v>106</v>
      </c>
      <c r="O9">
        <v>92</v>
      </c>
      <c r="Q9">
        <v>149</v>
      </c>
      <c r="T9">
        <v>147</v>
      </c>
      <c r="V9">
        <v>158</v>
      </c>
    </row>
    <row r="10" spans="1:24" ht="13.15" x14ac:dyDescent="0.4">
      <c r="A10">
        <v>4</v>
      </c>
      <c r="B10" s="3" t="s">
        <v>15</v>
      </c>
      <c r="C10">
        <v>157</v>
      </c>
      <c r="D10">
        <v>121</v>
      </c>
      <c r="E10">
        <v>166</v>
      </c>
      <c r="I10">
        <v>143</v>
      </c>
      <c r="J10">
        <v>123</v>
      </c>
      <c r="M10">
        <v>108</v>
      </c>
      <c r="O10">
        <v>96</v>
      </c>
      <c r="Q10">
        <v>145</v>
      </c>
      <c r="T10">
        <v>125</v>
      </c>
    </row>
    <row r="11" spans="1:24" ht="13.15" x14ac:dyDescent="0.4">
      <c r="A11">
        <v>5</v>
      </c>
      <c r="B11" s="3" t="s">
        <v>16</v>
      </c>
      <c r="C11">
        <v>161</v>
      </c>
      <c r="D11">
        <v>141</v>
      </c>
      <c r="Q11">
        <v>112</v>
      </c>
      <c r="T11">
        <v>140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479</v>
      </c>
      <c r="D15" s="18">
        <f t="shared" si="2"/>
        <v>368</v>
      </c>
      <c r="E15" s="18">
        <f t="shared" si="2"/>
        <v>341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345</v>
      </c>
      <c r="J15" s="18">
        <f t="shared" si="2"/>
        <v>280</v>
      </c>
      <c r="K15" s="18">
        <f t="shared" si="2"/>
        <v>0</v>
      </c>
      <c r="L15" s="18">
        <f t="shared" si="2"/>
        <v>157</v>
      </c>
      <c r="M15" s="18">
        <f t="shared" si="2"/>
        <v>214</v>
      </c>
      <c r="N15" s="18">
        <f t="shared" si="2"/>
        <v>0</v>
      </c>
      <c r="O15" s="18">
        <f t="shared" si="2"/>
        <v>188</v>
      </c>
      <c r="P15" s="18">
        <f t="shared" si="2"/>
        <v>0</v>
      </c>
      <c r="Q15" s="18">
        <f t="shared" si="2"/>
        <v>406</v>
      </c>
      <c r="R15" s="18">
        <f t="shared" si="2"/>
        <v>0</v>
      </c>
      <c r="S15" s="18">
        <f t="shared" si="2"/>
        <v>0</v>
      </c>
      <c r="T15" s="18">
        <f t="shared" si="2"/>
        <v>412</v>
      </c>
      <c r="U15" s="18">
        <f t="shared" si="2"/>
        <v>0</v>
      </c>
      <c r="V15" s="18">
        <f t="shared" si="2"/>
        <v>158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479</v>
      </c>
      <c r="D16" s="19">
        <f t="shared" ref="D16:X16" si="3">+D15+C16</f>
        <v>847</v>
      </c>
      <c r="E16" s="19">
        <f t="shared" si="3"/>
        <v>1188</v>
      </c>
      <c r="F16" s="19">
        <f t="shared" si="3"/>
        <v>1188</v>
      </c>
      <c r="G16" s="19">
        <f t="shared" si="3"/>
        <v>1188</v>
      </c>
      <c r="H16" s="19">
        <f t="shared" si="3"/>
        <v>1188</v>
      </c>
      <c r="I16" s="19">
        <f t="shared" si="3"/>
        <v>1533</v>
      </c>
      <c r="J16" s="19">
        <f t="shared" si="3"/>
        <v>1813</v>
      </c>
      <c r="K16" s="19">
        <f t="shared" si="3"/>
        <v>1813</v>
      </c>
      <c r="L16" s="19">
        <f t="shared" si="3"/>
        <v>1970</v>
      </c>
      <c r="M16" s="19">
        <f t="shared" si="3"/>
        <v>2184</v>
      </c>
      <c r="N16" s="19">
        <f t="shared" si="3"/>
        <v>2184</v>
      </c>
      <c r="O16" s="19">
        <f t="shared" si="3"/>
        <v>2372</v>
      </c>
      <c r="P16" s="19">
        <f t="shared" si="3"/>
        <v>2372</v>
      </c>
      <c r="Q16" s="19">
        <f t="shared" si="3"/>
        <v>2778</v>
      </c>
      <c r="R16" s="19">
        <f t="shared" si="3"/>
        <v>2778</v>
      </c>
      <c r="S16" s="19">
        <f t="shared" si="3"/>
        <v>2778</v>
      </c>
      <c r="T16" s="19">
        <f t="shared" si="3"/>
        <v>3190</v>
      </c>
      <c r="U16" s="19">
        <f t="shared" si="3"/>
        <v>3190</v>
      </c>
      <c r="V16" s="19">
        <f t="shared" si="3"/>
        <v>3348</v>
      </c>
      <c r="W16" s="19">
        <f t="shared" si="3"/>
        <v>3348</v>
      </c>
      <c r="X16" s="19">
        <f t="shared" si="3"/>
        <v>3348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159.66666666666666</v>
      </c>
      <c r="D17" s="20">
        <f t="shared" si="4"/>
        <v>141.16666666666666</v>
      </c>
      <c r="E17" s="20">
        <f t="shared" si="4"/>
        <v>148.5</v>
      </c>
      <c r="F17" s="20">
        <f t="shared" si="4"/>
        <v>148.5</v>
      </c>
      <c r="G17" s="20">
        <f t="shared" si="4"/>
        <v>148.5</v>
      </c>
      <c r="H17" s="20">
        <f t="shared" si="4"/>
        <v>148.5</v>
      </c>
      <c r="I17" s="20">
        <f t="shared" si="4"/>
        <v>153.30000000000001</v>
      </c>
      <c r="J17" s="20">
        <f t="shared" si="4"/>
        <v>151.08333333333334</v>
      </c>
      <c r="K17" s="20">
        <f t="shared" si="4"/>
        <v>151.08333333333334</v>
      </c>
      <c r="L17" s="20">
        <f t="shared" si="4"/>
        <v>151.53846153846155</v>
      </c>
      <c r="M17" s="20">
        <f t="shared" si="4"/>
        <v>145.6</v>
      </c>
      <c r="N17" s="20">
        <f t="shared" si="4"/>
        <v>145.6</v>
      </c>
      <c r="O17" s="20">
        <f t="shared" si="4"/>
        <v>139.52941176470588</v>
      </c>
      <c r="P17" s="20">
        <f t="shared" si="4"/>
        <v>139.52941176470588</v>
      </c>
      <c r="Q17" s="20">
        <f t="shared" si="4"/>
        <v>138.9</v>
      </c>
      <c r="R17" s="20">
        <f t="shared" si="4"/>
        <v>138.9</v>
      </c>
      <c r="S17" s="20">
        <f t="shared" si="4"/>
        <v>138.9</v>
      </c>
      <c r="T17" s="20">
        <f t="shared" si="4"/>
        <v>138.69565217391303</v>
      </c>
      <c r="U17" s="20">
        <f t="shared" si="4"/>
        <v>138.69565217391303</v>
      </c>
      <c r="V17" s="20">
        <f t="shared" si="4"/>
        <v>139.5</v>
      </c>
      <c r="W17" s="20">
        <f t="shared" si="4"/>
        <v>139.5</v>
      </c>
      <c r="X17" s="20">
        <f t="shared" si="4"/>
        <v>139.5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36</v>
      </c>
      <c r="D18" s="19">
        <f t="shared" si="5"/>
        <v>53</v>
      </c>
      <c r="E18" s="19">
        <f t="shared" si="5"/>
        <v>46</v>
      </c>
      <c r="F18" s="19">
        <f t="shared" si="5"/>
        <v>46</v>
      </c>
      <c r="G18" s="19">
        <f t="shared" si="5"/>
        <v>46</v>
      </c>
      <c r="H18" s="19">
        <f t="shared" si="5"/>
        <v>46</v>
      </c>
      <c r="I18" s="19">
        <f t="shared" si="5"/>
        <v>42</v>
      </c>
      <c r="J18" s="19">
        <f t="shared" si="5"/>
        <v>44</v>
      </c>
      <c r="K18" s="19">
        <f t="shared" si="5"/>
        <v>44</v>
      </c>
      <c r="L18" s="19">
        <f t="shared" si="5"/>
        <v>44</v>
      </c>
      <c r="M18" s="19">
        <f t="shared" si="5"/>
        <v>49</v>
      </c>
      <c r="N18" s="19">
        <f t="shared" si="5"/>
        <v>49</v>
      </c>
      <c r="O18" s="19">
        <f t="shared" si="5"/>
        <v>54</v>
      </c>
      <c r="P18" s="19">
        <f t="shared" si="5"/>
        <v>54</v>
      </c>
      <c r="Q18" s="19">
        <f t="shared" si="5"/>
        <v>55</v>
      </c>
      <c r="R18" s="19">
        <f t="shared" si="5"/>
        <v>55</v>
      </c>
      <c r="S18" s="19">
        <f t="shared" si="5"/>
        <v>55</v>
      </c>
      <c r="T18" s="19">
        <f t="shared" si="5"/>
        <v>55</v>
      </c>
      <c r="U18" s="19">
        <f t="shared" si="5"/>
        <v>55</v>
      </c>
      <c r="V18" s="19">
        <f t="shared" si="5"/>
        <v>54</v>
      </c>
      <c r="W18" s="19">
        <f t="shared" si="5"/>
        <v>54</v>
      </c>
      <c r="X18" s="19">
        <f t="shared" si="5"/>
        <v>54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6</v>
      </c>
      <c r="E19" s="19">
        <f t="shared" si="6"/>
        <v>8</v>
      </c>
      <c r="F19" s="19">
        <f t="shared" si="6"/>
        <v>8</v>
      </c>
      <c r="G19" s="19">
        <f t="shared" si="6"/>
        <v>8</v>
      </c>
      <c r="H19" s="19">
        <f t="shared" si="6"/>
        <v>8</v>
      </c>
      <c r="I19" s="19">
        <f t="shared" si="6"/>
        <v>10</v>
      </c>
      <c r="J19" s="19">
        <f t="shared" si="6"/>
        <v>12</v>
      </c>
      <c r="K19" s="19">
        <f t="shared" si="6"/>
        <v>12</v>
      </c>
      <c r="L19" s="19">
        <f t="shared" si="6"/>
        <v>13</v>
      </c>
      <c r="M19" s="19">
        <f t="shared" si="6"/>
        <v>15</v>
      </c>
      <c r="N19" s="19">
        <f t="shared" si="6"/>
        <v>15</v>
      </c>
      <c r="O19" s="19">
        <f t="shared" si="6"/>
        <v>17</v>
      </c>
      <c r="P19" s="19">
        <f t="shared" si="6"/>
        <v>17</v>
      </c>
      <c r="Q19" s="19">
        <f t="shared" si="6"/>
        <v>20</v>
      </c>
      <c r="R19" s="19">
        <f t="shared" si="6"/>
        <v>20</v>
      </c>
      <c r="S19" s="19">
        <f t="shared" si="6"/>
        <v>20</v>
      </c>
      <c r="T19" s="19">
        <f t="shared" si="6"/>
        <v>23</v>
      </c>
      <c r="U19" s="19">
        <f t="shared" si="6"/>
        <v>23</v>
      </c>
      <c r="V19" s="19">
        <f t="shared" si="6"/>
        <v>24</v>
      </c>
      <c r="W19" s="19">
        <f t="shared" si="6"/>
        <v>24</v>
      </c>
      <c r="X19" s="19">
        <f t="shared" si="6"/>
        <v>24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161</v>
      </c>
      <c r="D20" s="19">
        <f t="shared" si="7"/>
        <v>141</v>
      </c>
      <c r="E20" s="19">
        <f t="shared" si="7"/>
        <v>175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202</v>
      </c>
      <c r="J20" s="19">
        <f t="shared" si="7"/>
        <v>157</v>
      </c>
      <c r="K20" s="19">
        <f t="shared" si="7"/>
        <v>0</v>
      </c>
      <c r="L20" s="19">
        <f t="shared" si="7"/>
        <v>157</v>
      </c>
      <c r="M20" s="19">
        <f t="shared" si="7"/>
        <v>108</v>
      </c>
      <c r="N20" s="19">
        <f t="shared" si="7"/>
        <v>0</v>
      </c>
      <c r="O20" s="19">
        <f t="shared" si="7"/>
        <v>96</v>
      </c>
      <c r="P20" s="19">
        <f t="shared" si="7"/>
        <v>0</v>
      </c>
      <c r="Q20" s="19">
        <f t="shared" si="7"/>
        <v>149</v>
      </c>
      <c r="R20" s="19">
        <f t="shared" si="7"/>
        <v>0</v>
      </c>
      <c r="S20" s="19">
        <f t="shared" si="7"/>
        <v>0</v>
      </c>
      <c r="T20" s="19">
        <f t="shared" si="7"/>
        <v>147</v>
      </c>
      <c r="U20" s="19">
        <f t="shared" si="7"/>
        <v>0</v>
      </c>
      <c r="V20" s="19">
        <f t="shared" si="7"/>
        <v>158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217</v>
      </c>
      <c r="D21" s="19">
        <f>MAX(D$9:D$14)+$I$5</f>
        <v>197</v>
      </c>
      <c r="E21" s="19">
        <f t="shared" ref="E21:X21" si="8">MAX(E$9:E$14)+D18</f>
        <v>228</v>
      </c>
      <c r="F21" s="19">
        <f t="shared" si="8"/>
        <v>46</v>
      </c>
      <c r="G21" s="19">
        <f t="shared" si="8"/>
        <v>46</v>
      </c>
      <c r="H21" s="19">
        <f t="shared" si="8"/>
        <v>46</v>
      </c>
      <c r="I21" s="19">
        <f t="shared" si="8"/>
        <v>248</v>
      </c>
      <c r="J21" s="19">
        <f t="shared" si="8"/>
        <v>199</v>
      </c>
      <c r="K21" s="19">
        <f t="shared" si="8"/>
        <v>44</v>
      </c>
      <c r="L21" s="19">
        <f t="shared" si="8"/>
        <v>201</v>
      </c>
      <c r="M21" s="19">
        <f t="shared" si="8"/>
        <v>152</v>
      </c>
      <c r="N21" s="19">
        <f t="shared" si="8"/>
        <v>49</v>
      </c>
      <c r="O21" s="19">
        <f t="shared" si="8"/>
        <v>145</v>
      </c>
      <c r="P21" s="19">
        <f t="shared" si="8"/>
        <v>54</v>
      </c>
      <c r="Q21" s="19">
        <f t="shared" si="8"/>
        <v>203</v>
      </c>
      <c r="R21" s="19">
        <f t="shared" si="8"/>
        <v>55</v>
      </c>
      <c r="S21" s="19">
        <f t="shared" si="8"/>
        <v>55</v>
      </c>
      <c r="T21" s="19">
        <f t="shared" si="8"/>
        <v>202</v>
      </c>
      <c r="U21" s="19">
        <f t="shared" si="8"/>
        <v>55</v>
      </c>
      <c r="V21" s="19">
        <f t="shared" si="8"/>
        <v>213</v>
      </c>
      <c r="W21" s="19">
        <f t="shared" si="8"/>
        <v>54</v>
      </c>
      <c r="X21" s="19">
        <f t="shared" si="8"/>
        <v>54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479</v>
      </c>
      <c r="D22" s="19">
        <f t="shared" ref="D22:X22" si="9">MAX(SUM(D$9:D$11),SUM(D$12:D$14))</f>
        <v>368</v>
      </c>
      <c r="E22" s="19">
        <f t="shared" si="9"/>
        <v>341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345</v>
      </c>
      <c r="J22" s="19">
        <f t="shared" si="9"/>
        <v>280</v>
      </c>
      <c r="K22" s="19">
        <f t="shared" si="9"/>
        <v>0</v>
      </c>
      <c r="L22" s="19">
        <f t="shared" si="9"/>
        <v>157</v>
      </c>
      <c r="M22" s="19">
        <f t="shared" si="9"/>
        <v>214</v>
      </c>
      <c r="N22" s="19">
        <f t="shared" si="9"/>
        <v>0</v>
      </c>
      <c r="O22" s="19">
        <f t="shared" si="9"/>
        <v>188</v>
      </c>
      <c r="P22" s="19">
        <f t="shared" si="9"/>
        <v>0</v>
      </c>
      <c r="Q22" s="19">
        <f t="shared" si="9"/>
        <v>406</v>
      </c>
      <c r="R22" s="19">
        <f t="shared" si="9"/>
        <v>0</v>
      </c>
      <c r="S22" s="19">
        <f t="shared" si="9"/>
        <v>0</v>
      </c>
      <c r="T22" s="19">
        <f t="shared" si="9"/>
        <v>412</v>
      </c>
      <c r="U22" s="19">
        <f t="shared" si="9"/>
        <v>0</v>
      </c>
      <c r="V22" s="19">
        <f t="shared" si="9"/>
        <v>158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647</v>
      </c>
      <c r="D23" s="19">
        <f>MAX(SUM(D$9:D$11),SUM(D$12:D$14))+$I$5*3</f>
        <v>536</v>
      </c>
      <c r="E23" s="19">
        <f t="shared" ref="E23:X23" si="10">MAX(SUM(E$9:E$11),SUM(E$12:E$14))+D18*3</f>
        <v>500</v>
      </c>
      <c r="F23" s="19">
        <f t="shared" si="10"/>
        <v>138</v>
      </c>
      <c r="G23" s="19">
        <f t="shared" si="10"/>
        <v>138</v>
      </c>
      <c r="H23" s="19">
        <f t="shared" si="10"/>
        <v>138</v>
      </c>
      <c r="I23" s="19">
        <f t="shared" si="10"/>
        <v>483</v>
      </c>
      <c r="J23" s="19">
        <f t="shared" si="10"/>
        <v>406</v>
      </c>
      <c r="K23" s="19">
        <f t="shared" si="10"/>
        <v>132</v>
      </c>
      <c r="L23" s="19">
        <f t="shared" si="10"/>
        <v>289</v>
      </c>
      <c r="M23" s="19">
        <f t="shared" si="10"/>
        <v>346</v>
      </c>
      <c r="N23" s="19">
        <f t="shared" si="10"/>
        <v>147</v>
      </c>
      <c r="O23" s="19">
        <f t="shared" si="10"/>
        <v>335</v>
      </c>
      <c r="P23" s="19">
        <f t="shared" si="10"/>
        <v>162</v>
      </c>
      <c r="Q23" s="19">
        <f t="shared" si="10"/>
        <v>568</v>
      </c>
      <c r="R23" s="19">
        <f t="shared" si="10"/>
        <v>165</v>
      </c>
      <c r="S23" s="19">
        <f t="shared" si="10"/>
        <v>165</v>
      </c>
      <c r="T23" s="19">
        <f t="shared" si="10"/>
        <v>577</v>
      </c>
      <c r="U23" s="19">
        <f t="shared" si="10"/>
        <v>165</v>
      </c>
      <c r="V23" s="19">
        <f t="shared" si="10"/>
        <v>323</v>
      </c>
      <c r="W23" s="19">
        <f t="shared" si="10"/>
        <v>162</v>
      </c>
      <c r="X23" s="19">
        <f t="shared" si="10"/>
        <v>162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161</v>
      </c>
      <c r="D27" s="107">
        <f>MAX($C20:D20)</f>
        <v>161</v>
      </c>
      <c r="E27" s="107">
        <f>MAX($C20:E20)</f>
        <v>175</v>
      </c>
      <c r="F27" s="107">
        <f>MAX($C20:F20)</f>
        <v>175</v>
      </c>
      <c r="G27" s="107">
        <f>MAX($C20:G20)</f>
        <v>175</v>
      </c>
      <c r="H27" s="107">
        <f>MAX($C20:H20)</f>
        <v>175</v>
      </c>
      <c r="I27" s="107">
        <f>MAX($C20:I20)</f>
        <v>202</v>
      </c>
      <c r="J27" s="107">
        <f>MAX($C20:J20)</f>
        <v>202</v>
      </c>
      <c r="K27" s="107">
        <f>MAX($C20:K20)</f>
        <v>202</v>
      </c>
      <c r="L27" s="107">
        <f>MAX($C20:L20)</f>
        <v>202</v>
      </c>
      <c r="M27" s="107">
        <f>MAX($C20:M20)</f>
        <v>202</v>
      </c>
      <c r="N27" s="107">
        <f>MAX($C20:N20)</f>
        <v>202</v>
      </c>
      <c r="O27" s="107">
        <f>MAX($C20:O20)</f>
        <v>202</v>
      </c>
      <c r="P27" s="107">
        <f>MAX($C20:P20)</f>
        <v>202</v>
      </c>
      <c r="Q27" s="107">
        <f>MAX($C20:Q20)</f>
        <v>202</v>
      </c>
      <c r="R27" s="107">
        <f>MAX($C20:R20)</f>
        <v>202</v>
      </c>
      <c r="S27" s="107">
        <f>MAX($C20:S20)</f>
        <v>202</v>
      </c>
      <c r="T27" s="107">
        <f>MAX($C20:T20)</f>
        <v>202</v>
      </c>
      <c r="U27" s="107">
        <f>MAX($C20:U20)</f>
        <v>202</v>
      </c>
      <c r="V27" s="107">
        <f>MAX($C20:V20)</f>
        <v>202</v>
      </c>
      <c r="W27" s="107">
        <f>MAX($C20:W20)</f>
        <v>202</v>
      </c>
      <c r="X27" s="107">
        <f>MAX($C20:X20)</f>
        <v>202</v>
      </c>
    </row>
    <row r="28" spans="1:25" ht="13.15" x14ac:dyDescent="0.4">
      <c r="A28">
        <v>22</v>
      </c>
      <c r="B28" s="151" t="s">
        <v>78</v>
      </c>
      <c r="C28" s="19">
        <f>MAX(C21)</f>
        <v>217</v>
      </c>
      <c r="D28" s="107">
        <f>MAX($C21:D21)</f>
        <v>217</v>
      </c>
      <c r="E28" s="107">
        <f>MAX($C21:E21)</f>
        <v>228</v>
      </c>
      <c r="F28" s="107">
        <f>MAX($C21:F21)</f>
        <v>228</v>
      </c>
      <c r="G28" s="107">
        <f>MAX($C21:G21)</f>
        <v>228</v>
      </c>
      <c r="H28" s="107">
        <f>MAX($C21:H21)</f>
        <v>228</v>
      </c>
      <c r="I28" s="107">
        <f>MAX($C21:I21)</f>
        <v>248</v>
      </c>
      <c r="J28" s="107">
        <f>MAX($C21:J21)</f>
        <v>248</v>
      </c>
      <c r="K28" s="107">
        <f>MAX($C21:K21)</f>
        <v>248</v>
      </c>
      <c r="L28" s="107">
        <f>MAX($C21:L21)</f>
        <v>248</v>
      </c>
      <c r="M28" s="107">
        <f>MAX($C21:M21)</f>
        <v>248</v>
      </c>
      <c r="N28" s="107">
        <f>MAX($C21:N21)</f>
        <v>248</v>
      </c>
      <c r="O28" s="107">
        <f>MAX($C21:O21)</f>
        <v>248</v>
      </c>
      <c r="P28" s="107">
        <f>MAX($C21:P21)</f>
        <v>248</v>
      </c>
      <c r="Q28" s="107">
        <f>MAX($C21:Q21)</f>
        <v>248</v>
      </c>
      <c r="R28" s="107">
        <f>MAX($C21:R21)</f>
        <v>248</v>
      </c>
      <c r="S28" s="107">
        <f>MAX($C21:S21)</f>
        <v>248</v>
      </c>
      <c r="T28" s="107">
        <f>MAX($C21:T21)</f>
        <v>248</v>
      </c>
      <c r="U28" s="107">
        <f>MAX($C21:U21)</f>
        <v>248</v>
      </c>
      <c r="V28" s="107">
        <f>MAX($C21:V21)</f>
        <v>248</v>
      </c>
      <c r="W28" s="107">
        <f>MAX($C21:W21)</f>
        <v>248</v>
      </c>
      <c r="X28" s="107">
        <f>MAX($C21:X21)</f>
        <v>248</v>
      </c>
    </row>
    <row r="29" spans="1:25" ht="26.25" x14ac:dyDescent="0.4">
      <c r="A29">
        <v>23</v>
      </c>
      <c r="B29" s="151" t="s">
        <v>79</v>
      </c>
      <c r="C29" s="19">
        <f>MAX(C22)</f>
        <v>479</v>
      </c>
      <c r="D29" s="107">
        <f>MAX($C22:D22)</f>
        <v>479</v>
      </c>
      <c r="E29" s="107">
        <f>MAX($C22:E22)</f>
        <v>479</v>
      </c>
      <c r="F29" s="107">
        <f>MAX($C22:F22)</f>
        <v>479</v>
      </c>
      <c r="G29" s="107">
        <f>MAX($C22:G22)</f>
        <v>479</v>
      </c>
      <c r="H29" s="107">
        <f>MAX($C22:H22)</f>
        <v>479</v>
      </c>
      <c r="I29" s="107">
        <f>MAX($C22:I22)</f>
        <v>479</v>
      </c>
      <c r="J29" s="107">
        <f>MAX($C22:J22)</f>
        <v>479</v>
      </c>
      <c r="K29" s="107">
        <f>MAX($C22:K22)</f>
        <v>479</v>
      </c>
      <c r="L29" s="107">
        <f>MAX($C22:L22)</f>
        <v>479</v>
      </c>
      <c r="M29" s="107">
        <f>MAX($C22:M22)</f>
        <v>479</v>
      </c>
      <c r="N29" s="107">
        <f>MAX($C22:N22)</f>
        <v>479</v>
      </c>
      <c r="O29" s="107">
        <f>MAX($C22:O22)</f>
        <v>479</v>
      </c>
      <c r="P29" s="107">
        <f>MAX($C22:P22)</f>
        <v>479</v>
      </c>
      <c r="Q29" s="107">
        <f>MAX($C22:Q22)</f>
        <v>479</v>
      </c>
      <c r="R29" s="107">
        <f>MAX($C22:R22)</f>
        <v>479</v>
      </c>
      <c r="S29" s="107">
        <f>MAX($C22:S22)</f>
        <v>479</v>
      </c>
      <c r="T29" s="107">
        <f>MAX($C22:T22)</f>
        <v>479</v>
      </c>
      <c r="U29" s="107">
        <f>MAX($C22:U22)</f>
        <v>479</v>
      </c>
      <c r="V29" s="107">
        <f>MAX($C22:V22)</f>
        <v>479</v>
      </c>
      <c r="W29" s="107">
        <f>MAX($C22:W22)</f>
        <v>479</v>
      </c>
      <c r="X29" s="107">
        <f>MAX($C22:X22)</f>
        <v>479</v>
      </c>
    </row>
    <row r="30" spans="1:25" ht="13.15" x14ac:dyDescent="0.4">
      <c r="A30">
        <v>24</v>
      </c>
      <c r="B30" s="151" t="s">
        <v>80</v>
      </c>
      <c r="C30" s="19">
        <f>MAX(C23)</f>
        <v>647</v>
      </c>
      <c r="D30" s="107">
        <f>MAX($C23:D23)</f>
        <v>647</v>
      </c>
      <c r="E30" s="107">
        <f>MAX($C23:E23)</f>
        <v>647</v>
      </c>
      <c r="F30" s="107">
        <f>MAX($C23:F23)</f>
        <v>647</v>
      </c>
      <c r="G30" s="107">
        <f>MAX($C23:G23)</f>
        <v>647</v>
      </c>
      <c r="H30" s="107">
        <f>MAX($C23:H23)</f>
        <v>647</v>
      </c>
      <c r="I30" s="107">
        <f>MAX($C23:I23)</f>
        <v>647</v>
      </c>
      <c r="J30" s="107">
        <f>MAX($C23:J23)</f>
        <v>647</v>
      </c>
      <c r="K30" s="107">
        <f>MAX($C23:K23)</f>
        <v>647</v>
      </c>
      <c r="L30" s="107">
        <f>MAX($C23:L23)</f>
        <v>647</v>
      </c>
      <c r="M30" s="107">
        <f>MAX($C23:M23)</f>
        <v>647</v>
      </c>
      <c r="N30" s="107">
        <f>MAX($C23:N23)</f>
        <v>647</v>
      </c>
      <c r="O30" s="107">
        <f>MAX($C23:O23)</f>
        <v>647</v>
      </c>
      <c r="P30" s="107">
        <f>MAX($C23:P23)</f>
        <v>647</v>
      </c>
      <c r="Q30" s="107">
        <f>MAX($C23:Q23)</f>
        <v>647</v>
      </c>
      <c r="R30" s="107">
        <f>MAX($C23:R23)</f>
        <v>647</v>
      </c>
      <c r="S30" s="107">
        <f>MAX($C23:S23)</f>
        <v>647</v>
      </c>
      <c r="T30" s="107">
        <f>MAX($C23:T23)</f>
        <v>647</v>
      </c>
      <c r="U30" s="107">
        <f>MAX($C23:U23)</f>
        <v>647</v>
      </c>
      <c r="V30" s="107">
        <f>MAX($C23:V23)</f>
        <v>647</v>
      </c>
      <c r="W30" s="107">
        <f>MAX($C23:W23)</f>
        <v>647</v>
      </c>
      <c r="X30" s="107">
        <f>MAX($C23:X23)</f>
        <v>647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311</v>
      </c>
      <c r="G2" s="203" t="s">
        <v>312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78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132</v>
      </c>
      <c r="E9">
        <v>119</v>
      </c>
      <c r="F9">
        <v>104</v>
      </c>
      <c r="G9">
        <v>105</v>
      </c>
      <c r="H9">
        <v>124</v>
      </c>
      <c r="I9">
        <v>141</v>
      </c>
      <c r="L9">
        <v>123</v>
      </c>
      <c r="M9">
        <v>123</v>
      </c>
      <c r="N9">
        <v>80</v>
      </c>
      <c r="P9">
        <v>139</v>
      </c>
      <c r="Q9">
        <v>115</v>
      </c>
      <c r="R9">
        <v>133</v>
      </c>
      <c r="S9">
        <v>103</v>
      </c>
      <c r="T9">
        <v>126</v>
      </c>
    </row>
    <row r="10" spans="1:24" ht="13.15" x14ac:dyDescent="0.4">
      <c r="A10">
        <v>4</v>
      </c>
      <c r="B10" s="3" t="s">
        <v>15</v>
      </c>
      <c r="C10">
        <v>89</v>
      </c>
      <c r="E10">
        <v>122</v>
      </c>
      <c r="F10">
        <v>110</v>
      </c>
      <c r="G10">
        <v>146</v>
      </c>
      <c r="H10">
        <v>101</v>
      </c>
      <c r="I10">
        <v>120</v>
      </c>
      <c r="L10">
        <v>127</v>
      </c>
      <c r="M10">
        <v>122</v>
      </c>
      <c r="N10">
        <v>98</v>
      </c>
      <c r="P10">
        <v>112</v>
      </c>
      <c r="Q10">
        <v>120</v>
      </c>
      <c r="R10">
        <v>122</v>
      </c>
      <c r="S10">
        <v>113</v>
      </c>
      <c r="T10">
        <v>108</v>
      </c>
    </row>
    <row r="11" spans="1:24" ht="13.15" x14ac:dyDescent="0.4">
      <c r="A11">
        <v>5</v>
      </c>
      <c r="B11" s="3" t="s">
        <v>16</v>
      </c>
      <c r="C11">
        <v>114</v>
      </c>
      <c r="E11">
        <v>95</v>
      </c>
      <c r="F11">
        <v>111</v>
      </c>
      <c r="G11">
        <v>157</v>
      </c>
      <c r="H11">
        <v>101</v>
      </c>
      <c r="I11">
        <v>73</v>
      </c>
      <c r="L11">
        <v>100</v>
      </c>
      <c r="M11">
        <v>116</v>
      </c>
      <c r="N11">
        <v>98</v>
      </c>
      <c r="P11">
        <v>111</v>
      </c>
      <c r="Q11">
        <v>109</v>
      </c>
      <c r="R11">
        <v>99</v>
      </c>
      <c r="T11">
        <v>111</v>
      </c>
    </row>
    <row r="12" spans="1:24" ht="13.15" x14ac:dyDescent="0.4">
      <c r="A12">
        <v>6</v>
      </c>
      <c r="B12" s="3" t="s">
        <v>64</v>
      </c>
      <c r="I12">
        <v>83</v>
      </c>
    </row>
    <row r="13" spans="1:24" ht="13.15" x14ac:dyDescent="0.4">
      <c r="A13">
        <v>7</v>
      </c>
      <c r="B13" s="3" t="s">
        <v>65</v>
      </c>
      <c r="I13">
        <v>104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335</v>
      </c>
      <c r="D15" s="18">
        <f t="shared" si="2"/>
        <v>0</v>
      </c>
      <c r="E15" s="18">
        <f t="shared" si="2"/>
        <v>336</v>
      </c>
      <c r="F15" s="18">
        <f t="shared" si="2"/>
        <v>325</v>
      </c>
      <c r="G15" s="18">
        <f t="shared" si="2"/>
        <v>408</v>
      </c>
      <c r="H15" s="18">
        <f t="shared" si="2"/>
        <v>326</v>
      </c>
      <c r="I15" s="18">
        <f t="shared" si="2"/>
        <v>521</v>
      </c>
      <c r="J15" s="18">
        <f t="shared" si="2"/>
        <v>0</v>
      </c>
      <c r="K15" s="18">
        <f t="shared" si="2"/>
        <v>0</v>
      </c>
      <c r="L15" s="18">
        <f t="shared" si="2"/>
        <v>350</v>
      </c>
      <c r="M15" s="18">
        <f t="shared" si="2"/>
        <v>361</v>
      </c>
      <c r="N15" s="18">
        <f t="shared" si="2"/>
        <v>276</v>
      </c>
      <c r="O15" s="18">
        <f t="shared" si="2"/>
        <v>0</v>
      </c>
      <c r="P15" s="18">
        <f t="shared" si="2"/>
        <v>362</v>
      </c>
      <c r="Q15" s="18">
        <f t="shared" si="2"/>
        <v>344</v>
      </c>
      <c r="R15" s="18">
        <f t="shared" si="2"/>
        <v>354</v>
      </c>
      <c r="S15" s="18">
        <f t="shared" si="2"/>
        <v>216</v>
      </c>
      <c r="T15" s="18">
        <f t="shared" si="2"/>
        <v>345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335</v>
      </c>
      <c r="D16" s="19">
        <f t="shared" ref="D16:X16" si="3">+D15+C16</f>
        <v>335</v>
      </c>
      <c r="E16" s="19">
        <f t="shared" si="3"/>
        <v>671</v>
      </c>
      <c r="F16" s="19">
        <f t="shared" si="3"/>
        <v>996</v>
      </c>
      <c r="G16" s="19">
        <f t="shared" si="3"/>
        <v>1404</v>
      </c>
      <c r="H16" s="19">
        <f t="shared" si="3"/>
        <v>1730</v>
      </c>
      <c r="I16" s="19">
        <f t="shared" si="3"/>
        <v>2251</v>
      </c>
      <c r="J16" s="19">
        <f t="shared" si="3"/>
        <v>2251</v>
      </c>
      <c r="K16" s="19">
        <f t="shared" si="3"/>
        <v>2251</v>
      </c>
      <c r="L16" s="19">
        <f t="shared" si="3"/>
        <v>2601</v>
      </c>
      <c r="M16" s="19">
        <f t="shared" si="3"/>
        <v>2962</v>
      </c>
      <c r="N16" s="19">
        <f t="shared" si="3"/>
        <v>3238</v>
      </c>
      <c r="O16" s="19">
        <f t="shared" si="3"/>
        <v>3238</v>
      </c>
      <c r="P16" s="19">
        <f t="shared" si="3"/>
        <v>3600</v>
      </c>
      <c r="Q16" s="19">
        <f t="shared" si="3"/>
        <v>3944</v>
      </c>
      <c r="R16" s="19">
        <f t="shared" si="3"/>
        <v>4298</v>
      </c>
      <c r="S16" s="19">
        <f t="shared" si="3"/>
        <v>4514</v>
      </c>
      <c r="T16" s="19">
        <f t="shared" si="3"/>
        <v>4859</v>
      </c>
      <c r="U16" s="19">
        <f t="shared" si="3"/>
        <v>4859</v>
      </c>
      <c r="V16" s="19">
        <f t="shared" si="3"/>
        <v>4859</v>
      </c>
      <c r="W16" s="19">
        <f t="shared" si="3"/>
        <v>4859</v>
      </c>
      <c r="X16" s="19">
        <f t="shared" si="3"/>
        <v>4859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111.66666666666667</v>
      </c>
      <c r="D17" s="20">
        <f t="shared" si="4"/>
        <v>111.66666666666667</v>
      </c>
      <c r="E17" s="20">
        <f t="shared" si="4"/>
        <v>111.83333333333333</v>
      </c>
      <c r="F17" s="20">
        <f t="shared" si="4"/>
        <v>110.66666666666667</v>
      </c>
      <c r="G17" s="20">
        <f t="shared" si="4"/>
        <v>117</v>
      </c>
      <c r="H17" s="20">
        <f t="shared" si="4"/>
        <v>115.33333333333333</v>
      </c>
      <c r="I17" s="20">
        <f t="shared" si="4"/>
        <v>112.55</v>
      </c>
      <c r="J17" s="20">
        <f t="shared" si="4"/>
        <v>112.55</v>
      </c>
      <c r="K17" s="20">
        <f t="shared" si="4"/>
        <v>112.55</v>
      </c>
      <c r="L17" s="20">
        <f t="shared" si="4"/>
        <v>113.08695652173913</v>
      </c>
      <c r="M17" s="20">
        <f t="shared" si="4"/>
        <v>113.92307692307692</v>
      </c>
      <c r="N17" s="20">
        <f t="shared" si="4"/>
        <v>111.65517241379311</v>
      </c>
      <c r="O17" s="20">
        <f t="shared" si="4"/>
        <v>111.65517241379311</v>
      </c>
      <c r="P17" s="20">
        <f t="shared" si="4"/>
        <v>112.5</v>
      </c>
      <c r="Q17" s="20">
        <f t="shared" si="4"/>
        <v>112.68571428571428</v>
      </c>
      <c r="R17" s="20">
        <f t="shared" si="4"/>
        <v>113.10526315789474</v>
      </c>
      <c r="S17" s="20">
        <f t="shared" si="4"/>
        <v>112.85</v>
      </c>
      <c r="T17" s="20">
        <f t="shared" si="4"/>
        <v>113</v>
      </c>
      <c r="U17" s="20">
        <f t="shared" si="4"/>
        <v>113</v>
      </c>
      <c r="V17" s="20">
        <f t="shared" si="4"/>
        <v>113</v>
      </c>
      <c r="W17" s="20">
        <f t="shared" si="4"/>
        <v>113</v>
      </c>
      <c r="X17" s="20">
        <f t="shared" si="4"/>
        <v>113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80</v>
      </c>
      <c r="D18" s="19">
        <f t="shared" si="5"/>
        <v>80</v>
      </c>
      <c r="E18" s="19">
        <f t="shared" si="5"/>
        <v>79</v>
      </c>
      <c r="F18" s="19">
        <f t="shared" si="5"/>
        <v>80</v>
      </c>
      <c r="G18" s="19">
        <f t="shared" si="5"/>
        <v>75</v>
      </c>
      <c r="H18" s="19">
        <f t="shared" si="5"/>
        <v>76</v>
      </c>
      <c r="I18" s="19">
        <f t="shared" si="5"/>
        <v>79</v>
      </c>
      <c r="J18" s="19">
        <f t="shared" si="5"/>
        <v>79</v>
      </c>
      <c r="K18" s="19">
        <f t="shared" si="5"/>
        <v>79</v>
      </c>
      <c r="L18" s="19">
        <f t="shared" si="5"/>
        <v>78</v>
      </c>
      <c r="M18" s="19">
        <f t="shared" si="5"/>
        <v>77</v>
      </c>
      <c r="N18" s="19">
        <f t="shared" si="5"/>
        <v>80</v>
      </c>
      <c r="O18" s="19">
        <f t="shared" si="5"/>
        <v>80</v>
      </c>
      <c r="P18" s="19">
        <f t="shared" si="5"/>
        <v>79</v>
      </c>
      <c r="Q18" s="19">
        <f t="shared" si="5"/>
        <v>79</v>
      </c>
      <c r="R18" s="19">
        <f t="shared" si="5"/>
        <v>78</v>
      </c>
      <c r="S18" s="19">
        <f t="shared" si="5"/>
        <v>78</v>
      </c>
      <c r="T18" s="19">
        <f t="shared" si="5"/>
        <v>78</v>
      </c>
      <c r="U18" s="19">
        <f t="shared" si="5"/>
        <v>78</v>
      </c>
      <c r="V18" s="19">
        <f t="shared" si="5"/>
        <v>78</v>
      </c>
      <c r="W18" s="19">
        <f t="shared" si="5"/>
        <v>78</v>
      </c>
      <c r="X18" s="19">
        <f t="shared" si="5"/>
        <v>78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9</v>
      </c>
      <c r="G19" s="19">
        <f t="shared" si="6"/>
        <v>12</v>
      </c>
      <c r="H19" s="19">
        <f t="shared" si="6"/>
        <v>15</v>
      </c>
      <c r="I19" s="19">
        <f t="shared" si="6"/>
        <v>20</v>
      </c>
      <c r="J19" s="19">
        <f t="shared" si="6"/>
        <v>20</v>
      </c>
      <c r="K19" s="19">
        <f t="shared" si="6"/>
        <v>20</v>
      </c>
      <c r="L19" s="19">
        <f t="shared" si="6"/>
        <v>23</v>
      </c>
      <c r="M19" s="19">
        <f t="shared" si="6"/>
        <v>26</v>
      </c>
      <c r="N19" s="19">
        <f t="shared" si="6"/>
        <v>29</v>
      </c>
      <c r="O19" s="19">
        <f t="shared" si="6"/>
        <v>29</v>
      </c>
      <c r="P19" s="19">
        <f t="shared" si="6"/>
        <v>32</v>
      </c>
      <c r="Q19" s="19">
        <f t="shared" si="6"/>
        <v>35</v>
      </c>
      <c r="R19" s="19">
        <f t="shared" si="6"/>
        <v>38</v>
      </c>
      <c r="S19" s="19">
        <f t="shared" si="6"/>
        <v>40</v>
      </c>
      <c r="T19" s="19">
        <f t="shared" si="6"/>
        <v>43</v>
      </c>
      <c r="U19" s="19">
        <f t="shared" si="6"/>
        <v>43</v>
      </c>
      <c r="V19" s="19">
        <f t="shared" si="6"/>
        <v>43</v>
      </c>
      <c r="W19" s="19">
        <f t="shared" si="6"/>
        <v>43</v>
      </c>
      <c r="X19" s="19">
        <f t="shared" si="6"/>
        <v>43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132</v>
      </c>
      <c r="D20" s="19">
        <f t="shared" si="7"/>
        <v>0</v>
      </c>
      <c r="E20" s="19">
        <f t="shared" si="7"/>
        <v>122</v>
      </c>
      <c r="F20" s="19">
        <f t="shared" si="7"/>
        <v>111</v>
      </c>
      <c r="G20" s="19">
        <f t="shared" si="7"/>
        <v>157</v>
      </c>
      <c r="H20" s="19">
        <f t="shared" si="7"/>
        <v>124</v>
      </c>
      <c r="I20" s="19">
        <f t="shared" si="7"/>
        <v>141</v>
      </c>
      <c r="J20" s="19">
        <f t="shared" si="7"/>
        <v>0</v>
      </c>
      <c r="K20" s="19">
        <f t="shared" si="7"/>
        <v>0</v>
      </c>
      <c r="L20" s="19">
        <f t="shared" si="7"/>
        <v>127</v>
      </c>
      <c r="M20" s="19">
        <f t="shared" si="7"/>
        <v>123</v>
      </c>
      <c r="N20" s="19">
        <f t="shared" si="7"/>
        <v>98</v>
      </c>
      <c r="O20" s="19">
        <f t="shared" si="7"/>
        <v>0</v>
      </c>
      <c r="P20" s="19">
        <f t="shared" si="7"/>
        <v>139</v>
      </c>
      <c r="Q20" s="19">
        <f t="shared" si="7"/>
        <v>120</v>
      </c>
      <c r="R20" s="19">
        <f t="shared" si="7"/>
        <v>133</v>
      </c>
      <c r="S20" s="19">
        <f t="shared" si="7"/>
        <v>113</v>
      </c>
      <c r="T20" s="19">
        <f t="shared" si="7"/>
        <v>126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MAX(C$9:C$14)+C18</f>
        <v>212</v>
      </c>
      <c r="D21" s="19">
        <f t="shared" ref="D21:X21" si="8">MAX(D$9:D$14)+C18</f>
        <v>80</v>
      </c>
      <c r="E21" s="19">
        <f t="shared" si="8"/>
        <v>202</v>
      </c>
      <c r="F21" s="19">
        <f t="shared" si="8"/>
        <v>190</v>
      </c>
      <c r="G21" s="19">
        <f t="shared" si="8"/>
        <v>237</v>
      </c>
      <c r="H21" s="19">
        <f t="shared" si="8"/>
        <v>199</v>
      </c>
      <c r="I21" s="19">
        <f t="shared" si="8"/>
        <v>217</v>
      </c>
      <c r="J21" s="19">
        <f t="shared" si="8"/>
        <v>79</v>
      </c>
      <c r="K21" s="19">
        <f t="shared" si="8"/>
        <v>79</v>
      </c>
      <c r="L21" s="19">
        <f t="shared" si="8"/>
        <v>206</v>
      </c>
      <c r="M21" s="19">
        <f t="shared" si="8"/>
        <v>201</v>
      </c>
      <c r="N21" s="19">
        <f t="shared" si="8"/>
        <v>175</v>
      </c>
      <c r="O21" s="19">
        <f t="shared" si="8"/>
        <v>80</v>
      </c>
      <c r="P21" s="19">
        <f t="shared" si="8"/>
        <v>219</v>
      </c>
      <c r="Q21" s="19">
        <f t="shared" si="8"/>
        <v>199</v>
      </c>
      <c r="R21" s="19">
        <f t="shared" si="8"/>
        <v>212</v>
      </c>
      <c r="S21" s="19">
        <f t="shared" si="8"/>
        <v>191</v>
      </c>
      <c r="T21" s="19">
        <f t="shared" si="8"/>
        <v>204</v>
      </c>
      <c r="U21" s="19">
        <f t="shared" si="8"/>
        <v>78</v>
      </c>
      <c r="V21" s="19">
        <f t="shared" si="8"/>
        <v>78</v>
      </c>
      <c r="W21" s="19">
        <f t="shared" si="8"/>
        <v>78</v>
      </c>
      <c r="X21" s="19">
        <f t="shared" si="8"/>
        <v>78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335</v>
      </c>
      <c r="D22" s="19">
        <f t="shared" ref="D22:X22" si="9">MAX(SUM(D$9:D$11),SUM(D$12:D$14))</f>
        <v>0</v>
      </c>
      <c r="E22" s="19">
        <f t="shared" si="9"/>
        <v>336</v>
      </c>
      <c r="F22" s="19">
        <f t="shared" si="9"/>
        <v>325</v>
      </c>
      <c r="G22" s="19">
        <f t="shared" si="9"/>
        <v>408</v>
      </c>
      <c r="H22" s="19">
        <f t="shared" si="9"/>
        <v>326</v>
      </c>
      <c r="I22" s="19">
        <f t="shared" si="9"/>
        <v>334</v>
      </c>
      <c r="J22" s="19">
        <f t="shared" si="9"/>
        <v>0</v>
      </c>
      <c r="K22" s="19">
        <f t="shared" si="9"/>
        <v>0</v>
      </c>
      <c r="L22" s="19">
        <f t="shared" si="9"/>
        <v>350</v>
      </c>
      <c r="M22" s="19">
        <f t="shared" si="9"/>
        <v>361</v>
      </c>
      <c r="N22" s="19">
        <f t="shared" si="9"/>
        <v>276</v>
      </c>
      <c r="O22" s="19">
        <f t="shared" si="9"/>
        <v>0</v>
      </c>
      <c r="P22" s="19">
        <f t="shared" si="9"/>
        <v>362</v>
      </c>
      <c r="Q22" s="19">
        <f t="shared" si="9"/>
        <v>344</v>
      </c>
      <c r="R22" s="19">
        <f t="shared" si="9"/>
        <v>354</v>
      </c>
      <c r="S22" s="19">
        <f t="shared" si="9"/>
        <v>216</v>
      </c>
      <c r="T22" s="19">
        <f t="shared" si="9"/>
        <v>345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MAX(SUM(C$9:C$11),SUM(C$12:C$14))+C18*3</f>
        <v>575</v>
      </c>
      <c r="D23" s="19">
        <f t="shared" ref="D23:X23" si="10">MAX(SUM(D$9:D$11),SUM(D$12:D$14))+C18*3</f>
        <v>240</v>
      </c>
      <c r="E23" s="19">
        <f t="shared" si="10"/>
        <v>576</v>
      </c>
      <c r="F23" s="19">
        <f t="shared" si="10"/>
        <v>562</v>
      </c>
      <c r="G23" s="19">
        <f t="shared" si="10"/>
        <v>648</v>
      </c>
      <c r="H23" s="19">
        <f t="shared" si="10"/>
        <v>551</v>
      </c>
      <c r="I23" s="19">
        <f t="shared" si="10"/>
        <v>562</v>
      </c>
      <c r="J23" s="19">
        <f t="shared" si="10"/>
        <v>237</v>
      </c>
      <c r="K23" s="19">
        <f t="shared" si="10"/>
        <v>237</v>
      </c>
      <c r="L23" s="19">
        <f t="shared" si="10"/>
        <v>587</v>
      </c>
      <c r="M23" s="19">
        <f t="shared" si="10"/>
        <v>595</v>
      </c>
      <c r="N23" s="19">
        <f t="shared" si="10"/>
        <v>507</v>
      </c>
      <c r="O23" s="19">
        <f t="shared" si="10"/>
        <v>240</v>
      </c>
      <c r="P23" s="19">
        <f t="shared" si="10"/>
        <v>602</v>
      </c>
      <c r="Q23" s="19">
        <f t="shared" si="10"/>
        <v>581</v>
      </c>
      <c r="R23" s="19">
        <f t="shared" si="10"/>
        <v>591</v>
      </c>
      <c r="S23" s="19">
        <f t="shared" si="10"/>
        <v>450</v>
      </c>
      <c r="T23" s="19">
        <f t="shared" si="10"/>
        <v>579</v>
      </c>
      <c r="U23" s="19">
        <f t="shared" si="10"/>
        <v>234</v>
      </c>
      <c r="V23" s="19">
        <f t="shared" si="10"/>
        <v>234</v>
      </c>
      <c r="W23" s="19">
        <f t="shared" si="10"/>
        <v>234</v>
      </c>
      <c r="X23" s="19">
        <f t="shared" si="10"/>
        <v>234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132</v>
      </c>
      <c r="D27" s="107">
        <f>MAX($C20:D20)</f>
        <v>132</v>
      </c>
      <c r="E27" s="107">
        <f>MAX($C20:E20)</f>
        <v>132</v>
      </c>
      <c r="F27" s="107">
        <f>MAX($C20:F20)</f>
        <v>132</v>
      </c>
      <c r="G27" s="107">
        <f>MAX($C20:G20)</f>
        <v>157</v>
      </c>
      <c r="H27" s="107">
        <f>MAX($C20:H20)</f>
        <v>157</v>
      </c>
      <c r="I27" s="107">
        <f>MAX($C20:I20)</f>
        <v>157</v>
      </c>
      <c r="J27" s="107">
        <f>MAX($C20:J20)</f>
        <v>157</v>
      </c>
      <c r="K27" s="107">
        <f>MAX($C20:K20)</f>
        <v>157</v>
      </c>
      <c r="L27" s="107">
        <f>MAX($C20:L20)</f>
        <v>157</v>
      </c>
      <c r="M27" s="107">
        <f>MAX($C20:M20)</f>
        <v>157</v>
      </c>
      <c r="N27" s="107">
        <f>MAX($C20:N20)</f>
        <v>157</v>
      </c>
      <c r="O27" s="107">
        <f>MAX($C20:O20)</f>
        <v>157</v>
      </c>
      <c r="P27" s="107">
        <f>MAX($C20:P20)</f>
        <v>157</v>
      </c>
      <c r="Q27" s="107">
        <f>MAX($C20:Q20)</f>
        <v>157</v>
      </c>
      <c r="R27" s="107">
        <f>MAX($C20:R20)</f>
        <v>157</v>
      </c>
      <c r="S27" s="107">
        <f>MAX($C20:S20)</f>
        <v>157</v>
      </c>
      <c r="T27" s="107">
        <f>MAX($C20:T20)</f>
        <v>157</v>
      </c>
      <c r="U27" s="107">
        <f>MAX($C20:U20)</f>
        <v>157</v>
      </c>
      <c r="V27" s="107">
        <f>MAX($C20:V20)</f>
        <v>157</v>
      </c>
      <c r="W27" s="107">
        <f>MAX($C20:W20)</f>
        <v>157</v>
      </c>
      <c r="X27" s="107">
        <f>MAX($C20:X20)</f>
        <v>157</v>
      </c>
    </row>
    <row r="28" spans="1:25" ht="13.15" x14ac:dyDescent="0.4">
      <c r="A28">
        <v>22</v>
      </c>
      <c r="B28" s="151" t="s">
        <v>78</v>
      </c>
      <c r="C28" s="19">
        <f>MAX(C21)</f>
        <v>212</v>
      </c>
      <c r="D28" s="107">
        <f>MAX($C21:D21)</f>
        <v>212</v>
      </c>
      <c r="E28" s="107">
        <f>MAX($C21:E21)</f>
        <v>212</v>
      </c>
      <c r="F28" s="107">
        <f>MAX($C21:F21)</f>
        <v>212</v>
      </c>
      <c r="G28" s="107">
        <f>MAX($C21:G21)</f>
        <v>237</v>
      </c>
      <c r="H28" s="107">
        <f>MAX($C21:H21)</f>
        <v>237</v>
      </c>
      <c r="I28" s="107">
        <f>MAX($C21:I21)</f>
        <v>237</v>
      </c>
      <c r="J28" s="107">
        <f>MAX($C21:J21)</f>
        <v>237</v>
      </c>
      <c r="K28" s="107">
        <f>MAX($C21:K21)</f>
        <v>237</v>
      </c>
      <c r="L28" s="107">
        <f>MAX($C21:L21)</f>
        <v>237</v>
      </c>
      <c r="M28" s="107">
        <f>MAX($C21:M21)</f>
        <v>237</v>
      </c>
      <c r="N28" s="107">
        <f>MAX($C21:N21)</f>
        <v>237</v>
      </c>
      <c r="O28" s="107">
        <f>MAX($C21:O21)</f>
        <v>237</v>
      </c>
      <c r="P28" s="107">
        <f>MAX($C21:P21)</f>
        <v>237</v>
      </c>
      <c r="Q28" s="107">
        <f>MAX($C21:Q21)</f>
        <v>237</v>
      </c>
      <c r="R28" s="107">
        <f>MAX($C21:R21)</f>
        <v>237</v>
      </c>
      <c r="S28" s="107">
        <f>MAX($C21:S21)</f>
        <v>237</v>
      </c>
      <c r="T28" s="107">
        <f>MAX($C21:T21)</f>
        <v>237</v>
      </c>
      <c r="U28" s="107">
        <f>MAX($C21:U21)</f>
        <v>237</v>
      </c>
      <c r="V28" s="107">
        <f>MAX($C21:V21)</f>
        <v>237</v>
      </c>
      <c r="W28" s="107">
        <f>MAX($C21:W21)</f>
        <v>237</v>
      </c>
      <c r="X28" s="107">
        <f>MAX($C21:X21)</f>
        <v>237</v>
      </c>
    </row>
    <row r="29" spans="1:25" ht="26.25" x14ac:dyDescent="0.4">
      <c r="A29">
        <v>23</v>
      </c>
      <c r="B29" s="151" t="s">
        <v>79</v>
      </c>
      <c r="C29" s="19">
        <f>MAX(C22)</f>
        <v>335</v>
      </c>
      <c r="D29" s="107">
        <f>MAX($C22:D22)</f>
        <v>335</v>
      </c>
      <c r="E29" s="107">
        <f>MAX($C22:E22)</f>
        <v>336</v>
      </c>
      <c r="F29" s="107">
        <f>MAX($C22:F22)</f>
        <v>336</v>
      </c>
      <c r="G29" s="107">
        <f>MAX($C22:G22)</f>
        <v>408</v>
      </c>
      <c r="H29" s="107">
        <f>MAX($C22:H22)</f>
        <v>408</v>
      </c>
      <c r="I29" s="107">
        <f>MAX($C22:I22)</f>
        <v>408</v>
      </c>
      <c r="J29" s="107">
        <f>MAX($C22:J22)</f>
        <v>408</v>
      </c>
      <c r="K29" s="107">
        <f>MAX($C22:K22)</f>
        <v>408</v>
      </c>
      <c r="L29" s="107">
        <f>MAX($C22:L22)</f>
        <v>408</v>
      </c>
      <c r="M29" s="107">
        <f>MAX($C22:M22)</f>
        <v>408</v>
      </c>
      <c r="N29" s="107">
        <f>MAX($C22:N22)</f>
        <v>408</v>
      </c>
      <c r="O29" s="107">
        <f>MAX($C22:O22)</f>
        <v>408</v>
      </c>
      <c r="P29" s="107">
        <f>MAX($C22:P22)</f>
        <v>408</v>
      </c>
      <c r="Q29" s="107">
        <f>MAX($C22:Q22)</f>
        <v>408</v>
      </c>
      <c r="R29" s="107">
        <f>MAX($C22:R22)</f>
        <v>408</v>
      </c>
      <c r="S29" s="107">
        <f>MAX($C22:S22)</f>
        <v>408</v>
      </c>
      <c r="T29" s="107">
        <f>MAX($C22:T22)</f>
        <v>408</v>
      </c>
      <c r="U29" s="107">
        <f>MAX($C22:U22)</f>
        <v>408</v>
      </c>
      <c r="V29" s="107">
        <f>MAX($C22:V22)</f>
        <v>408</v>
      </c>
      <c r="W29" s="107">
        <f>MAX($C22:W22)</f>
        <v>408</v>
      </c>
      <c r="X29" s="107">
        <f>MAX($C22:X22)</f>
        <v>408</v>
      </c>
    </row>
    <row r="30" spans="1:25" ht="13.15" x14ac:dyDescent="0.4">
      <c r="A30">
        <v>24</v>
      </c>
      <c r="B30" s="151" t="s">
        <v>80</v>
      </c>
      <c r="C30" s="19">
        <f>MAX(C23)</f>
        <v>575</v>
      </c>
      <c r="D30" s="107">
        <f>MAX($C23:D23)</f>
        <v>575</v>
      </c>
      <c r="E30" s="107">
        <f>MAX($C23:E23)</f>
        <v>576</v>
      </c>
      <c r="F30" s="107">
        <f>MAX($C23:F23)</f>
        <v>576</v>
      </c>
      <c r="G30" s="107">
        <f>MAX($C23:G23)</f>
        <v>648</v>
      </c>
      <c r="H30" s="107">
        <f>MAX($C23:H23)</f>
        <v>648</v>
      </c>
      <c r="I30" s="107">
        <f>MAX($C23:I23)</f>
        <v>648</v>
      </c>
      <c r="J30" s="107">
        <f>MAX($C23:J23)</f>
        <v>648</v>
      </c>
      <c r="K30" s="107">
        <f>MAX($C23:K23)</f>
        <v>648</v>
      </c>
      <c r="L30" s="107">
        <f>MAX($C23:L23)</f>
        <v>648</v>
      </c>
      <c r="M30" s="107">
        <f>MAX($C23:M23)</f>
        <v>648</v>
      </c>
      <c r="N30" s="107">
        <f>MAX($C23:N23)</f>
        <v>648</v>
      </c>
      <c r="O30" s="107">
        <f>MAX($C23:O23)</f>
        <v>648</v>
      </c>
      <c r="P30" s="107">
        <f>MAX($C23:P23)</f>
        <v>648</v>
      </c>
      <c r="Q30" s="107">
        <f>MAX($C23:Q23)</f>
        <v>648</v>
      </c>
      <c r="R30" s="107">
        <f>MAX($C23:R23)</f>
        <v>648</v>
      </c>
      <c r="S30" s="107">
        <f>MAX($C23:S23)</f>
        <v>648</v>
      </c>
      <c r="T30" s="107">
        <f>MAX($C23:T23)</f>
        <v>648</v>
      </c>
      <c r="U30" s="107">
        <f>MAX($C23:U23)</f>
        <v>648</v>
      </c>
      <c r="V30" s="107">
        <f>MAX($C23:V23)</f>
        <v>648</v>
      </c>
      <c r="W30" s="107">
        <f>MAX($C23:W23)</f>
        <v>648</v>
      </c>
      <c r="X30" s="107">
        <f>MAX($C23:X23)</f>
        <v>648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279</v>
      </c>
      <c r="G2" s="203" t="s">
        <v>32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83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83</v>
      </c>
      <c r="D21" s="19">
        <f t="shared" si="8"/>
        <v>83</v>
      </c>
      <c r="E21" s="19">
        <f t="shared" si="8"/>
        <v>83</v>
      </c>
      <c r="F21" s="19">
        <f t="shared" si="8"/>
        <v>83</v>
      </c>
      <c r="G21" s="19">
        <f t="shared" si="8"/>
        <v>83</v>
      </c>
      <c r="H21" s="19">
        <f t="shared" si="8"/>
        <v>83</v>
      </c>
      <c r="I21" s="19">
        <f t="shared" si="8"/>
        <v>83</v>
      </c>
      <c r="J21" s="19">
        <f t="shared" si="8"/>
        <v>83</v>
      </c>
      <c r="K21" s="19">
        <f t="shared" si="8"/>
        <v>83</v>
      </c>
      <c r="L21" s="19">
        <f t="shared" si="8"/>
        <v>83</v>
      </c>
      <c r="M21" s="19">
        <f t="shared" si="8"/>
        <v>83</v>
      </c>
      <c r="N21" s="19">
        <f t="shared" si="8"/>
        <v>83</v>
      </c>
      <c r="O21" s="19">
        <f t="shared" si="8"/>
        <v>83</v>
      </c>
      <c r="P21" s="19">
        <f t="shared" si="8"/>
        <v>83</v>
      </c>
      <c r="Q21" s="19">
        <f t="shared" si="8"/>
        <v>83</v>
      </c>
      <c r="R21" s="19">
        <f t="shared" si="8"/>
        <v>83</v>
      </c>
      <c r="S21" s="19">
        <f t="shared" si="8"/>
        <v>83</v>
      </c>
      <c r="T21" s="19">
        <f t="shared" si="8"/>
        <v>83</v>
      </c>
      <c r="U21" s="19">
        <f t="shared" si="8"/>
        <v>83</v>
      </c>
      <c r="V21" s="19">
        <f t="shared" si="8"/>
        <v>83</v>
      </c>
      <c r="W21" s="19">
        <f t="shared" si="8"/>
        <v>83</v>
      </c>
      <c r="X21" s="19">
        <f t="shared" si="8"/>
        <v>83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249</v>
      </c>
      <c r="D23" s="19">
        <f t="shared" ref="D23:X23" si="10">MAX(SUM(D$9:D$11),SUM(D$12:D$14))+$I$5*3</f>
        <v>249</v>
      </c>
      <c r="E23" s="19">
        <f t="shared" si="10"/>
        <v>249</v>
      </c>
      <c r="F23" s="19">
        <f t="shared" si="10"/>
        <v>249</v>
      </c>
      <c r="G23" s="19">
        <f t="shared" si="10"/>
        <v>249</v>
      </c>
      <c r="H23" s="19">
        <f t="shared" si="10"/>
        <v>249</v>
      </c>
      <c r="I23" s="19">
        <f t="shared" si="10"/>
        <v>249</v>
      </c>
      <c r="J23" s="19">
        <f t="shared" si="10"/>
        <v>249</v>
      </c>
      <c r="K23" s="19">
        <f t="shared" si="10"/>
        <v>249</v>
      </c>
      <c r="L23" s="19">
        <f t="shared" si="10"/>
        <v>249</v>
      </c>
      <c r="M23" s="19">
        <f t="shared" si="10"/>
        <v>249</v>
      </c>
      <c r="N23" s="19">
        <f t="shared" si="10"/>
        <v>249</v>
      </c>
      <c r="O23" s="19">
        <f t="shared" si="10"/>
        <v>249</v>
      </c>
      <c r="P23" s="19">
        <f t="shared" si="10"/>
        <v>249</v>
      </c>
      <c r="Q23" s="19">
        <f t="shared" si="10"/>
        <v>249</v>
      </c>
      <c r="R23" s="19">
        <f t="shared" si="10"/>
        <v>249</v>
      </c>
      <c r="S23" s="19">
        <f t="shared" si="10"/>
        <v>249</v>
      </c>
      <c r="T23" s="19">
        <f t="shared" si="10"/>
        <v>249</v>
      </c>
      <c r="U23" s="19">
        <f t="shared" si="10"/>
        <v>249</v>
      </c>
      <c r="V23" s="19">
        <f t="shared" si="10"/>
        <v>249</v>
      </c>
      <c r="W23" s="19">
        <f t="shared" si="10"/>
        <v>249</v>
      </c>
      <c r="X23" s="19">
        <f t="shared" si="10"/>
        <v>249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83</v>
      </c>
      <c r="D28" s="107">
        <f>MAX($C21:D21)</f>
        <v>83</v>
      </c>
      <c r="E28" s="107">
        <f>MAX($C21:E21)</f>
        <v>83</v>
      </c>
      <c r="F28" s="107">
        <f>MAX($C21:F21)</f>
        <v>83</v>
      </c>
      <c r="G28" s="107">
        <f>MAX($C21:G21)</f>
        <v>83</v>
      </c>
      <c r="H28" s="107">
        <f>MAX($C21:H21)</f>
        <v>83</v>
      </c>
      <c r="I28" s="107">
        <f>MAX($C21:I21)</f>
        <v>83</v>
      </c>
      <c r="J28" s="107">
        <f>MAX($C21:J21)</f>
        <v>83</v>
      </c>
      <c r="K28" s="107">
        <f>MAX($C21:K21)</f>
        <v>83</v>
      </c>
      <c r="L28" s="107">
        <f>MAX($C21:L21)</f>
        <v>83</v>
      </c>
      <c r="M28" s="107">
        <f>MAX($C21:M21)</f>
        <v>83</v>
      </c>
      <c r="N28" s="107">
        <f>MAX($C21:N21)</f>
        <v>83</v>
      </c>
      <c r="O28" s="107">
        <f>MAX($C21:O21)</f>
        <v>83</v>
      </c>
      <c r="P28" s="107">
        <f>MAX($C21:P21)</f>
        <v>83</v>
      </c>
      <c r="Q28" s="107">
        <f>MAX($C21:Q21)</f>
        <v>83</v>
      </c>
      <c r="R28" s="107">
        <f>MAX($C21:R21)</f>
        <v>83</v>
      </c>
      <c r="S28" s="107">
        <f>MAX($C21:S21)</f>
        <v>83</v>
      </c>
      <c r="T28" s="107">
        <f>MAX($C21:T21)</f>
        <v>83</v>
      </c>
      <c r="U28" s="107">
        <f>MAX($C21:U21)</f>
        <v>83</v>
      </c>
      <c r="V28" s="107">
        <f>MAX($C21:V21)</f>
        <v>83</v>
      </c>
      <c r="W28" s="107">
        <f>MAX($C21:W21)</f>
        <v>83</v>
      </c>
      <c r="X28" s="107">
        <f>MAX($C21:X21)</f>
        <v>83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249</v>
      </c>
      <c r="D30" s="107">
        <f>MAX($C23:D23)</f>
        <v>249</v>
      </c>
      <c r="E30" s="107">
        <f>MAX($C23:E23)</f>
        <v>249</v>
      </c>
      <c r="F30" s="107">
        <f>MAX($C23:F23)</f>
        <v>249</v>
      </c>
      <c r="G30" s="107">
        <f>MAX($C23:G23)</f>
        <v>249</v>
      </c>
      <c r="H30" s="107">
        <f>MAX($C23:H23)</f>
        <v>249</v>
      </c>
      <c r="I30" s="107">
        <f>MAX($C23:I23)</f>
        <v>249</v>
      </c>
      <c r="J30" s="107">
        <f>MAX($C23:J23)</f>
        <v>249</v>
      </c>
      <c r="K30" s="107">
        <f>MAX($C23:K23)</f>
        <v>249</v>
      </c>
      <c r="L30" s="107">
        <f>MAX($C23:L23)</f>
        <v>249</v>
      </c>
      <c r="M30" s="107">
        <f>MAX($C23:M23)</f>
        <v>249</v>
      </c>
      <c r="N30" s="107">
        <f>MAX($C23:N23)</f>
        <v>249</v>
      </c>
      <c r="O30" s="107">
        <f>MAX($C23:O23)</f>
        <v>249</v>
      </c>
      <c r="P30" s="107">
        <f>MAX($C23:P23)</f>
        <v>249</v>
      </c>
      <c r="Q30" s="107">
        <f>MAX($C23:Q23)</f>
        <v>249</v>
      </c>
      <c r="R30" s="107">
        <f>MAX($C23:R23)</f>
        <v>249</v>
      </c>
      <c r="S30" s="107">
        <f>MAX($C23:S23)</f>
        <v>249</v>
      </c>
      <c r="T30" s="107">
        <f>MAX($C23:T23)</f>
        <v>249</v>
      </c>
      <c r="U30" s="107">
        <f>MAX($C23:U23)</f>
        <v>249</v>
      </c>
      <c r="V30" s="107">
        <f>MAX($C23:V23)</f>
        <v>249</v>
      </c>
      <c r="W30" s="107">
        <f>MAX($C23:W23)</f>
        <v>249</v>
      </c>
      <c r="X30" s="107">
        <f>MAX($C23:X23)</f>
        <v>249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327</v>
      </c>
      <c r="G2" s="203" t="s">
        <v>328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74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N9">
        <v>87</v>
      </c>
      <c r="P9">
        <v>120</v>
      </c>
      <c r="Q9">
        <v>128</v>
      </c>
      <c r="R9">
        <v>108</v>
      </c>
    </row>
    <row r="10" spans="1:24" ht="13.15" x14ac:dyDescent="0.4">
      <c r="A10">
        <v>4</v>
      </c>
      <c r="B10" s="3" t="s">
        <v>15</v>
      </c>
      <c r="N10">
        <v>107</v>
      </c>
      <c r="P10">
        <v>134</v>
      </c>
      <c r="Q10">
        <v>171</v>
      </c>
      <c r="R10">
        <v>119</v>
      </c>
    </row>
    <row r="11" spans="1:24" ht="13.15" x14ac:dyDescent="0.4">
      <c r="A11">
        <v>5</v>
      </c>
      <c r="B11" s="3" t="s">
        <v>16</v>
      </c>
      <c r="N11">
        <v>95</v>
      </c>
      <c r="P11">
        <v>152</v>
      </c>
      <c r="Q11">
        <v>80</v>
      </c>
      <c r="R11">
        <v>116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289</v>
      </c>
      <c r="O15" s="18">
        <f t="shared" si="2"/>
        <v>0</v>
      </c>
      <c r="P15" s="18">
        <f t="shared" si="2"/>
        <v>406</v>
      </c>
      <c r="Q15" s="18">
        <f t="shared" si="2"/>
        <v>379</v>
      </c>
      <c r="R15" s="18">
        <f t="shared" si="2"/>
        <v>343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289</v>
      </c>
      <c r="O16" s="19">
        <f t="shared" si="3"/>
        <v>289</v>
      </c>
      <c r="P16" s="19">
        <f t="shared" si="3"/>
        <v>695</v>
      </c>
      <c r="Q16" s="19">
        <f t="shared" si="3"/>
        <v>1074</v>
      </c>
      <c r="R16" s="19">
        <f t="shared" si="3"/>
        <v>1417</v>
      </c>
      <c r="S16" s="19">
        <f t="shared" si="3"/>
        <v>1417</v>
      </c>
      <c r="T16" s="19">
        <f t="shared" si="3"/>
        <v>1417</v>
      </c>
      <c r="U16" s="19">
        <f t="shared" si="3"/>
        <v>1417</v>
      </c>
      <c r="V16" s="19">
        <f t="shared" si="3"/>
        <v>1417</v>
      </c>
      <c r="W16" s="19">
        <f t="shared" si="3"/>
        <v>1417</v>
      </c>
      <c r="X16" s="19">
        <f t="shared" si="3"/>
        <v>1417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>
        <f t="shared" si="4"/>
        <v>96.333333333333329</v>
      </c>
      <c r="O17" s="20">
        <f t="shared" si="4"/>
        <v>96.333333333333329</v>
      </c>
      <c r="P17" s="20">
        <f t="shared" si="4"/>
        <v>115.83333333333333</v>
      </c>
      <c r="Q17" s="20">
        <f t="shared" si="4"/>
        <v>119.33333333333333</v>
      </c>
      <c r="R17" s="20">
        <f t="shared" si="4"/>
        <v>118.08333333333333</v>
      </c>
      <c r="S17" s="20">
        <f t="shared" si="4"/>
        <v>118.08333333333333</v>
      </c>
      <c r="T17" s="20">
        <f t="shared" si="4"/>
        <v>118.08333333333333</v>
      </c>
      <c r="U17" s="20">
        <f t="shared" si="4"/>
        <v>118.08333333333333</v>
      </c>
      <c r="V17" s="20">
        <f t="shared" si="4"/>
        <v>118.08333333333333</v>
      </c>
      <c r="W17" s="20">
        <f t="shared" si="4"/>
        <v>118.08333333333333</v>
      </c>
      <c r="X17" s="20">
        <f t="shared" si="4"/>
        <v>118.08333333333333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>
        <f t="shared" si="5"/>
        <v>93</v>
      </c>
      <c r="O18" s="19">
        <f t="shared" si="5"/>
        <v>93</v>
      </c>
      <c r="P18" s="19">
        <f t="shared" si="5"/>
        <v>76</v>
      </c>
      <c r="Q18" s="19">
        <f t="shared" si="5"/>
        <v>73</v>
      </c>
      <c r="R18" s="19">
        <f t="shared" si="5"/>
        <v>74</v>
      </c>
      <c r="S18" s="19">
        <f t="shared" si="5"/>
        <v>74</v>
      </c>
      <c r="T18" s="19">
        <f t="shared" si="5"/>
        <v>74</v>
      </c>
      <c r="U18" s="19">
        <f t="shared" si="5"/>
        <v>74</v>
      </c>
      <c r="V18" s="19">
        <f t="shared" si="5"/>
        <v>74</v>
      </c>
      <c r="W18" s="19">
        <f t="shared" si="5"/>
        <v>74</v>
      </c>
      <c r="X18" s="19">
        <f t="shared" si="5"/>
        <v>74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3</v>
      </c>
      <c r="O19" s="19">
        <f t="shared" si="6"/>
        <v>3</v>
      </c>
      <c r="P19" s="19">
        <f t="shared" si="6"/>
        <v>6</v>
      </c>
      <c r="Q19" s="19">
        <f t="shared" si="6"/>
        <v>9</v>
      </c>
      <c r="R19" s="19">
        <f t="shared" si="6"/>
        <v>12</v>
      </c>
      <c r="S19" s="19">
        <f t="shared" si="6"/>
        <v>12</v>
      </c>
      <c r="T19" s="19">
        <f t="shared" si="6"/>
        <v>12</v>
      </c>
      <c r="U19" s="19">
        <f t="shared" si="6"/>
        <v>12</v>
      </c>
      <c r="V19" s="19">
        <f t="shared" si="6"/>
        <v>12</v>
      </c>
      <c r="W19" s="19">
        <f t="shared" si="6"/>
        <v>12</v>
      </c>
      <c r="X19" s="19">
        <f t="shared" si="6"/>
        <v>12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107</v>
      </c>
      <c r="O20" s="19">
        <f t="shared" si="7"/>
        <v>0</v>
      </c>
      <c r="P20" s="19">
        <f t="shared" si="7"/>
        <v>152</v>
      </c>
      <c r="Q20" s="19">
        <f t="shared" si="7"/>
        <v>171</v>
      </c>
      <c r="R20" s="19">
        <f t="shared" si="7"/>
        <v>119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0</v>
      </c>
      <c r="D21" s="19">
        <f>MAX(D$9:D$14)+$I$5</f>
        <v>0</v>
      </c>
      <c r="E21" s="19" t="e">
        <f t="shared" ref="E21:X21" si="8">MAX(E$9:E$14)+D18</f>
        <v>#DIV/0!</v>
      </c>
      <c r="F21" s="19" t="e">
        <f t="shared" si="8"/>
        <v>#DIV/0!</v>
      </c>
      <c r="G21" s="19" t="e">
        <f t="shared" si="8"/>
        <v>#DIV/0!</v>
      </c>
      <c r="H21" s="19" t="e">
        <f t="shared" si="8"/>
        <v>#DIV/0!</v>
      </c>
      <c r="I21" s="19" t="e">
        <f t="shared" si="8"/>
        <v>#DIV/0!</v>
      </c>
      <c r="J21" s="19" t="e">
        <f t="shared" si="8"/>
        <v>#DIV/0!</v>
      </c>
      <c r="K21" s="19" t="e">
        <f t="shared" si="8"/>
        <v>#DIV/0!</v>
      </c>
      <c r="L21" s="19" t="e">
        <f t="shared" si="8"/>
        <v>#DIV/0!</v>
      </c>
      <c r="M21" s="19" t="e">
        <f t="shared" si="8"/>
        <v>#DIV/0!</v>
      </c>
      <c r="N21" s="19">
        <f>MAX(N$9:N$14)+N18</f>
        <v>200</v>
      </c>
      <c r="O21" s="19">
        <f t="shared" si="8"/>
        <v>93</v>
      </c>
      <c r="P21" s="19">
        <f t="shared" si="8"/>
        <v>245</v>
      </c>
      <c r="Q21" s="19">
        <f t="shared" si="8"/>
        <v>247</v>
      </c>
      <c r="R21" s="19">
        <f t="shared" si="8"/>
        <v>192</v>
      </c>
      <c r="S21" s="19">
        <f t="shared" si="8"/>
        <v>74</v>
      </c>
      <c r="T21" s="19">
        <f t="shared" si="8"/>
        <v>74</v>
      </c>
      <c r="U21" s="19">
        <f t="shared" si="8"/>
        <v>74</v>
      </c>
      <c r="V21" s="19">
        <f t="shared" si="8"/>
        <v>74</v>
      </c>
      <c r="W21" s="19">
        <f t="shared" si="8"/>
        <v>74</v>
      </c>
      <c r="X21" s="19">
        <f t="shared" si="8"/>
        <v>74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289</v>
      </c>
      <c r="O22" s="19">
        <f t="shared" si="9"/>
        <v>0</v>
      </c>
      <c r="P22" s="19">
        <f t="shared" si="9"/>
        <v>406</v>
      </c>
      <c r="Q22" s="19">
        <f t="shared" si="9"/>
        <v>379</v>
      </c>
      <c r="R22" s="19">
        <f t="shared" si="9"/>
        <v>343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0</v>
      </c>
      <c r="D23" s="19">
        <f>MAX(SUM(D$9:D$11),SUM(D$12:D$14))+$I$5*3</f>
        <v>0</v>
      </c>
      <c r="E23" s="19" t="e">
        <f t="shared" ref="E23:X23" si="10">MAX(SUM(E$9:E$11),SUM(E$12:E$14))+D18*3</f>
        <v>#DIV/0!</v>
      </c>
      <c r="F23" s="19" t="e">
        <f t="shared" si="10"/>
        <v>#DIV/0!</v>
      </c>
      <c r="G23" s="19" t="e">
        <f t="shared" si="10"/>
        <v>#DIV/0!</v>
      </c>
      <c r="H23" s="19" t="e">
        <f t="shared" si="10"/>
        <v>#DIV/0!</v>
      </c>
      <c r="I23" s="19" t="e">
        <f t="shared" si="10"/>
        <v>#DIV/0!</v>
      </c>
      <c r="J23" s="19" t="e">
        <f t="shared" si="10"/>
        <v>#DIV/0!</v>
      </c>
      <c r="K23" s="19" t="e">
        <f t="shared" si="10"/>
        <v>#DIV/0!</v>
      </c>
      <c r="L23" s="19" t="e">
        <f t="shared" si="10"/>
        <v>#DIV/0!</v>
      </c>
      <c r="M23" s="19" t="e">
        <f t="shared" si="10"/>
        <v>#DIV/0!</v>
      </c>
      <c r="N23" s="19">
        <f>MAX(SUM(N$9:N$11),SUM(N$12:N$14))+N18*3</f>
        <v>568</v>
      </c>
      <c r="O23" s="19">
        <f t="shared" si="10"/>
        <v>279</v>
      </c>
      <c r="P23" s="19">
        <f t="shared" si="10"/>
        <v>685</v>
      </c>
      <c r="Q23" s="19">
        <f t="shared" si="10"/>
        <v>607</v>
      </c>
      <c r="R23" s="19">
        <f t="shared" si="10"/>
        <v>562</v>
      </c>
      <c r="S23" s="19">
        <f t="shared" si="10"/>
        <v>222</v>
      </c>
      <c r="T23" s="19">
        <f t="shared" si="10"/>
        <v>222</v>
      </c>
      <c r="U23" s="19">
        <f t="shared" si="10"/>
        <v>222</v>
      </c>
      <c r="V23" s="19">
        <f t="shared" si="10"/>
        <v>222</v>
      </c>
      <c r="W23" s="19">
        <f t="shared" si="10"/>
        <v>222</v>
      </c>
      <c r="X23" s="19">
        <f t="shared" si="10"/>
        <v>222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107</v>
      </c>
      <c r="O27" s="107">
        <f>MAX($C20:O20)</f>
        <v>107</v>
      </c>
      <c r="P27" s="107">
        <f>MAX($C20:P20)</f>
        <v>152</v>
      </c>
      <c r="Q27" s="107">
        <f>MAX($C20:Q20)</f>
        <v>171</v>
      </c>
      <c r="R27" s="107">
        <f>MAX($C20:R20)</f>
        <v>171</v>
      </c>
      <c r="S27" s="107">
        <f>MAX($C20:S20)</f>
        <v>171</v>
      </c>
      <c r="T27" s="107">
        <f>MAX($C20:T20)</f>
        <v>171</v>
      </c>
      <c r="U27" s="107">
        <f>MAX($C20:U20)</f>
        <v>171</v>
      </c>
      <c r="V27" s="107">
        <f>MAX($C20:V20)</f>
        <v>171</v>
      </c>
      <c r="W27" s="107">
        <f>MAX($C20:W20)</f>
        <v>171</v>
      </c>
      <c r="X27" s="107">
        <f>MAX($C20:X20)</f>
        <v>171</v>
      </c>
    </row>
    <row r="28" spans="1:25" ht="13.15" x14ac:dyDescent="0.4">
      <c r="A28">
        <v>22</v>
      </c>
      <c r="B28" s="151" t="s">
        <v>78</v>
      </c>
      <c r="C28" s="19">
        <f>MAX(C21)</f>
        <v>0</v>
      </c>
      <c r="D28" s="107">
        <f>MAX($C21:D21)</f>
        <v>0</v>
      </c>
      <c r="E28" s="107" t="e">
        <f>MAX($C21:E21)</f>
        <v>#DIV/0!</v>
      </c>
      <c r="F28" s="107" t="e">
        <f>MAX($C21:F21)</f>
        <v>#DIV/0!</v>
      </c>
      <c r="G28" s="107" t="e">
        <f>MAX($C21:G21)</f>
        <v>#DIV/0!</v>
      </c>
      <c r="H28" s="107" t="e">
        <f>MAX($C21:H21)</f>
        <v>#DIV/0!</v>
      </c>
      <c r="I28" s="107" t="e">
        <f>MAX($C21:I21)</f>
        <v>#DIV/0!</v>
      </c>
      <c r="J28" s="107" t="e">
        <f>MAX($C21:J21)</f>
        <v>#DIV/0!</v>
      </c>
      <c r="K28" s="107" t="e">
        <f>MAX($C21:K21)</f>
        <v>#DIV/0!</v>
      </c>
      <c r="L28" s="107" t="e">
        <f>MAX($C21:L21)</f>
        <v>#DIV/0!</v>
      </c>
      <c r="M28" s="107" t="e">
        <f>MAX($C21:M21)</f>
        <v>#DIV/0!</v>
      </c>
      <c r="N28" s="107" t="e">
        <f>MAX($C21:N21)</f>
        <v>#DIV/0!</v>
      </c>
      <c r="O28" s="107" t="e">
        <f>MAX($C21:O21)</f>
        <v>#DIV/0!</v>
      </c>
      <c r="P28" s="107" t="e">
        <f>MAX($C21:P21)</f>
        <v>#DIV/0!</v>
      </c>
      <c r="Q28" s="107" t="e">
        <f>MAX($C21:Q21)</f>
        <v>#DIV/0!</v>
      </c>
      <c r="R28" s="107" t="e">
        <f>MAX($C21:R21)</f>
        <v>#DIV/0!</v>
      </c>
      <c r="S28" s="107" t="e">
        <f>MAX($C21:S21)</f>
        <v>#DIV/0!</v>
      </c>
      <c r="T28" s="107" t="e">
        <f>MAX($C21:T21)</f>
        <v>#DIV/0!</v>
      </c>
      <c r="U28" s="107" t="e">
        <f>MAX($C21:U21)</f>
        <v>#DIV/0!</v>
      </c>
      <c r="V28" s="107" t="e">
        <f>MAX($C21:V21)</f>
        <v>#DIV/0!</v>
      </c>
      <c r="W28" s="107" t="e">
        <f>MAX($C21:W21)</f>
        <v>#DIV/0!</v>
      </c>
      <c r="X28" s="107" t="e">
        <f>MAX($C21:X21)</f>
        <v>#DIV/0!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289</v>
      </c>
      <c r="O29" s="107">
        <f>MAX($C22:O22)</f>
        <v>289</v>
      </c>
      <c r="P29" s="107">
        <f>MAX($C22:P22)</f>
        <v>406</v>
      </c>
      <c r="Q29" s="107">
        <f>MAX($C22:Q22)</f>
        <v>406</v>
      </c>
      <c r="R29" s="107">
        <f>MAX($C22:R22)</f>
        <v>406</v>
      </c>
      <c r="S29" s="107">
        <f>MAX($C22:S22)</f>
        <v>406</v>
      </c>
      <c r="T29" s="107">
        <f>MAX($C22:T22)</f>
        <v>406</v>
      </c>
      <c r="U29" s="107">
        <f>MAX($C22:U22)</f>
        <v>406</v>
      </c>
      <c r="V29" s="107">
        <f>MAX($C22:V22)</f>
        <v>406</v>
      </c>
      <c r="W29" s="107">
        <f>MAX($C22:W22)</f>
        <v>406</v>
      </c>
      <c r="X29" s="107">
        <f>MAX($C22:X22)</f>
        <v>406</v>
      </c>
    </row>
    <row r="30" spans="1:25" ht="13.15" x14ac:dyDescent="0.4">
      <c r="A30">
        <v>24</v>
      </c>
      <c r="B30" s="151" t="s">
        <v>80</v>
      </c>
      <c r="C30" s="19">
        <f>MAX(C23)</f>
        <v>0</v>
      </c>
      <c r="D30" s="107">
        <f>MAX($C23:D23)</f>
        <v>0</v>
      </c>
      <c r="E30" s="107" t="e">
        <f>MAX($C23:E23)</f>
        <v>#DIV/0!</v>
      </c>
      <c r="F30" s="107" t="e">
        <f>MAX($C23:F23)</f>
        <v>#DIV/0!</v>
      </c>
      <c r="G30" s="107" t="e">
        <f>MAX($C23:G23)</f>
        <v>#DIV/0!</v>
      </c>
      <c r="H30" s="107" t="e">
        <f>MAX($C23:H23)</f>
        <v>#DIV/0!</v>
      </c>
      <c r="I30" s="107" t="e">
        <f>MAX($C23:I23)</f>
        <v>#DIV/0!</v>
      </c>
      <c r="J30" s="107" t="e">
        <f>MAX($C23:J23)</f>
        <v>#DIV/0!</v>
      </c>
      <c r="K30" s="107" t="e">
        <f>MAX($C23:K23)</f>
        <v>#DIV/0!</v>
      </c>
      <c r="L30" s="107" t="e">
        <f>MAX($C23:L23)</f>
        <v>#DIV/0!</v>
      </c>
      <c r="M30" s="107" t="e">
        <f>MAX($C23:M23)</f>
        <v>#DIV/0!</v>
      </c>
      <c r="N30" s="107" t="e">
        <f>MAX($C23:N23)</f>
        <v>#DIV/0!</v>
      </c>
      <c r="O30" s="107" t="e">
        <f>MAX($C23:O23)</f>
        <v>#DIV/0!</v>
      </c>
      <c r="P30" s="107" t="e">
        <f>MAX($C23:P23)</f>
        <v>#DIV/0!</v>
      </c>
      <c r="Q30" s="107" t="e">
        <f>MAX($C23:Q23)</f>
        <v>#DIV/0!</v>
      </c>
      <c r="R30" s="107" t="e">
        <f>MAX($C23:R23)</f>
        <v>#DIV/0!</v>
      </c>
      <c r="S30" s="107" t="e">
        <f>MAX($C23:S23)</f>
        <v>#DIV/0!</v>
      </c>
      <c r="T30" s="107" t="e">
        <f>MAX($C23:T23)</f>
        <v>#DIV/0!</v>
      </c>
      <c r="U30" s="107" t="e">
        <f>MAX($C23:U23)</f>
        <v>#DIV/0!</v>
      </c>
      <c r="V30" s="107" t="e">
        <f>MAX($C23:V23)</f>
        <v>#DIV/0!</v>
      </c>
      <c r="W30" s="107" t="e">
        <f>MAX($C23:W23)</f>
        <v>#DIV/0!</v>
      </c>
      <c r="X30" s="107" t="e">
        <f>MAX($C23:X23)</f>
        <v>#DIV/0!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231</v>
      </c>
      <c r="G2" s="203" t="s">
        <v>210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62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60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106</v>
      </c>
      <c r="D9">
        <v>117</v>
      </c>
      <c r="E9">
        <v>115</v>
      </c>
      <c r="F9">
        <v>151</v>
      </c>
      <c r="H9">
        <v>113</v>
      </c>
      <c r="I9">
        <v>168</v>
      </c>
      <c r="J9">
        <v>110</v>
      </c>
      <c r="K9">
        <v>143</v>
      </c>
      <c r="L9">
        <v>171</v>
      </c>
      <c r="M9">
        <v>180</v>
      </c>
      <c r="N9">
        <v>170</v>
      </c>
      <c r="O9">
        <v>147</v>
      </c>
      <c r="P9">
        <v>137</v>
      </c>
      <c r="Q9">
        <v>113</v>
      </c>
      <c r="R9">
        <v>131</v>
      </c>
      <c r="T9">
        <v>145</v>
      </c>
      <c r="U9">
        <v>147</v>
      </c>
      <c r="V9">
        <v>115</v>
      </c>
    </row>
    <row r="10" spans="1:24" ht="13.15" x14ac:dyDescent="0.4">
      <c r="A10">
        <v>4</v>
      </c>
      <c r="B10" s="3" t="s">
        <v>15</v>
      </c>
      <c r="C10">
        <v>108</v>
      </c>
      <c r="D10">
        <v>149</v>
      </c>
      <c r="E10">
        <v>135</v>
      </c>
      <c r="F10">
        <v>122</v>
      </c>
      <c r="H10">
        <v>132</v>
      </c>
      <c r="I10">
        <v>109</v>
      </c>
      <c r="J10">
        <v>128</v>
      </c>
      <c r="K10">
        <v>135</v>
      </c>
      <c r="L10">
        <v>146</v>
      </c>
      <c r="M10">
        <v>131</v>
      </c>
      <c r="N10">
        <v>106</v>
      </c>
      <c r="O10">
        <v>112</v>
      </c>
      <c r="P10">
        <v>146</v>
      </c>
      <c r="Q10">
        <v>160</v>
      </c>
      <c r="R10">
        <v>146</v>
      </c>
      <c r="T10">
        <v>119</v>
      </c>
      <c r="U10">
        <v>116</v>
      </c>
      <c r="V10">
        <v>161</v>
      </c>
    </row>
    <row r="11" spans="1:24" ht="13.15" x14ac:dyDescent="0.4">
      <c r="A11">
        <v>5</v>
      </c>
      <c r="B11" s="3" t="s">
        <v>16</v>
      </c>
      <c r="C11">
        <v>106</v>
      </c>
      <c r="D11">
        <v>118</v>
      </c>
      <c r="F11">
        <v>108</v>
      </c>
      <c r="I11">
        <v>134</v>
      </c>
      <c r="J11">
        <v>109</v>
      </c>
      <c r="K11">
        <v>131</v>
      </c>
      <c r="L11">
        <v>133</v>
      </c>
      <c r="M11">
        <v>133</v>
      </c>
      <c r="N11">
        <v>156</v>
      </c>
      <c r="O11">
        <v>140</v>
      </c>
      <c r="P11">
        <v>132</v>
      </c>
      <c r="Q11">
        <v>123</v>
      </c>
      <c r="R11">
        <v>119</v>
      </c>
      <c r="T11">
        <v>99</v>
      </c>
      <c r="U11">
        <v>133</v>
      </c>
      <c r="V11">
        <v>128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320</v>
      </c>
      <c r="D15" s="18">
        <f t="shared" si="2"/>
        <v>384</v>
      </c>
      <c r="E15" s="18">
        <f t="shared" si="2"/>
        <v>250</v>
      </c>
      <c r="F15" s="18">
        <f t="shared" si="2"/>
        <v>381</v>
      </c>
      <c r="G15" s="18">
        <f t="shared" si="2"/>
        <v>0</v>
      </c>
      <c r="H15" s="18">
        <f t="shared" si="2"/>
        <v>245</v>
      </c>
      <c r="I15" s="18">
        <f t="shared" si="2"/>
        <v>411</v>
      </c>
      <c r="J15" s="18">
        <f t="shared" si="2"/>
        <v>347</v>
      </c>
      <c r="K15" s="18">
        <f t="shared" si="2"/>
        <v>409</v>
      </c>
      <c r="L15" s="18">
        <f t="shared" si="2"/>
        <v>450</v>
      </c>
      <c r="M15" s="18">
        <f t="shared" si="2"/>
        <v>444</v>
      </c>
      <c r="N15" s="18">
        <f t="shared" si="2"/>
        <v>432</v>
      </c>
      <c r="O15" s="18">
        <f t="shared" si="2"/>
        <v>399</v>
      </c>
      <c r="P15" s="18">
        <f t="shared" si="2"/>
        <v>415</v>
      </c>
      <c r="Q15" s="18">
        <f t="shared" si="2"/>
        <v>396</v>
      </c>
      <c r="R15" s="18">
        <f t="shared" si="2"/>
        <v>396</v>
      </c>
      <c r="S15" s="18">
        <f t="shared" si="2"/>
        <v>0</v>
      </c>
      <c r="T15" s="18">
        <f t="shared" si="2"/>
        <v>363</v>
      </c>
      <c r="U15" s="18">
        <f t="shared" si="2"/>
        <v>396</v>
      </c>
      <c r="V15" s="18">
        <f t="shared" si="2"/>
        <v>404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320</v>
      </c>
      <c r="D16" s="19">
        <f t="shared" ref="D16:X16" si="3">+D15+C16</f>
        <v>704</v>
      </c>
      <c r="E16" s="19">
        <f t="shared" si="3"/>
        <v>954</v>
      </c>
      <c r="F16" s="19">
        <f t="shared" si="3"/>
        <v>1335</v>
      </c>
      <c r="G16" s="19">
        <f t="shared" si="3"/>
        <v>1335</v>
      </c>
      <c r="H16" s="19">
        <f t="shared" si="3"/>
        <v>1580</v>
      </c>
      <c r="I16" s="19">
        <f t="shared" si="3"/>
        <v>1991</v>
      </c>
      <c r="J16" s="19">
        <f t="shared" si="3"/>
        <v>2338</v>
      </c>
      <c r="K16" s="19">
        <f t="shared" si="3"/>
        <v>2747</v>
      </c>
      <c r="L16" s="19">
        <f t="shared" si="3"/>
        <v>3197</v>
      </c>
      <c r="M16" s="19">
        <f t="shared" si="3"/>
        <v>3641</v>
      </c>
      <c r="N16" s="19">
        <f t="shared" si="3"/>
        <v>4073</v>
      </c>
      <c r="O16" s="19">
        <f t="shared" si="3"/>
        <v>4472</v>
      </c>
      <c r="P16" s="19">
        <f t="shared" si="3"/>
        <v>4887</v>
      </c>
      <c r="Q16" s="19">
        <f t="shared" si="3"/>
        <v>5283</v>
      </c>
      <c r="R16" s="19">
        <f t="shared" si="3"/>
        <v>5679</v>
      </c>
      <c r="S16" s="19">
        <f t="shared" si="3"/>
        <v>5679</v>
      </c>
      <c r="T16" s="19">
        <f t="shared" si="3"/>
        <v>6042</v>
      </c>
      <c r="U16" s="19">
        <f t="shared" si="3"/>
        <v>6438</v>
      </c>
      <c r="V16" s="19">
        <f t="shared" si="3"/>
        <v>6842</v>
      </c>
      <c r="W16" s="19">
        <f t="shared" si="3"/>
        <v>6842</v>
      </c>
      <c r="X16" s="19">
        <f t="shared" si="3"/>
        <v>6842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106.66666666666667</v>
      </c>
      <c r="D17" s="20">
        <f t="shared" si="4"/>
        <v>117.33333333333333</v>
      </c>
      <c r="E17" s="20">
        <f t="shared" si="4"/>
        <v>119.25</v>
      </c>
      <c r="F17" s="20">
        <f t="shared" si="4"/>
        <v>121.36363636363636</v>
      </c>
      <c r="G17" s="20">
        <f t="shared" si="4"/>
        <v>121.36363636363636</v>
      </c>
      <c r="H17" s="20">
        <f t="shared" si="4"/>
        <v>121.53846153846153</v>
      </c>
      <c r="I17" s="20">
        <f t="shared" si="4"/>
        <v>124.4375</v>
      </c>
      <c r="J17" s="20">
        <f t="shared" si="4"/>
        <v>123.05263157894737</v>
      </c>
      <c r="K17" s="20">
        <f t="shared" si="4"/>
        <v>124.86363636363636</v>
      </c>
      <c r="L17" s="20">
        <f t="shared" si="4"/>
        <v>127.88</v>
      </c>
      <c r="M17" s="20">
        <f t="shared" si="4"/>
        <v>130.03571428571428</v>
      </c>
      <c r="N17" s="20">
        <f t="shared" si="4"/>
        <v>131.38709677419354</v>
      </c>
      <c r="O17" s="20">
        <f t="shared" si="4"/>
        <v>131.52941176470588</v>
      </c>
      <c r="P17" s="20">
        <f t="shared" si="4"/>
        <v>132.08108108108109</v>
      </c>
      <c r="Q17" s="20">
        <f t="shared" si="4"/>
        <v>132.07499999999999</v>
      </c>
      <c r="R17" s="20">
        <f t="shared" si="4"/>
        <v>132.06976744186048</v>
      </c>
      <c r="S17" s="20">
        <f t="shared" si="4"/>
        <v>132.06976744186048</v>
      </c>
      <c r="T17" s="20">
        <f t="shared" si="4"/>
        <v>131.34782608695653</v>
      </c>
      <c r="U17" s="20">
        <f t="shared" si="4"/>
        <v>131.38775510204081</v>
      </c>
      <c r="V17" s="20">
        <f t="shared" si="4"/>
        <v>131.57692307692307</v>
      </c>
      <c r="W17" s="20">
        <f t="shared" si="4"/>
        <v>131.57692307692307</v>
      </c>
      <c r="X17" s="20">
        <f t="shared" si="4"/>
        <v>131.57692307692307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84</v>
      </c>
      <c r="D18" s="19">
        <f t="shared" si="5"/>
        <v>74</v>
      </c>
      <c r="E18" s="19">
        <f t="shared" si="5"/>
        <v>73</v>
      </c>
      <c r="F18" s="19">
        <f t="shared" si="5"/>
        <v>71</v>
      </c>
      <c r="G18" s="19">
        <f t="shared" si="5"/>
        <v>71</v>
      </c>
      <c r="H18" s="19">
        <f t="shared" si="5"/>
        <v>71</v>
      </c>
      <c r="I18" s="19">
        <f t="shared" si="5"/>
        <v>68</v>
      </c>
      <c r="J18" s="19">
        <f t="shared" si="5"/>
        <v>69</v>
      </c>
      <c r="K18" s="19">
        <f t="shared" si="5"/>
        <v>68</v>
      </c>
      <c r="L18" s="19">
        <f t="shared" si="5"/>
        <v>65</v>
      </c>
      <c r="M18" s="19">
        <f t="shared" si="5"/>
        <v>63</v>
      </c>
      <c r="N18" s="19">
        <f t="shared" si="5"/>
        <v>62</v>
      </c>
      <c r="O18" s="19">
        <f t="shared" si="5"/>
        <v>62</v>
      </c>
      <c r="P18" s="19">
        <f t="shared" si="5"/>
        <v>61</v>
      </c>
      <c r="Q18" s="19">
        <f t="shared" si="5"/>
        <v>61</v>
      </c>
      <c r="R18" s="19">
        <f t="shared" si="5"/>
        <v>61</v>
      </c>
      <c r="S18" s="19">
        <f t="shared" si="5"/>
        <v>61</v>
      </c>
      <c r="T18" s="19">
        <f t="shared" si="5"/>
        <v>62</v>
      </c>
      <c r="U18" s="19">
        <f t="shared" si="5"/>
        <v>62</v>
      </c>
      <c r="V18" s="19">
        <f t="shared" si="5"/>
        <v>62</v>
      </c>
      <c r="W18" s="19">
        <f t="shared" si="5"/>
        <v>62</v>
      </c>
      <c r="X18" s="19">
        <f t="shared" si="5"/>
        <v>62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6</v>
      </c>
      <c r="E19" s="19">
        <f t="shared" si="6"/>
        <v>8</v>
      </c>
      <c r="F19" s="19">
        <f t="shared" si="6"/>
        <v>11</v>
      </c>
      <c r="G19" s="19">
        <f t="shared" si="6"/>
        <v>11</v>
      </c>
      <c r="H19" s="19">
        <f t="shared" si="6"/>
        <v>13</v>
      </c>
      <c r="I19" s="19">
        <f t="shared" si="6"/>
        <v>16</v>
      </c>
      <c r="J19" s="19">
        <f t="shared" si="6"/>
        <v>19</v>
      </c>
      <c r="K19" s="19">
        <f t="shared" si="6"/>
        <v>22</v>
      </c>
      <c r="L19" s="19">
        <f t="shared" si="6"/>
        <v>25</v>
      </c>
      <c r="M19" s="19">
        <f t="shared" si="6"/>
        <v>28</v>
      </c>
      <c r="N19" s="19">
        <f t="shared" si="6"/>
        <v>31</v>
      </c>
      <c r="O19" s="19">
        <f t="shared" si="6"/>
        <v>34</v>
      </c>
      <c r="P19" s="19">
        <f t="shared" si="6"/>
        <v>37</v>
      </c>
      <c r="Q19" s="19">
        <f t="shared" si="6"/>
        <v>40</v>
      </c>
      <c r="R19" s="19">
        <f t="shared" si="6"/>
        <v>43</v>
      </c>
      <c r="S19" s="19">
        <f t="shared" si="6"/>
        <v>43</v>
      </c>
      <c r="T19" s="19">
        <f t="shared" si="6"/>
        <v>46</v>
      </c>
      <c r="U19" s="19">
        <f t="shared" si="6"/>
        <v>49</v>
      </c>
      <c r="V19" s="19">
        <f t="shared" si="6"/>
        <v>52</v>
      </c>
      <c r="W19" s="19">
        <f t="shared" si="6"/>
        <v>52</v>
      </c>
      <c r="X19" s="19">
        <f t="shared" si="6"/>
        <v>52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108</v>
      </c>
      <c r="D20" s="19">
        <f t="shared" si="7"/>
        <v>149</v>
      </c>
      <c r="E20" s="19">
        <f t="shared" si="7"/>
        <v>135</v>
      </c>
      <c r="F20" s="19">
        <f t="shared" si="7"/>
        <v>151</v>
      </c>
      <c r="G20" s="19">
        <f t="shared" si="7"/>
        <v>0</v>
      </c>
      <c r="H20" s="19">
        <f t="shared" si="7"/>
        <v>132</v>
      </c>
      <c r="I20" s="19">
        <f t="shared" si="7"/>
        <v>168</v>
      </c>
      <c r="J20" s="19">
        <f t="shared" si="7"/>
        <v>128</v>
      </c>
      <c r="K20" s="19">
        <f t="shared" si="7"/>
        <v>143</v>
      </c>
      <c r="L20" s="19">
        <f t="shared" si="7"/>
        <v>171</v>
      </c>
      <c r="M20" s="19">
        <f t="shared" si="7"/>
        <v>180</v>
      </c>
      <c r="N20" s="19">
        <f t="shared" si="7"/>
        <v>170</v>
      </c>
      <c r="O20" s="19">
        <f t="shared" si="7"/>
        <v>147</v>
      </c>
      <c r="P20" s="19">
        <f t="shared" si="7"/>
        <v>146</v>
      </c>
      <c r="Q20" s="19">
        <f t="shared" si="7"/>
        <v>160</v>
      </c>
      <c r="R20" s="19">
        <f t="shared" si="7"/>
        <v>146</v>
      </c>
      <c r="S20" s="19">
        <f t="shared" si="7"/>
        <v>0</v>
      </c>
      <c r="T20" s="19">
        <f t="shared" si="7"/>
        <v>145</v>
      </c>
      <c r="U20" s="19">
        <f t="shared" si="7"/>
        <v>147</v>
      </c>
      <c r="V20" s="19">
        <f t="shared" si="7"/>
        <v>161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168</v>
      </c>
      <c r="D21" s="19">
        <f>MAX(D$9:D$14)+$I$5</f>
        <v>209</v>
      </c>
      <c r="E21" s="19">
        <f t="shared" ref="E21:X21" si="8">MAX(E$9:E$14)+D18</f>
        <v>209</v>
      </c>
      <c r="F21" s="19">
        <f t="shared" si="8"/>
        <v>224</v>
      </c>
      <c r="G21" s="19">
        <f t="shared" si="8"/>
        <v>71</v>
      </c>
      <c r="H21" s="19">
        <f t="shared" si="8"/>
        <v>203</v>
      </c>
      <c r="I21" s="19">
        <f t="shared" si="8"/>
        <v>239</v>
      </c>
      <c r="J21" s="19">
        <f t="shared" si="8"/>
        <v>196</v>
      </c>
      <c r="K21" s="19">
        <f t="shared" si="8"/>
        <v>212</v>
      </c>
      <c r="L21" s="19">
        <f t="shared" si="8"/>
        <v>239</v>
      </c>
      <c r="M21" s="19">
        <f t="shared" si="8"/>
        <v>245</v>
      </c>
      <c r="N21" s="19">
        <f t="shared" si="8"/>
        <v>233</v>
      </c>
      <c r="O21" s="19">
        <f t="shared" si="8"/>
        <v>209</v>
      </c>
      <c r="P21" s="19">
        <f t="shared" si="8"/>
        <v>208</v>
      </c>
      <c r="Q21" s="19">
        <f t="shared" si="8"/>
        <v>221</v>
      </c>
      <c r="R21" s="19">
        <f t="shared" si="8"/>
        <v>207</v>
      </c>
      <c r="S21" s="19">
        <f t="shared" si="8"/>
        <v>61</v>
      </c>
      <c r="T21" s="19">
        <f t="shared" si="8"/>
        <v>206</v>
      </c>
      <c r="U21" s="19">
        <f t="shared" si="8"/>
        <v>209</v>
      </c>
      <c r="V21" s="19">
        <f t="shared" si="8"/>
        <v>223</v>
      </c>
      <c r="W21" s="19">
        <f t="shared" si="8"/>
        <v>62</v>
      </c>
      <c r="X21" s="19">
        <f t="shared" si="8"/>
        <v>62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320</v>
      </c>
      <c r="D22" s="19">
        <f t="shared" ref="D22:X22" si="9">MAX(SUM(D$9:D$11),SUM(D$12:D$14))</f>
        <v>384</v>
      </c>
      <c r="E22" s="19">
        <f t="shared" si="9"/>
        <v>250</v>
      </c>
      <c r="F22" s="19">
        <f t="shared" si="9"/>
        <v>381</v>
      </c>
      <c r="G22" s="19">
        <f t="shared" si="9"/>
        <v>0</v>
      </c>
      <c r="H22" s="19">
        <f t="shared" si="9"/>
        <v>245</v>
      </c>
      <c r="I22" s="19">
        <f t="shared" si="9"/>
        <v>411</v>
      </c>
      <c r="J22" s="19">
        <f t="shared" si="9"/>
        <v>347</v>
      </c>
      <c r="K22" s="19">
        <f t="shared" si="9"/>
        <v>409</v>
      </c>
      <c r="L22" s="19">
        <f t="shared" si="9"/>
        <v>450</v>
      </c>
      <c r="M22" s="19">
        <f t="shared" si="9"/>
        <v>444</v>
      </c>
      <c r="N22" s="19">
        <f t="shared" si="9"/>
        <v>432</v>
      </c>
      <c r="O22" s="19">
        <f t="shared" si="9"/>
        <v>399</v>
      </c>
      <c r="P22" s="19">
        <f t="shared" si="9"/>
        <v>415</v>
      </c>
      <c r="Q22" s="19">
        <f t="shared" si="9"/>
        <v>396</v>
      </c>
      <c r="R22" s="19">
        <f t="shared" si="9"/>
        <v>396</v>
      </c>
      <c r="S22" s="19">
        <f t="shared" si="9"/>
        <v>0</v>
      </c>
      <c r="T22" s="19">
        <f t="shared" si="9"/>
        <v>363</v>
      </c>
      <c r="U22" s="19">
        <f t="shared" si="9"/>
        <v>396</v>
      </c>
      <c r="V22" s="19">
        <f t="shared" si="9"/>
        <v>404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500</v>
      </c>
      <c r="D23" s="19">
        <f>MAX(SUM(D$9:D$11),SUM(D$12:D$14))+$I$5*3</f>
        <v>564</v>
      </c>
      <c r="E23" s="19">
        <f t="shared" ref="E23:X23" si="10">MAX(SUM(E$9:E$11),SUM(E$12:E$14))+D18*3</f>
        <v>472</v>
      </c>
      <c r="F23" s="19">
        <f t="shared" si="10"/>
        <v>600</v>
      </c>
      <c r="G23" s="19">
        <f t="shared" si="10"/>
        <v>213</v>
      </c>
      <c r="H23" s="19">
        <f t="shared" si="10"/>
        <v>458</v>
      </c>
      <c r="I23" s="19">
        <f t="shared" si="10"/>
        <v>624</v>
      </c>
      <c r="J23" s="19">
        <f t="shared" si="10"/>
        <v>551</v>
      </c>
      <c r="K23" s="19">
        <f t="shared" si="10"/>
        <v>616</v>
      </c>
      <c r="L23" s="19">
        <f t="shared" si="10"/>
        <v>654</v>
      </c>
      <c r="M23" s="19">
        <f t="shared" si="10"/>
        <v>639</v>
      </c>
      <c r="N23" s="19">
        <f t="shared" si="10"/>
        <v>621</v>
      </c>
      <c r="O23" s="19">
        <f t="shared" si="10"/>
        <v>585</v>
      </c>
      <c r="P23" s="19">
        <f t="shared" si="10"/>
        <v>601</v>
      </c>
      <c r="Q23" s="19">
        <f t="shared" si="10"/>
        <v>579</v>
      </c>
      <c r="R23" s="19">
        <f t="shared" si="10"/>
        <v>579</v>
      </c>
      <c r="S23" s="19">
        <f t="shared" si="10"/>
        <v>183</v>
      </c>
      <c r="T23" s="19">
        <f t="shared" si="10"/>
        <v>546</v>
      </c>
      <c r="U23" s="19">
        <f t="shared" si="10"/>
        <v>582</v>
      </c>
      <c r="V23" s="19">
        <f t="shared" si="10"/>
        <v>590</v>
      </c>
      <c r="W23" s="19">
        <f t="shared" si="10"/>
        <v>186</v>
      </c>
      <c r="X23" s="19">
        <f t="shared" si="10"/>
        <v>186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108</v>
      </c>
      <c r="D27" s="107">
        <f>MAX($C20:D20)</f>
        <v>149</v>
      </c>
      <c r="E27" s="107">
        <f>MAX($C20:E20)</f>
        <v>149</v>
      </c>
      <c r="F27" s="107">
        <f>MAX($C20:F20)</f>
        <v>151</v>
      </c>
      <c r="G27" s="107">
        <f>MAX($C20:G20)</f>
        <v>151</v>
      </c>
      <c r="H27" s="107">
        <f>MAX($C20:H20)</f>
        <v>151</v>
      </c>
      <c r="I27" s="107">
        <f>MAX($C20:I20)</f>
        <v>168</v>
      </c>
      <c r="J27" s="107">
        <f>MAX($C20:J20)</f>
        <v>168</v>
      </c>
      <c r="K27" s="107">
        <f>MAX($C20:K20)</f>
        <v>168</v>
      </c>
      <c r="L27" s="107">
        <f>MAX($C20:L20)</f>
        <v>171</v>
      </c>
      <c r="M27" s="107">
        <f>MAX($C20:M20)</f>
        <v>180</v>
      </c>
      <c r="N27" s="107">
        <f>MAX($C20:N20)</f>
        <v>180</v>
      </c>
      <c r="O27" s="107">
        <f>MAX($C20:O20)</f>
        <v>180</v>
      </c>
      <c r="P27" s="107">
        <f>MAX($C20:P20)</f>
        <v>180</v>
      </c>
      <c r="Q27" s="107">
        <f>MAX($C20:Q20)</f>
        <v>180</v>
      </c>
      <c r="R27" s="107">
        <f>MAX($C20:R20)</f>
        <v>180</v>
      </c>
      <c r="S27" s="107">
        <f>MAX($C20:S20)</f>
        <v>180</v>
      </c>
      <c r="T27" s="107">
        <f>MAX($C20:T20)</f>
        <v>180</v>
      </c>
      <c r="U27" s="107">
        <f>MAX($C20:U20)</f>
        <v>180</v>
      </c>
      <c r="V27" s="107">
        <f>MAX($C20:V20)</f>
        <v>180</v>
      </c>
      <c r="W27" s="107">
        <f>MAX($C20:W20)</f>
        <v>180</v>
      </c>
      <c r="X27" s="107">
        <f>MAX($C20:X20)</f>
        <v>180</v>
      </c>
    </row>
    <row r="28" spans="1:25" ht="13.15" x14ac:dyDescent="0.4">
      <c r="A28">
        <v>22</v>
      </c>
      <c r="B28" s="151" t="s">
        <v>78</v>
      </c>
      <c r="C28" s="19">
        <f>MAX(C21)</f>
        <v>168</v>
      </c>
      <c r="D28" s="107">
        <f>MAX($C21:D21)</f>
        <v>209</v>
      </c>
      <c r="E28" s="107">
        <f>MAX($C21:E21)</f>
        <v>209</v>
      </c>
      <c r="F28" s="107">
        <f>MAX($C21:F21)</f>
        <v>224</v>
      </c>
      <c r="G28" s="107">
        <f>MAX($C21:G21)</f>
        <v>224</v>
      </c>
      <c r="H28" s="107">
        <f>MAX($C21:H21)</f>
        <v>224</v>
      </c>
      <c r="I28" s="107">
        <f>MAX($C21:I21)</f>
        <v>239</v>
      </c>
      <c r="J28" s="107">
        <f>MAX($C21:J21)</f>
        <v>239</v>
      </c>
      <c r="K28" s="107">
        <f>MAX($C21:K21)</f>
        <v>239</v>
      </c>
      <c r="L28" s="107">
        <f>MAX($C21:L21)</f>
        <v>239</v>
      </c>
      <c r="M28" s="107">
        <f>MAX($C21:M21)</f>
        <v>245</v>
      </c>
      <c r="N28" s="107">
        <f>MAX($C21:N21)</f>
        <v>245</v>
      </c>
      <c r="O28" s="107">
        <f>MAX($C21:O21)</f>
        <v>245</v>
      </c>
      <c r="P28" s="107">
        <f>MAX($C21:P21)</f>
        <v>245</v>
      </c>
      <c r="Q28" s="107">
        <f>MAX($C21:Q21)</f>
        <v>245</v>
      </c>
      <c r="R28" s="107">
        <f>MAX($C21:R21)</f>
        <v>245</v>
      </c>
      <c r="S28" s="107">
        <f>MAX($C21:S21)</f>
        <v>245</v>
      </c>
      <c r="T28" s="107">
        <f>MAX($C21:T21)</f>
        <v>245</v>
      </c>
      <c r="U28" s="107">
        <f>MAX($C21:U21)</f>
        <v>245</v>
      </c>
      <c r="V28" s="107">
        <f>MAX($C21:V21)</f>
        <v>245</v>
      </c>
      <c r="W28" s="107">
        <f>MAX($C21:W21)</f>
        <v>245</v>
      </c>
      <c r="X28" s="107">
        <f>MAX($C21:X21)</f>
        <v>245</v>
      </c>
    </row>
    <row r="29" spans="1:25" ht="26.25" x14ac:dyDescent="0.4">
      <c r="A29">
        <v>23</v>
      </c>
      <c r="B29" s="151" t="s">
        <v>79</v>
      </c>
      <c r="C29" s="19">
        <f>MAX(C22)</f>
        <v>320</v>
      </c>
      <c r="D29" s="107">
        <f>MAX($C22:D22)</f>
        <v>384</v>
      </c>
      <c r="E29" s="107">
        <f>MAX($C22:E22)</f>
        <v>384</v>
      </c>
      <c r="F29" s="107">
        <f>MAX($C22:F22)</f>
        <v>384</v>
      </c>
      <c r="G29" s="107">
        <f>MAX($C22:G22)</f>
        <v>384</v>
      </c>
      <c r="H29" s="107">
        <f>MAX($C22:H22)</f>
        <v>384</v>
      </c>
      <c r="I29" s="107">
        <f>MAX($C22:I22)</f>
        <v>411</v>
      </c>
      <c r="J29" s="107">
        <f>MAX($C22:J22)</f>
        <v>411</v>
      </c>
      <c r="K29" s="107">
        <f>MAX($C22:K22)</f>
        <v>411</v>
      </c>
      <c r="L29" s="107">
        <f>MAX($C22:L22)</f>
        <v>450</v>
      </c>
      <c r="M29" s="107">
        <f>MAX($C22:M22)</f>
        <v>450</v>
      </c>
      <c r="N29" s="107">
        <f>MAX($C22:N22)</f>
        <v>450</v>
      </c>
      <c r="O29" s="107">
        <f>MAX($C22:O22)</f>
        <v>450</v>
      </c>
      <c r="P29" s="107">
        <f>MAX($C22:P22)</f>
        <v>450</v>
      </c>
      <c r="Q29" s="107">
        <f>MAX($C22:Q22)</f>
        <v>450</v>
      </c>
      <c r="R29" s="107">
        <f>MAX($C22:R22)</f>
        <v>450</v>
      </c>
      <c r="S29" s="107">
        <f>MAX($C22:S22)</f>
        <v>450</v>
      </c>
      <c r="T29" s="107">
        <f>MAX($C22:T22)</f>
        <v>450</v>
      </c>
      <c r="U29" s="107">
        <f>MAX($C22:U22)</f>
        <v>450</v>
      </c>
      <c r="V29" s="107">
        <f>MAX($C22:V22)</f>
        <v>450</v>
      </c>
      <c r="W29" s="107">
        <f>MAX($C22:W22)</f>
        <v>450</v>
      </c>
      <c r="X29" s="107">
        <f>MAX($C22:X22)</f>
        <v>450</v>
      </c>
    </row>
    <row r="30" spans="1:25" ht="13.15" x14ac:dyDescent="0.4">
      <c r="A30">
        <v>24</v>
      </c>
      <c r="B30" s="151" t="s">
        <v>80</v>
      </c>
      <c r="C30" s="19">
        <f>MAX(C23)</f>
        <v>500</v>
      </c>
      <c r="D30" s="107">
        <f>MAX($C23:D23)</f>
        <v>564</v>
      </c>
      <c r="E30" s="107">
        <f>MAX($C23:E23)</f>
        <v>564</v>
      </c>
      <c r="F30" s="107">
        <f>MAX($C23:F23)</f>
        <v>600</v>
      </c>
      <c r="G30" s="107">
        <f>MAX($C23:G23)</f>
        <v>600</v>
      </c>
      <c r="H30" s="107">
        <f>MAX($C23:H23)</f>
        <v>600</v>
      </c>
      <c r="I30" s="107">
        <f>MAX($C23:I23)</f>
        <v>624</v>
      </c>
      <c r="J30" s="107">
        <f>MAX($C23:J23)</f>
        <v>624</v>
      </c>
      <c r="K30" s="107">
        <f>MAX($C23:K23)</f>
        <v>624</v>
      </c>
      <c r="L30" s="107">
        <f>MAX($C23:L23)</f>
        <v>654</v>
      </c>
      <c r="M30" s="107">
        <f>MAX($C23:M23)</f>
        <v>654</v>
      </c>
      <c r="N30" s="107">
        <f>MAX($C23:N23)</f>
        <v>654</v>
      </c>
      <c r="O30" s="107">
        <f>MAX($C23:O23)</f>
        <v>654</v>
      </c>
      <c r="P30" s="107">
        <f>MAX($C23:P23)</f>
        <v>654</v>
      </c>
      <c r="Q30" s="107">
        <f>MAX($C23:Q23)</f>
        <v>654</v>
      </c>
      <c r="R30" s="107">
        <f>MAX($C23:R23)</f>
        <v>654</v>
      </c>
      <c r="S30" s="107">
        <f>MAX($C23:S23)</f>
        <v>654</v>
      </c>
      <c r="T30" s="107">
        <f>MAX($C23:T23)</f>
        <v>654</v>
      </c>
      <c r="U30" s="107">
        <f>MAX($C23:U23)</f>
        <v>654</v>
      </c>
      <c r="V30" s="107">
        <f>MAX($C23:V23)</f>
        <v>654</v>
      </c>
      <c r="W30" s="107">
        <f>MAX($C23:W23)</f>
        <v>654</v>
      </c>
      <c r="X30" s="107">
        <f>MAX($C23:X23)</f>
        <v>654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201"/>
    </row>
    <row r="2" spans="1:24" ht="13.15" x14ac:dyDescent="0.4">
      <c r="B2" s="1" t="s">
        <v>1</v>
      </c>
      <c r="F2" s="202" t="s">
        <v>33</v>
      </c>
      <c r="G2" s="203" t="s">
        <v>117</v>
      </c>
      <c r="H2" s="224">
        <v>3</v>
      </c>
      <c r="I2" s="204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45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47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107</v>
      </c>
      <c r="D9">
        <v>160</v>
      </c>
      <c r="E9">
        <v>140</v>
      </c>
      <c r="F9">
        <v>171</v>
      </c>
      <c r="N9">
        <v>157</v>
      </c>
      <c r="O9">
        <v>161</v>
      </c>
      <c r="R9">
        <v>143</v>
      </c>
      <c r="U9">
        <v>182</v>
      </c>
      <c r="V9">
        <v>132</v>
      </c>
    </row>
    <row r="10" spans="1:24" ht="13.15" x14ac:dyDescent="0.4">
      <c r="A10">
        <v>4</v>
      </c>
      <c r="B10" s="3" t="s">
        <v>15</v>
      </c>
      <c r="C10">
        <v>171</v>
      </c>
      <c r="D10">
        <v>130</v>
      </c>
      <c r="E10">
        <v>154</v>
      </c>
      <c r="F10">
        <v>159</v>
      </c>
      <c r="N10">
        <v>159</v>
      </c>
      <c r="O10">
        <v>154</v>
      </c>
      <c r="R10">
        <v>168</v>
      </c>
      <c r="U10">
        <v>128</v>
      </c>
    </row>
    <row r="11" spans="1:24" ht="13.15" x14ac:dyDescent="0.4">
      <c r="A11">
        <v>5</v>
      </c>
      <c r="B11" s="3" t="s">
        <v>16</v>
      </c>
      <c r="D11">
        <v>136</v>
      </c>
      <c r="E11">
        <v>147</v>
      </c>
      <c r="F11">
        <v>139</v>
      </c>
      <c r="N11">
        <v>156</v>
      </c>
      <c r="O11">
        <v>146</v>
      </c>
      <c r="R11">
        <v>158</v>
      </c>
      <c r="U11">
        <v>137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278</v>
      </c>
      <c r="D15" s="18">
        <f t="shared" si="2"/>
        <v>426</v>
      </c>
      <c r="E15" s="18">
        <f t="shared" si="2"/>
        <v>441</v>
      </c>
      <c r="F15" s="18">
        <f t="shared" si="2"/>
        <v>469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472</v>
      </c>
      <c r="O15" s="18">
        <f t="shared" si="2"/>
        <v>461</v>
      </c>
      <c r="P15" s="18">
        <f t="shared" si="2"/>
        <v>0</v>
      </c>
      <c r="Q15" s="18">
        <f t="shared" si="2"/>
        <v>0</v>
      </c>
      <c r="R15" s="18">
        <f t="shared" si="2"/>
        <v>469</v>
      </c>
      <c r="S15" s="18">
        <f t="shared" si="2"/>
        <v>0</v>
      </c>
      <c r="T15" s="18">
        <f t="shared" si="2"/>
        <v>0</v>
      </c>
      <c r="U15" s="18">
        <f t="shared" si="2"/>
        <v>447</v>
      </c>
      <c r="V15" s="18">
        <f t="shared" si="2"/>
        <v>132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278</v>
      </c>
      <c r="D16" s="19">
        <f t="shared" ref="D16:X16" si="3">+D15+C16</f>
        <v>704</v>
      </c>
      <c r="E16" s="19">
        <f t="shared" si="3"/>
        <v>1145</v>
      </c>
      <c r="F16" s="19">
        <f t="shared" si="3"/>
        <v>1614</v>
      </c>
      <c r="G16" s="19">
        <f t="shared" si="3"/>
        <v>1614</v>
      </c>
      <c r="H16" s="19">
        <f t="shared" si="3"/>
        <v>1614</v>
      </c>
      <c r="I16" s="19">
        <f t="shared" si="3"/>
        <v>1614</v>
      </c>
      <c r="J16" s="19">
        <f t="shared" si="3"/>
        <v>1614</v>
      </c>
      <c r="K16" s="19">
        <f t="shared" si="3"/>
        <v>1614</v>
      </c>
      <c r="L16" s="19">
        <f t="shared" si="3"/>
        <v>1614</v>
      </c>
      <c r="M16" s="19">
        <f t="shared" si="3"/>
        <v>1614</v>
      </c>
      <c r="N16" s="19">
        <f t="shared" si="3"/>
        <v>2086</v>
      </c>
      <c r="O16" s="19">
        <f t="shared" si="3"/>
        <v>2547</v>
      </c>
      <c r="P16" s="19">
        <f t="shared" si="3"/>
        <v>2547</v>
      </c>
      <c r="Q16" s="19">
        <f t="shared" si="3"/>
        <v>2547</v>
      </c>
      <c r="R16" s="19">
        <f t="shared" si="3"/>
        <v>3016</v>
      </c>
      <c r="S16" s="19">
        <f t="shared" si="3"/>
        <v>3016</v>
      </c>
      <c r="T16" s="19">
        <f t="shared" si="3"/>
        <v>3016</v>
      </c>
      <c r="U16" s="19">
        <f t="shared" si="3"/>
        <v>3463</v>
      </c>
      <c r="V16" s="19">
        <f t="shared" si="3"/>
        <v>3595</v>
      </c>
      <c r="W16" s="19">
        <f t="shared" si="3"/>
        <v>3595</v>
      </c>
      <c r="X16" s="19">
        <f t="shared" si="3"/>
        <v>3595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139</v>
      </c>
      <c r="D17" s="20">
        <f t="shared" si="4"/>
        <v>140.80000000000001</v>
      </c>
      <c r="E17" s="20">
        <f t="shared" si="4"/>
        <v>143.125</v>
      </c>
      <c r="F17" s="20">
        <f t="shared" si="4"/>
        <v>146.72727272727272</v>
      </c>
      <c r="G17" s="20">
        <f t="shared" si="4"/>
        <v>146.72727272727272</v>
      </c>
      <c r="H17" s="20">
        <f t="shared" si="4"/>
        <v>146.72727272727272</v>
      </c>
      <c r="I17" s="20">
        <f t="shared" si="4"/>
        <v>146.72727272727272</v>
      </c>
      <c r="J17" s="20">
        <f t="shared" si="4"/>
        <v>146.72727272727272</v>
      </c>
      <c r="K17" s="20">
        <f t="shared" si="4"/>
        <v>146.72727272727272</v>
      </c>
      <c r="L17" s="20">
        <f t="shared" si="4"/>
        <v>146.72727272727272</v>
      </c>
      <c r="M17" s="20">
        <f t="shared" si="4"/>
        <v>146.72727272727272</v>
      </c>
      <c r="N17" s="20">
        <f t="shared" si="4"/>
        <v>149</v>
      </c>
      <c r="O17" s="20">
        <f t="shared" si="4"/>
        <v>149.8235294117647</v>
      </c>
      <c r="P17" s="20">
        <f t="shared" si="4"/>
        <v>149.8235294117647</v>
      </c>
      <c r="Q17" s="20">
        <f t="shared" si="4"/>
        <v>149.8235294117647</v>
      </c>
      <c r="R17" s="20">
        <f t="shared" si="4"/>
        <v>150.80000000000001</v>
      </c>
      <c r="S17" s="20">
        <f t="shared" si="4"/>
        <v>150.80000000000001</v>
      </c>
      <c r="T17" s="20">
        <f t="shared" si="4"/>
        <v>150.80000000000001</v>
      </c>
      <c r="U17" s="20">
        <f t="shared" si="4"/>
        <v>150.56521739130434</v>
      </c>
      <c r="V17" s="20">
        <f t="shared" si="4"/>
        <v>149.79166666666666</v>
      </c>
      <c r="W17" s="20">
        <f t="shared" si="4"/>
        <v>149.79166666666666</v>
      </c>
      <c r="X17" s="20">
        <f t="shared" si="4"/>
        <v>149.79166666666666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55</v>
      </c>
      <c r="D18" s="19">
        <f t="shared" si="5"/>
        <v>53</v>
      </c>
      <c r="E18" s="19">
        <f t="shared" si="5"/>
        <v>51</v>
      </c>
      <c r="F18" s="19">
        <f t="shared" si="5"/>
        <v>48</v>
      </c>
      <c r="G18" s="19">
        <f t="shared" si="5"/>
        <v>48</v>
      </c>
      <c r="H18" s="19">
        <f t="shared" si="5"/>
        <v>48</v>
      </c>
      <c r="I18" s="19">
        <f t="shared" si="5"/>
        <v>48</v>
      </c>
      <c r="J18" s="19">
        <f t="shared" si="5"/>
        <v>48</v>
      </c>
      <c r="K18" s="19">
        <f t="shared" si="5"/>
        <v>48</v>
      </c>
      <c r="L18" s="19">
        <f t="shared" si="5"/>
        <v>48</v>
      </c>
      <c r="M18" s="19">
        <f t="shared" si="5"/>
        <v>48</v>
      </c>
      <c r="N18" s="19">
        <f t="shared" si="5"/>
        <v>46</v>
      </c>
      <c r="O18" s="19">
        <f t="shared" si="5"/>
        <v>45</v>
      </c>
      <c r="P18" s="19">
        <f t="shared" si="5"/>
        <v>45</v>
      </c>
      <c r="Q18" s="19">
        <f t="shared" si="5"/>
        <v>45</v>
      </c>
      <c r="R18" s="19">
        <f t="shared" si="5"/>
        <v>44</v>
      </c>
      <c r="S18" s="19">
        <f t="shared" si="5"/>
        <v>44</v>
      </c>
      <c r="T18" s="19">
        <f t="shared" si="5"/>
        <v>44</v>
      </c>
      <c r="U18" s="19">
        <f t="shared" si="5"/>
        <v>44</v>
      </c>
      <c r="V18" s="19">
        <f t="shared" si="5"/>
        <v>45</v>
      </c>
      <c r="W18" s="19">
        <f t="shared" si="5"/>
        <v>45</v>
      </c>
      <c r="X18" s="19">
        <f t="shared" si="5"/>
        <v>45</v>
      </c>
    </row>
    <row r="19" spans="1:25" ht="13.15" x14ac:dyDescent="0.4">
      <c r="A19">
        <v>13</v>
      </c>
      <c r="B19" s="4" t="s">
        <v>9</v>
      </c>
      <c r="C19" s="19">
        <f>COUNT(C9:C14)</f>
        <v>2</v>
      </c>
      <c r="D19" s="19">
        <f t="shared" ref="D19:X19" si="6">COUNT(D9:D14)+C19</f>
        <v>5</v>
      </c>
      <c r="E19" s="19">
        <f t="shared" si="6"/>
        <v>8</v>
      </c>
      <c r="F19" s="19">
        <f t="shared" si="6"/>
        <v>11</v>
      </c>
      <c r="G19" s="19">
        <f t="shared" si="6"/>
        <v>11</v>
      </c>
      <c r="H19" s="19">
        <f t="shared" si="6"/>
        <v>11</v>
      </c>
      <c r="I19" s="19">
        <f t="shared" si="6"/>
        <v>11</v>
      </c>
      <c r="J19" s="19">
        <f t="shared" si="6"/>
        <v>11</v>
      </c>
      <c r="K19" s="19">
        <f t="shared" si="6"/>
        <v>11</v>
      </c>
      <c r="L19" s="19">
        <f t="shared" si="6"/>
        <v>11</v>
      </c>
      <c r="M19" s="19">
        <f t="shared" si="6"/>
        <v>11</v>
      </c>
      <c r="N19" s="19">
        <f t="shared" si="6"/>
        <v>14</v>
      </c>
      <c r="O19" s="19">
        <f t="shared" si="6"/>
        <v>17</v>
      </c>
      <c r="P19" s="19">
        <f t="shared" si="6"/>
        <v>17</v>
      </c>
      <c r="Q19" s="19">
        <f t="shared" si="6"/>
        <v>17</v>
      </c>
      <c r="R19" s="19">
        <f t="shared" si="6"/>
        <v>20</v>
      </c>
      <c r="S19" s="19">
        <f t="shared" si="6"/>
        <v>20</v>
      </c>
      <c r="T19" s="19">
        <f t="shared" si="6"/>
        <v>20</v>
      </c>
      <c r="U19" s="19">
        <f t="shared" si="6"/>
        <v>23</v>
      </c>
      <c r="V19" s="19">
        <f t="shared" si="6"/>
        <v>24</v>
      </c>
      <c r="W19" s="19">
        <f t="shared" si="6"/>
        <v>24</v>
      </c>
      <c r="X19" s="19">
        <f t="shared" si="6"/>
        <v>24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171</v>
      </c>
      <c r="D20" s="19">
        <f t="shared" si="7"/>
        <v>160</v>
      </c>
      <c r="E20" s="19">
        <f t="shared" si="7"/>
        <v>154</v>
      </c>
      <c r="F20" s="19">
        <f t="shared" si="7"/>
        <v>171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159</v>
      </c>
      <c r="O20" s="19">
        <f t="shared" si="7"/>
        <v>161</v>
      </c>
      <c r="P20" s="19">
        <f t="shared" si="7"/>
        <v>0</v>
      </c>
      <c r="Q20" s="19">
        <f t="shared" si="7"/>
        <v>0</v>
      </c>
      <c r="R20" s="19">
        <f t="shared" si="7"/>
        <v>168</v>
      </c>
      <c r="S20" s="19">
        <f t="shared" si="7"/>
        <v>0</v>
      </c>
      <c r="T20" s="19">
        <f t="shared" si="7"/>
        <v>0</v>
      </c>
      <c r="U20" s="19">
        <f t="shared" si="7"/>
        <v>182</v>
      </c>
      <c r="V20" s="19">
        <f t="shared" si="7"/>
        <v>132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218</v>
      </c>
      <c r="D21" s="19">
        <f>MAX(D$9:D$14)+$I$5</f>
        <v>207</v>
      </c>
      <c r="E21" s="19">
        <f t="shared" ref="E21:X21" si="8">MAX(E$9:E$14)+D18</f>
        <v>207</v>
      </c>
      <c r="F21" s="19">
        <f t="shared" si="8"/>
        <v>222</v>
      </c>
      <c r="G21" s="19">
        <f t="shared" si="8"/>
        <v>48</v>
      </c>
      <c r="H21" s="19">
        <f t="shared" si="8"/>
        <v>48</v>
      </c>
      <c r="I21" s="19">
        <f t="shared" si="8"/>
        <v>48</v>
      </c>
      <c r="J21" s="19">
        <f t="shared" si="8"/>
        <v>48</v>
      </c>
      <c r="K21" s="19">
        <f t="shared" si="8"/>
        <v>48</v>
      </c>
      <c r="L21" s="19">
        <f t="shared" si="8"/>
        <v>48</v>
      </c>
      <c r="M21" s="19">
        <f t="shared" si="8"/>
        <v>48</v>
      </c>
      <c r="N21" s="19">
        <f t="shared" si="8"/>
        <v>207</v>
      </c>
      <c r="O21" s="19">
        <f t="shared" si="8"/>
        <v>207</v>
      </c>
      <c r="P21" s="19">
        <f t="shared" si="8"/>
        <v>45</v>
      </c>
      <c r="Q21" s="19">
        <f t="shared" si="8"/>
        <v>45</v>
      </c>
      <c r="R21" s="19">
        <f t="shared" si="8"/>
        <v>213</v>
      </c>
      <c r="S21" s="19">
        <f t="shared" si="8"/>
        <v>44</v>
      </c>
      <c r="T21" s="19">
        <f t="shared" si="8"/>
        <v>44</v>
      </c>
      <c r="U21" s="19">
        <f t="shared" si="8"/>
        <v>226</v>
      </c>
      <c r="V21" s="19">
        <f t="shared" si="8"/>
        <v>176</v>
      </c>
      <c r="W21" s="19">
        <f t="shared" si="8"/>
        <v>45</v>
      </c>
      <c r="X21" s="19">
        <f t="shared" si="8"/>
        <v>45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278</v>
      </c>
      <c r="D22" s="19">
        <f t="shared" ref="D22:X22" si="9">MAX(SUM(D$9:D$11),SUM(D$12:D$14))</f>
        <v>426</v>
      </c>
      <c r="E22" s="19">
        <f t="shared" si="9"/>
        <v>441</v>
      </c>
      <c r="F22" s="19">
        <f t="shared" si="9"/>
        <v>469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472</v>
      </c>
      <c r="O22" s="19">
        <f t="shared" si="9"/>
        <v>461</v>
      </c>
      <c r="P22" s="19">
        <f t="shared" si="9"/>
        <v>0</v>
      </c>
      <c r="Q22" s="19">
        <f t="shared" si="9"/>
        <v>0</v>
      </c>
      <c r="R22" s="19">
        <f t="shared" si="9"/>
        <v>469</v>
      </c>
      <c r="S22" s="19">
        <f t="shared" si="9"/>
        <v>0</v>
      </c>
      <c r="T22" s="19">
        <f t="shared" si="9"/>
        <v>0</v>
      </c>
      <c r="U22" s="19">
        <f t="shared" si="9"/>
        <v>447</v>
      </c>
      <c r="V22" s="19">
        <f t="shared" si="9"/>
        <v>132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419</v>
      </c>
      <c r="D23" s="19">
        <f>MAX(SUM(D$9:D$11),SUM(D$12:D$14))+$I$5*3</f>
        <v>567</v>
      </c>
      <c r="E23" s="19">
        <f t="shared" ref="E23:X23" si="10">MAX(SUM(E$9:E$11),SUM(E$12:E$14))+D18*3</f>
        <v>600</v>
      </c>
      <c r="F23" s="19">
        <f t="shared" si="10"/>
        <v>622</v>
      </c>
      <c r="G23" s="19">
        <f t="shared" si="10"/>
        <v>144</v>
      </c>
      <c r="H23" s="19">
        <f t="shared" si="10"/>
        <v>144</v>
      </c>
      <c r="I23" s="19">
        <f t="shared" si="10"/>
        <v>144</v>
      </c>
      <c r="J23" s="19">
        <f t="shared" si="10"/>
        <v>144</v>
      </c>
      <c r="K23" s="19">
        <f t="shared" si="10"/>
        <v>144</v>
      </c>
      <c r="L23" s="19">
        <f t="shared" si="10"/>
        <v>144</v>
      </c>
      <c r="M23" s="19">
        <f t="shared" si="10"/>
        <v>144</v>
      </c>
      <c r="N23" s="19">
        <f t="shared" si="10"/>
        <v>616</v>
      </c>
      <c r="O23" s="19">
        <f t="shared" si="10"/>
        <v>599</v>
      </c>
      <c r="P23" s="19">
        <f t="shared" si="10"/>
        <v>135</v>
      </c>
      <c r="Q23" s="19">
        <f t="shared" si="10"/>
        <v>135</v>
      </c>
      <c r="R23" s="19">
        <f t="shared" si="10"/>
        <v>604</v>
      </c>
      <c r="S23" s="19">
        <f t="shared" si="10"/>
        <v>132</v>
      </c>
      <c r="T23" s="19">
        <f t="shared" si="10"/>
        <v>132</v>
      </c>
      <c r="U23" s="19">
        <f t="shared" si="10"/>
        <v>579</v>
      </c>
      <c r="V23" s="19">
        <f t="shared" si="10"/>
        <v>264</v>
      </c>
      <c r="W23" s="19">
        <f t="shared" si="10"/>
        <v>135</v>
      </c>
      <c r="X23" s="19">
        <f t="shared" si="10"/>
        <v>135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171</v>
      </c>
      <c r="D27" s="107">
        <f>MAX($C20:D20)</f>
        <v>171</v>
      </c>
      <c r="E27" s="107">
        <f>MAX($C20:E20)</f>
        <v>171</v>
      </c>
      <c r="F27" s="107">
        <f>MAX($C20:F20)</f>
        <v>171</v>
      </c>
      <c r="G27" s="107">
        <f>MAX($C20:G20)</f>
        <v>171</v>
      </c>
      <c r="H27" s="107">
        <f>MAX($C20:H20)</f>
        <v>171</v>
      </c>
      <c r="I27" s="107">
        <f>MAX($C20:I20)</f>
        <v>171</v>
      </c>
      <c r="J27" s="107">
        <f>MAX($C20:J20)</f>
        <v>171</v>
      </c>
      <c r="K27" s="107">
        <f>MAX($C20:K20)</f>
        <v>171</v>
      </c>
      <c r="L27" s="107">
        <f>MAX($C20:L20)</f>
        <v>171</v>
      </c>
      <c r="M27" s="107">
        <f>MAX($C20:M20)</f>
        <v>171</v>
      </c>
      <c r="N27" s="107">
        <f>MAX($C20:N20)</f>
        <v>171</v>
      </c>
      <c r="O27" s="107">
        <f>MAX($C20:O20)</f>
        <v>171</v>
      </c>
      <c r="P27" s="107">
        <f>MAX($C20:P20)</f>
        <v>171</v>
      </c>
      <c r="Q27" s="107">
        <f>MAX($C20:Q20)</f>
        <v>171</v>
      </c>
      <c r="R27" s="107">
        <f>MAX($C20:R20)</f>
        <v>171</v>
      </c>
      <c r="S27" s="107">
        <f>MAX($C20:S20)</f>
        <v>171</v>
      </c>
      <c r="T27" s="107">
        <f>MAX($C20:T20)</f>
        <v>171</v>
      </c>
      <c r="U27" s="107">
        <f>MAX($C20:U20)</f>
        <v>182</v>
      </c>
      <c r="V27" s="107">
        <f>MAX($C20:V20)</f>
        <v>182</v>
      </c>
      <c r="W27" s="107">
        <f>MAX($C20:W20)</f>
        <v>182</v>
      </c>
      <c r="X27" s="107">
        <f>MAX($C20:X20)</f>
        <v>182</v>
      </c>
    </row>
    <row r="28" spans="1:25" ht="13.15" x14ac:dyDescent="0.4">
      <c r="A28">
        <v>22</v>
      </c>
      <c r="B28" s="151" t="s">
        <v>78</v>
      </c>
      <c r="C28" s="19">
        <f>MAX(C21)</f>
        <v>218</v>
      </c>
      <c r="D28" s="107">
        <f>MAX($C21:D21)</f>
        <v>218</v>
      </c>
      <c r="E28" s="107">
        <f>MAX($C21:E21)</f>
        <v>218</v>
      </c>
      <c r="F28" s="107">
        <f>MAX($C21:F21)</f>
        <v>222</v>
      </c>
      <c r="G28" s="107">
        <f>MAX($C21:G21)</f>
        <v>222</v>
      </c>
      <c r="H28" s="107">
        <f>MAX($C21:H21)</f>
        <v>222</v>
      </c>
      <c r="I28" s="107">
        <f>MAX($C21:I21)</f>
        <v>222</v>
      </c>
      <c r="J28" s="107">
        <f>MAX($C21:J21)</f>
        <v>222</v>
      </c>
      <c r="K28" s="107">
        <f>MAX($C21:K21)</f>
        <v>222</v>
      </c>
      <c r="L28" s="107">
        <f>MAX($C21:L21)</f>
        <v>222</v>
      </c>
      <c r="M28" s="107">
        <f>MAX($C21:M21)</f>
        <v>222</v>
      </c>
      <c r="N28" s="107">
        <f>MAX($C21:N21)</f>
        <v>222</v>
      </c>
      <c r="O28" s="107">
        <f>MAX($C21:O21)</f>
        <v>222</v>
      </c>
      <c r="P28" s="107">
        <f>MAX($C21:P21)</f>
        <v>222</v>
      </c>
      <c r="Q28" s="107">
        <f>MAX($C21:Q21)</f>
        <v>222</v>
      </c>
      <c r="R28" s="107">
        <f>MAX($C21:R21)</f>
        <v>222</v>
      </c>
      <c r="S28" s="107">
        <f>MAX($C21:S21)</f>
        <v>222</v>
      </c>
      <c r="T28" s="107">
        <f>MAX($C21:T21)</f>
        <v>222</v>
      </c>
      <c r="U28" s="107">
        <f>MAX($C21:U21)</f>
        <v>226</v>
      </c>
      <c r="V28" s="107">
        <f>MAX($C21:V21)</f>
        <v>226</v>
      </c>
      <c r="W28" s="107">
        <f>MAX($C21:W21)</f>
        <v>226</v>
      </c>
      <c r="X28" s="107">
        <f>MAX($C21:X21)</f>
        <v>226</v>
      </c>
    </row>
    <row r="29" spans="1:25" ht="26.25" x14ac:dyDescent="0.4">
      <c r="A29">
        <v>23</v>
      </c>
      <c r="B29" s="151" t="s">
        <v>79</v>
      </c>
      <c r="C29" s="19">
        <f>MAX(C22)</f>
        <v>278</v>
      </c>
      <c r="D29" s="107">
        <f>MAX($C22:D22)</f>
        <v>426</v>
      </c>
      <c r="E29" s="107">
        <f>MAX($C22:E22)</f>
        <v>441</v>
      </c>
      <c r="F29" s="107">
        <f>MAX($C22:F22)</f>
        <v>469</v>
      </c>
      <c r="G29" s="107">
        <f>MAX($C22:G22)</f>
        <v>469</v>
      </c>
      <c r="H29" s="107">
        <f>MAX($C22:H22)</f>
        <v>469</v>
      </c>
      <c r="I29" s="107">
        <f>MAX($C22:I22)</f>
        <v>469</v>
      </c>
      <c r="J29" s="107">
        <f>MAX($C22:J22)</f>
        <v>469</v>
      </c>
      <c r="K29" s="107">
        <f>MAX($C22:K22)</f>
        <v>469</v>
      </c>
      <c r="L29" s="107">
        <f>MAX($C22:L22)</f>
        <v>469</v>
      </c>
      <c r="M29" s="107">
        <f>MAX($C22:M22)</f>
        <v>469</v>
      </c>
      <c r="N29" s="107">
        <f>MAX($C22:N22)</f>
        <v>472</v>
      </c>
      <c r="O29" s="107">
        <f>MAX($C22:O22)</f>
        <v>472</v>
      </c>
      <c r="P29" s="107">
        <f>MAX($C22:P22)</f>
        <v>472</v>
      </c>
      <c r="Q29" s="107">
        <f>MAX($C22:Q22)</f>
        <v>472</v>
      </c>
      <c r="R29" s="107">
        <f>MAX($C22:R22)</f>
        <v>472</v>
      </c>
      <c r="S29" s="107">
        <f>MAX($C22:S22)</f>
        <v>472</v>
      </c>
      <c r="T29" s="107">
        <f>MAX($C22:T22)</f>
        <v>472</v>
      </c>
      <c r="U29" s="107">
        <f>MAX($C22:U22)</f>
        <v>472</v>
      </c>
      <c r="V29" s="107">
        <f>MAX($C22:V22)</f>
        <v>472</v>
      </c>
      <c r="W29" s="107">
        <f>MAX($C22:W22)</f>
        <v>472</v>
      </c>
      <c r="X29" s="107">
        <f>MAX($C22:X22)</f>
        <v>472</v>
      </c>
    </row>
    <row r="30" spans="1:25" ht="13.15" x14ac:dyDescent="0.4">
      <c r="A30">
        <v>24</v>
      </c>
      <c r="B30" s="151" t="s">
        <v>80</v>
      </c>
      <c r="C30" s="19">
        <f>MAX(C23)</f>
        <v>419</v>
      </c>
      <c r="D30" s="107">
        <f>MAX($C23:D23)</f>
        <v>567</v>
      </c>
      <c r="E30" s="107">
        <f>MAX($C23:E23)</f>
        <v>600</v>
      </c>
      <c r="F30" s="107">
        <f>MAX($C23:F23)</f>
        <v>622</v>
      </c>
      <c r="G30" s="107">
        <f>MAX($C23:G23)</f>
        <v>622</v>
      </c>
      <c r="H30" s="107">
        <f>MAX($C23:H23)</f>
        <v>622</v>
      </c>
      <c r="I30" s="107">
        <f>MAX($C23:I23)</f>
        <v>622</v>
      </c>
      <c r="J30" s="107">
        <f>MAX($C23:J23)</f>
        <v>622</v>
      </c>
      <c r="K30" s="107">
        <f>MAX($C23:K23)</f>
        <v>622</v>
      </c>
      <c r="L30" s="107">
        <f>MAX($C23:L23)</f>
        <v>622</v>
      </c>
      <c r="M30" s="107">
        <f>MAX($C23:M23)</f>
        <v>622</v>
      </c>
      <c r="N30" s="107">
        <f>MAX($C23:N23)</f>
        <v>622</v>
      </c>
      <c r="O30" s="107">
        <f>MAX($C23:O23)</f>
        <v>622</v>
      </c>
      <c r="P30" s="107">
        <f>MAX($C23:P23)</f>
        <v>622</v>
      </c>
      <c r="Q30" s="107">
        <f>MAX($C23:Q23)</f>
        <v>622</v>
      </c>
      <c r="R30" s="107">
        <f>MAX($C23:R23)</f>
        <v>622</v>
      </c>
      <c r="S30" s="107">
        <f>MAX($C23:S23)</f>
        <v>622</v>
      </c>
      <c r="T30" s="107">
        <f>MAX($C23:T23)</f>
        <v>622</v>
      </c>
      <c r="U30" s="107">
        <f>MAX($C23:U23)</f>
        <v>622</v>
      </c>
      <c r="V30" s="107">
        <f>MAX($C23:V23)</f>
        <v>622</v>
      </c>
      <c r="W30" s="107">
        <f>MAX($C23:W23)</f>
        <v>622</v>
      </c>
      <c r="X30" s="107">
        <f>MAX($C23:X23)</f>
        <v>622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252</v>
      </c>
      <c r="G2" s="203" t="s">
        <v>211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66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53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E9">
        <v>115</v>
      </c>
      <c r="K9">
        <v>111</v>
      </c>
      <c r="L9">
        <v>158</v>
      </c>
      <c r="M9">
        <v>122</v>
      </c>
      <c r="N9">
        <v>123</v>
      </c>
      <c r="O9">
        <v>116</v>
      </c>
      <c r="Q9">
        <v>108</v>
      </c>
      <c r="R9">
        <v>158</v>
      </c>
      <c r="U9">
        <v>112</v>
      </c>
    </row>
    <row r="10" spans="1:24" ht="13.15" x14ac:dyDescent="0.4">
      <c r="A10">
        <v>4</v>
      </c>
      <c r="B10" s="3" t="s">
        <v>15</v>
      </c>
      <c r="E10">
        <v>119</v>
      </c>
      <c r="K10">
        <v>166</v>
      </c>
      <c r="L10">
        <v>140</v>
      </c>
      <c r="M10">
        <v>104</v>
      </c>
      <c r="N10">
        <v>125</v>
      </c>
      <c r="O10">
        <v>108</v>
      </c>
      <c r="Q10">
        <v>107</v>
      </c>
      <c r="R10">
        <v>107</v>
      </c>
      <c r="U10">
        <v>152</v>
      </c>
    </row>
    <row r="11" spans="1:24" ht="13.15" x14ac:dyDescent="0.4">
      <c r="A11">
        <v>5</v>
      </c>
      <c r="B11" s="3" t="s">
        <v>16</v>
      </c>
      <c r="E11">
        <v>129</v>
      </c>
      <c r="K11">
        <v>117</v>
      </c>
      <c r="L11">
        <v>127</v>
      </c>
      <c r="M11">
        <v>105</v>
      </c>
      <c r="N11">
        <v>157</v>
      </c>
      <c r="O11">
        <v>109</v>
      </c>
      <c r="Q11">
        <v>136</v>
      </c>
      <c r="R11">
        <v>139</v>
      </c>
      <c r="U11">
        <v>143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363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394</v>
      </c>
      <c r="L15" s="18">
        <f t="shared" si="2"/>
        <v>425</v>
      </c>
      <c r="M15" s="18">
        <f t="shared" si="2"/>
        <v>331</v>
      </c>
      <c r="N15" s="18">
        <f t="shared" si="2"/>
        <v>405</v>
      </c>
      <c r="O15" s="18">
        <f t="shared" si="2"/>
        <v>333</v>
      </c>
      <c r="P15" s="18">
        <f t="shared" si="2"/>
        <v>0</v>
      </c>
      <c r="Q15" s="18">
        <f t="shared" si="2"/>
        <v>351</v>
      </c>
      <c r="R15" s="18">
        <f t="shared" si="2"/>
        <v>404</v>
      </c>
      <c r="S15" s="18">
        <f t="shared" si="2"/>
        <v>0</v>
      </c>
      <c r="T15" s="18">
        <f t="shared" si="2"/>
        <v>0</v>
      </c>
      <c r="U15" s="18">
        <f t="shared" si="2"/>
        <v>407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363</v>
      </c>
      <c r="F16" s="19">
        <f t="shared" si="3"/>
        <v>363</v>
      </c>
      <c r="G16" s="19">
        <f t="shared" si="3"/>
        <v>363</v>
      </c>
      <c r="H16" s="19">
        <f t="shared" si="3"/>
        <v>363</v>
      </c>
      <c r="I16" s="19">
        <f t="shared" si="3"/>
        <v>363</v>
      </c>
      <c r="J16" s="19">
        <f t="shared" si="3"/>
        <v>363</v>
      </c>
      <c r="K16" s="19">
        <f t="shared" si="3"/>
        <v>757</v>
      </c>
      <c r="L16" s="19">
        <f t="shared" si="3"/>
        <v>1182</v>
      </c>
      <c r="M16" s="19">
        <f t="shared" si="3"/>
        <v>1513</v>
      </c>
      <c r="N16" s="19">
        <f t="shared" si="3"/>
        <v>1918</v>
      </c>
      <c r="O16" s="19">
        <f t="shared" si="3"/>
        <v>2251</v>
      </c>
      <c r="P16" s="19">
        <f t="shared" si="3"/>
        <v>2251</v>
      </c>
      <c r="Q16" s="19">
        <f t="shared" si="3"/>
        <v>2602</v>
      </c>
      <c r="R16" s="19">
        <f t="shared" si="3"/>
        <v>3006</v>
      </c>
      <c r="S16" s="19">
        <f t="shared" si="3"/>
        <v>3006</v>
      </c>
      <c r="T16" s="19">
        <f t="shared" si="3"/>
        <v>3006</v>
      </c>
      <c r="U16" s="19">
        <f t="shared" si="3"/>
        <v>3413</v>
      </c>
      <c r="V16" s="19">
        <f t="shared" si="3"/>
        <v>3413</v>
      </c>
      <c r="W16" s="19">
        <f t="shared" si="3"/>
        <v>3413</v>
      </c>
      <c r="X16" s="19">
        <f t="shared" si="3"/>
        <v>3413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>
        <f t="shared" si="4"/>
        <v>121</v>
      </c>
      <c r="F17" s="20">
        <f t="shared" si="4"/>
        <v>121</v>
      </c>
      <c r="G17" s="20">
        <f t="shared" si="4"/>
        <v>121</v>
      </c>
      <c r="H17" s="20">
        <f t="shared" si="4"/>
        <v>121</v>
      </c>
      <c r="I17" s="20">
        <f t="shared" si="4"/>
        <v>121</v>
      </c>
      <c r="J17" s="20">
        <f t="shared" si="4"/>
        <v>121</v>
      </c>
      <c r="K17" s="20">
        <f t="shared" si="4"/>
        <v>126.16666666666667</v>
      </c>
      <c r="L17" s="20">
        <f t="shared" si="4"/>
        <v>131.33333333333334</v>
      </c>
      <c r="M17" s="20">
        <f t="shared" si="4"/>
        <v>126.08333333333333</v>
      </c>
      <c r="N17" s="20">
        <f t="shared" si="4"/>
        <v>127.86666666666666</v>
      </c>
      <c r="O17" s="20">
        <f t="shared" si="4"/>
        <v>125.05555555555556</v>
      </c>
      <c r="P17" s="20">
        <f t="shared" si="4"/>
        <v>125.05555555555556</v>
      </c>
      <c r="Q17" s="20">
        <f t="shared" si="4"/>
        <v>123.9047619047619</v>
      </c>
      <c r="R17" s="20">
        <f t="shared" si="4"/>
        <v>125.25</v>
      </c>
      <c r="S17" s="20">
        <f t="shared" si="4"/>
        <v>125.25</v>
      </c>
      <c r="T17" s="20">
        <f t="shared" si="4"/>
        <v>125.25</v>
      </c>
      <c r="U17" s="20">
        <f t="shared" si="4"/>
        <v>126.4074074074074</v>
      </c>
      <c r="V17" s="20">
        <f t="shared" si="4"/>
        <v>126.4074074074074</v>
      </c>
      <c r="W17" s="20">
        <f t="shared" si="4"/>
        <v>126.4074074074074</v>
      </c>
      <c r="X17" s="20">
        <f t="shared" si="4"/>
        <v>126.4074074074074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>
        <f t="shared" si="5"/>
        <v>71</v>
      </c>
      <c r="F18" s="19">
        <f t="shared" si="5"/>
        <v>71</v>
      </c>
      <c r="G18" s="19">
        <f t="shared" si="5"/>
        <v>71</v>
      </c>
      <c r="H18" s="19">
        <f t="shared" si="5"/>
        <v>71</v>
      </c>
      <c r="I18" s="19">
        <f t="shared" si="5"/>
        <v>71</v>
      </c>
      <c r="J18" s="19">
        <f t="shared" si="5"/>
        <v>71</v>
      </c>
      <c r="K18" s="19">
        <f t="shared" si="5"/>
        <v>66</v>
      </c>
      <c r="L18" s="19">
        <f t="shared" si="5"/>
        <v>62</v>
      </c>
      <c r="M18" s="19">
        <f t="shared" si="5"/>
        <v>67</v>
      </c>
      <c r="N18" s="19">
        <f t="shared" si="5"/>
        <v>65</v>
      </c>
      <c r="O18" s="19">
        <f t="shared" si="5"/>
        <v>67</v>
      </c>
      <c r="P18" s="19">
        <f t="shared" si="5"/>
        <v>67</v>
      </c>
      <c r="Q18" s="19">
        <f t="shared" si="5"/>
        <v>68</v>
      </c>
      <c r="R18" s="19">
        <f t="shared" si="5"/>
        <v>67</v>
      </c>
      <c r="S18" s="19">
        <f t="shared" si="5"/>
        <v>67</v>
      </c>
      <c r="T18" s="19">
        <f t="shared" si="5"/>
        <v>67</v>
      </c>
      <c r="U18" s="19">
        <f t="shared" si="5"/>
        <v>66</v>
      </c>
      <c r="V18" s="19">
        <f t="shared" si="5"/>
        <v>66</v>
      </c>
      <c r="W18" s="19">
        <f t="shared" si="5"/>
        <v>66</v>
      </c>
      <c r="X18" s="19">
        <f t="shared" si="5"/>
        <v>66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3</v>
      </c>
      <c r="F19" s="19">
        <f t="shared" si="6"/>
        <v>3</v>
      </c>
      <c r="G19" s="19">
        <f t="shared" si="6"/>
        <v>3</v>
      </c>
      <c r="H19" s="19">
        <f t="shared" si="6"/>
        <v>3</v>
      </c>
      <c r="I19" s="19">
        <f t="shared" si="6"/>
        <v>3</v>
      </c>
      <c r="J19" s="19">
        <f t="shared" si="6"/>
        <v>3</v>
      </c>
      <c r="K19" s="19">
        <f t="shared" si="6"/>
        <v>6</v>
      </c>
      <c r="L19" s="19">
        <f t="shared" si="6"/>
        <v>9</v>
      </c>
      <c r="M19" s="19">
        <f t="shared" si="6"/>
        <v>12</v>
      </c>
      <c r="N19" s="19">
        <f t="shared" si="6"/>
        <v>15</v>
      </c>
      <c r="O19" s="19">
        <f t="shared" si="6"/>
        <v>18</v>
      </c>
      <c r="P19" s="19">
        <f t="shared" si="6"/>
        <v>18</v>
      </c>
      <c r="Q19" s="19">
        <f t="shared" si="6"/>
        <v>21</v>
      </c>
      <c r="R19" s="19">
        <f t="shared" si="6"/>
        <v>24</v>
      </c>
      <c r="S19" s="19">
        <f t="shared" si="6"/>
        <v>24</v>
      </c>
      <c r="T19" s="19">
        <f t="shared" si="6"/>
        <v>24</v>
      </c>
      <c r="U19" s="19">
        <f t="shared" si="6"/>
        <v>27</v>
      </c>
      <c r="V19" s="19">
        <f t="shared" si="6"/>
        <v>27</v>
      </c>
      <c r="W19" s="19">
        <f t="shared" si="6"/>
        <v>27</v>
      </c>
      <c r="X19" s="19">
        <f t="shared" si="6"/>
        <v>27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129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166</v>
      </c>
      <c r="L20" s="19">
        <f t="shared" si="7"/>
        <v>158</v>
      </c>
      <c r="M20" s="19">
        <f t="shared" si="7"/>
        <v>122</v>
      </c>
      <c r="N20" s="19">
        <f t="shared" si="7"/>
        <v>157</v>
      </c>
      <c r="O20" s="19">
        <f t="shared" si="7"/>
        <v>116</v>
      </c>
      <c r="P20" s="19">
        <f t="shared" si="7"/>
        <v>0</v>
      </c>
      <c r="Q20" s="19">
        <f t="shared" si="7"/>
        <v>136</v>
      </c>
      <c r="R20" s="19">
        <f t="shared" si="7"/>
        <v>158</v>
      </c>
      <c r="S20" s="19">
        <f t="shared" si="7"/>
        <v>0</v>
      </c>
      <c r="T20" s="19">
        <f t="shared" si="7"/>
        <v>0</v>
      </c>
      <c r="U20" s="19">
        <f t="shared" si="7"/>
        <v>152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K21" si="8">MAX(C$9:C$14)+$I$5</f>
        <v>53</v>
      </c>
      <c r="D21" s="19">
        <f t="shared" si="8"/>
        <v>53</v>
      </c>
      <c r="E21" s="19">
        <f t="shared" si="8"/>
        <v>182</v>
      </c>
      <c r="F21" s="19">
        <f t="shared" si="8"/>
        <v>53</v>
      </c>
      <c r="G21" s="19">
        <f t="shared" si="8"/>
        <v>53</v>
      </c>
      <c r="H21" s="19">
        <f t="shared" si="8"/>
        <v>53</v>
      </c>
      <c r="I21" s="19">
        <f t="shared" si="8"/>
        <v>53</v>
      </c>
      <c r="J21" s="19">
        <f t="shared" si="8"/>
        <v>53</v>
      </c>
      <c r="K21" s="19">
        <f t="shared" si="8"/>
        <v>219</v>
      </c>
      <c r="L21" s="19">
        <f t="shared" ref="L21:X21" si="9">MAX(L$9:L$14)+K18</f>
        <v>224</v>
      </c>
      <c r="M21" s="19">
        <f t="shared" si="9"/>
        <v>184</v>
      </c>
      <c r="N21" s="19">
        <f t="shared" si="9"/>
        <v>224</v>
      </c>
      <c r="O21" s="19">
        <f t="shared" si="9"/>
        <v>181</v>
      </c>
      <c r="P21" s="19">
        <f t="shared" si="9"/>
        <v>67</v>
      </c>
      <c r="Q21" s="19">
        <f t="shared" si="9"/>
        <v>203</v>
      </c>
      <c r="R21" s="19">
        <f t="shared" si="9"/>
        <v>226</v>
      </c>
      <c r="S21" s="19">
        <f t="shared" si="9"/>
        <v>67</v>
      </c>
      <c r="T21" s="19">
        <f t="shared" si="9"/>
        <v>67</v>
      </c>
      <c r="U21" s="19">
        <f t="shared" si="9"/>
        <v>219</v>
      </c>
      <c r="V21" s="19">
        <f t="shared" si="9"/>
        <v>66</v>
      </c>
      <c r="W21" s="19">
        <f t="shared" si="9"/>
        <v>66</v>
      </c>
      <c r="X21" s="19">
        <f t="shared" si="9"/>
        <v>66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363</v>
      </c>
      <c r="F22" s="19">
        <f t="shared" si="10"/>
        <v>0</v>
      </c>
      <c r="G22" s="19">
        <f t="shared" si="10"/>
        <v>0</v>
      </c>
      <c r="H22" s="19">
        <f t="shared" si="10"/>
        <v>0</v>
      </c>
      <c r="I22" s="19">
        <f t="shared" si="10"/>
        <v>0</v>
      </c>
      <c r="J22" s="19">
        <f t="shared" si="10"/>
        <v>0</v>
      </c>
      <c r="K22" s="19">
        <f t="shared" si="10"/>
        <v>394</v>
      </c>
      <c r="L22" s="19">
        <f t="shared" si="10"/>
        <v>425</v>
      </c>
      <c r="M22" s="19">
        <f t="shared" si="10"/>
        <v>331</v>
      </c>
      <c r="N22" s="19">
        <f t="shared" si="10"/>
        <v>405</v>
      </c>
      <c r="O22" s="19">
        <f t="shared" si="10"/>
        <v>333</v>
      </c>
      <c r="P22" s="19">
        <f t="shared" si="10"/>
        <v>0</v>
      </c>
      <c r="Q22" s="19">
        <f t="shared" si="10"/>
        <v>351</v>
      </c>
      <c r="R22" s="19">
        <f t="shared" si="10"/>
        <v>404</v>
      </c>
      <c r="S22" s="19">
        <f t="shared" si="10"/>
        <v>0</v>
      </c>
      <c r="T22" s="19">
        <f t="shared" si="10"/>
        <v>0</v>
      </c>
      <c r="U22" s="19">
        <f t="shared" si="10"/>
        <v>407</v>
      </c>
      <c r="V22" s="19">
        <f t="shared" si="10"/>
        <v>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159</v>
      </c>
      <c r="D23" s="19">
        <f t="shared" ref="D23:K23" si="11">MAX(SUM(D$9:D$11),SUM(D$12:D$14))+$I$5*3</f>
        <v>159</v>
      </c>
      <c r="E23" s="19">
        <f t="shared" si="11"/>
        <v>522</v>
      </c>
      <c r="F23" s="19">
        <f t="shared" si="11"/>
        <v>159</v>
      </c>
      <c r="G23" s="19">
        <f t="shared" si="11"/>
        <v>159</v>
      </c>
      <c r="H23" s="19">
        <f t="shared" si="11"/>
        <v>159</v>
      </c>
      <c r="I23" s="19">
        <f t="shared" si="11"/>
        <v>159</v>
      </c>
      <c r="J23" s="19">
        <f t="shared" si="11"/>
        <v>159</v>
      </c>
      <c r="K23" s="19">
        <f t="shared" si="11"/>
        <v>553</v>
      </c>
      <c r="L23" s="19">
        <f t="shared" ref="L23:X23" si="12">MAX(SUM(L$9:L$11),SUM(L$12:L$14))+K18*3</f>
        <v>623</v>
      </c>
      <c r="M23" s="19">
        <f t="shared" si="12"/>
        <v>517</v>
      </c>
      <c r="N23" s="19">
        <f t="shared" si="12"/>
        <v>606</v>
      </c>
      <c r="O23" s="19">
        <f t="shared" si="12"/>
        <v>528</v>
      </c>
      <c r="P23" s="19">
        <f t="shared" si="12"/>
        <v>201</v>
      </c>
      <c r="Q23" s="19">
        <f t="shared" si="12"/>
        <v>552</v>
      </c>
      <c r="R23" s="19">
        <f t="shared" si="12"/>
        <v>608</v>
      </c>
      <c r="S23" s="19">
        <f t="shared" si="12"/>
        <v>201</v>
      </c>
      <c r="T23" s="19">
        <f t="shared" si="12"/>
        <v>201</v>
      </c>
      <c r="U23" s="19">
        <f t="shared" si="12"/>
        <v>608</v>
      </c>
      <c r="V23" s="19">
        <f t="shared" si="12"/>
        <v>198</v>
      </c>
      <c r="W23" s="19">
        <f t="shared" si="12"/>
        <v>198</v>
      </c>
      <c r="X23" s="19">
        <f t="shared" si="12"/>
        <v>198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129</v>
      </c>
      <c r="F27" s="107">
        <f>MAX($C20:F20)</f>
        <v>129</v>
      </c>
      <c r="G27" s="107">
        <f>MAX($C20:G20)</f>
        <v>129</v>
      </c>
      <c r="H27" s="107">
        <f>MAX($C20:H20)</f>
        <v>129</v>
      </c>
      <c r="I27" s="107">
        <f>MAX($C20:I20)</f>
        <v>129</v>
      </c>
      <c r="J27" s="107">
        <f>MAX($C20:J20)</f>
        <v>129</v>
      </c>
      <c r="K27" s="107">
        <f>MAX($C20:K20)</f>
        <v>166</v>
      </c>
      <c r="L27" s="107">
        <f>MAX($C20:L20)</f>
        <v>166</v>
      </c>
      <c r="M27" s="107">
        <f>MAX($C20:M20)</f>
        <v>166</v>
      </c>
      <c r="N27" s="107">
        <f>MAX($C20:N20)</f>
        <v>166</v>
      </c>
      <c r="O27" s="107">
        <f>MAX($C20:O20)</f>
        <v>166</v>
      </c>
      <c r="P27" s="107">
        <f>MAX($C20:P20)</f>
        <v>166</v>
      </c>
      <c r="Q27" s="107">
        <f>MAX($C20:Q20)</f>
        <v>166</v>
      </c>
      <c r="R27" s="107">
        <f>MAX($C20:R20)</f>
        <v>166</v>
      </c>
      <c r="S27" s="107">
        <f>MAX($C20:S20)</f>
        <v>166</v>
      </c>
      <c r="T27" s="107">
        <f>MAX($C20:T20)</f>
        <v>166</v>
      </c>
      <c r="U27" s="107">
        <f>MAX($C20:U20)</f>
        <v>166</v>
      </c>
      <c r="V27" s="107">
        <f>MAX($C20:V20)</f>
        <v>166</v>
      </c>
      <c r="W27" s="107">
        <f>MAX($C20:W20)</f>
        <v>166</v>
      </c>
      <c r="X27" s="107">
        <f>MAX($C20:X20)</f>
        <v>166</v>
      </c>
    </row>
    <row r="28" spans="1:25" ht="13.15" x14ac:dyDescent="0.4">
      <c r="A28">
        <v>22</v>
      </c>
      <c r="B28" s="151" t="s">
        <v>78</v>
      </c>
      <c r="C28" s="19">
        <f>MAX(C21)</f>
        <v>53</v>
      </c>
      <c r="D28" s="107">
        <f>MAX($C21:D21)</f>
        <v>53</v>
      </c>
      <c r="E28" s="107">
        <f>MAX($C21:E21)</f>
        <v>182</v>
      </c>
      <c r="F28" s="107">
        <f>MAX($C21:F21)</f>
        <v>182</v>
      </c>
      <c r="G28" s="107">
        <f>MAX($C21:G21)</f>
        <v>182</v>
      </c>
      <c r="H28" s="107">
        <f>MAX($C21:H21)</f>
        <v>182</v>
      </c>
      <c r="I28" s="107">
        <f>MAX($C21:I21)</f>
        <v>182</v>
      </c>
      <c r="J28" s="107">
        <f>MAX($C21:J21)</f>
        <v>182</v>
      </c>
      <c r="K28" s="107">
        <f>MAX($C21:K21)</f>
        <v>219</v>
      </c>
      <c r="L28" s="107">
        <f>MAX($C21:L21)</f>
        <v>224</v>
      </c>
      <c r="M28" s="107">
        <f>MAX($C21:M21)</f>
        <v>224</v>
      </c>
      <c r="N28" s="107">
        <f>MAX($C21:N21)</f>
        <v>224</v>
      </c>
      <c r="O28" s="107">
        <f>MAX($C21:O21)</f>
        <v>224</v>
      </c>
      <c r="P28" s="107">
        <f>MAX($C21:P21)</f>
        <v>224</v>
      </c>
      <c r="Q28" s="107">
        <f>MAX($C21:Q21)</f>
        <v>224</v>
      </c>
      <c r="R28" s="107">
        <f>MAX($C21:R21)</f>
        <v>226</v>
      </c>
      <c r="S28" s="107">
        <f>MAX($C21:S21)</f>
        <v>226</v>
      </c>
      <c r="T28" s="107">
        <f>MAX($C21:T21)</f>
        <v>226</v>
      </c>
      <c r="U28" s="107">
        <f>MAX($C21:U21)</f>
        <v>226</v>
      </c>
      <c r="V28" s="107">
        <f>MAX($C21:V21)</f>
        <v>226</v>
      </c>
      <c r="W28" s="107">
        <f>MAX($C21:W21)</f>
        <v>226</v>
      </c>
      <c r="X28" s="107">
        <f>MAX($C21:X21)</f>
        <v>226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363</v>
      </c>
      <c r="F29" s="107">
        <f>MAX($C22:F22)</f>
        <v>363</v>
      </c>
      <c r="G29" s="107">
        <f>MAX($C22:G22)</f>
        <v>363</v>
      </c>
      <c r="H29" s="107">
        <f>MAX($C22:H22)</f>
        <v>363</v>
      </c>
      <c r="I29" s="107">
        <f>MAX($C22:I22)</f>
        <v>363</v>
      </c>
      <c r="J29" s="107">
        <f>MAX($C22:J22)</f>
        <v>363</v>
      </c>
      <c r="K29" s="107">
        <f>MAX($C22:K22)</f>
        <v>394</v>
      </c>
      <c r="L29" s="107">
        <f>MAX($C22:L22)</f>
        <v>425</v>
      </c>
      <c r="M29" s="107">
        <f>MAX($C22:M22)</f>
        <v>425</v>
      </c>
      <c r="N29" s="107">
        <f>MAX($C22:N22)</f>
        <v>425</v>
      </c>
      <c r="O29" s="107">
        <f>MAX($C22:O22)</f>
        <v>425</v>
      </c>
      <c r="P29" s="107">
        <f>MAX($C22:P22)</f>
        <v>425</v>
      </c>
      <c r="Q29" s="107">
        <f>MAX($C22:Q22)</f>
        <v>425</v>
      </c>
      <c r="R29" s="107">
        <f>MAX($C22:R22)</f>
        <v>425</v>
      </c>
      <c r="S29" s="107">
        <f>MAX($C22:S22)</f>
        <v>425</v>
      </c>
      <c r="T29" s="107">
        <f>MAX($C22:T22)</f>
        <v>425</v>
      </c>
      <c r="U29" s="107">
        <f>MAX($C22:U22)</f>
        <v>425</v>
      </c>
      <c r="V29" s="107">
        <f>MAX($C22:V22)</f>
        <v>425</v>
      </c>
      <c r="W29" s="107">
        <f>MAX($C22:W22)</f>
        <v>425</v>
      </c>
      <c r="X29" s="107">
        <f>MAX($C22:X22)</f>
        <v>425</v>
      </c>
    </row>
    <row r="30" spans="1:25" ht="13.15" x14ac:dyDescent="0.4">
      <c r="A30">
        <v>24</v>
      </c>
      <c r="B30" s="151" t="s">
        <v>80</v>
      </c>
      <c r="C30" s="19">
        <f>MAX(C23)</f>
        <v>159</v>
      </c>
      <c r="D30" s="107">
        <f>MAX($C23:D23)</f>
        <v>159</v>
      </c>
      <c r="E30" s="107">
        <f>MAX($C23:E23)</f>
        <v>522</v>
      </c>
      <c r="F30" s="107">
        <f>MAX($C23:F23)</f>
        <v>522</v>
      </c>
      <c r="G30" s="107">
        <f>MAX($C23:G23)</f>
        <v>522</v>
      </c>
      <c r="H30" s="107">
        <f>MAX($C23:H23)</f>
        <v>522</v>
      </c>
      <c r="I30" s="107">
        <f>MAX($C23:I23)</f>
        <v>522</v>
      </c>
      <c r="J30" s="107">
        <f>MAX($C23:J23)</f>
        <v>522</v>
      </c>
      <c r="K30" s="107">
        <f>MAX($C23:K23)</f>
        <v>553</v>
      </c>
      <c r="L30" s="107">
        <f>MAX($C23:L23)</f>
        <v>623</v>
      </c>
      <c r="M30" s="107">
        <f>MAX($C23:M23)</f>
        <v>623</v>
      </c>
      <c r="N30" s="107">
        <f>MAX($C23:N23)</f>
        <v>623</v>
      </c>
      <c r="O30" s="107">
        <f>MAX($C23:O23)</f>
        <v>623</v>
      </c>
      <c r="P30" s="107">
        <f>MAX($C23:P23)</f>
        <v>623</v>
      </c>
      <c r="Q30" s="107">
        <f>MAX($C23:Q23)</f>
        <v>623</v>
      </c>
      <c r="R30" s="107">
        <f>MAX($C23:R23)</f>
        <v>623</v>
      </c>
      <c r="S30" s="107">
        <f>MAX($C23:S23)</f>
        <v>623</v>
      </c>
      <c r="T30" s="107">
        <f>MAX($C23:T23)</f>
        <v>623</v>
      </c>
      <c r="U30" s="107">
        <f>MAX($C23:U23)</f>
        <v>623</v>
      </c>
      <c r="V30" s="107">
        <f>MAX($C23:V23)</f>
        <v>623</v>
      </c>
      <c r="W30" s="107">
        <f>MAX($C23:W23)</f>
        <v>623</v>
      </c>
      <c r="X30" s="107">
        <f>MAX($C23:X23)</f>
        <v>623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153</v>
      </c>
      <c r="G2" s="203" t="s">
        <v>207</v>
      </c>
      <c r="H2" s="224">
        <v>3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79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77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122</v>
      </c>
      <c r="E9">
        <v>96</v>
      </c>
      <c r="L9">
        <v>94</v>
      </c>
      <c r="M9">
        <v>114</v>
      </c>
    </row>
    <row r="10" spans="1:24" ht="13.15" x14ac:dyDescent="0.4">
      <c r="A10">
        <v>4</v>
      </c>
      <c r="B10" s="3" t="s">
        <v>15</v>
      </c>
      <c r="D10">
        <v>112</v>
      </c>
      <c r="E10">
        <v>130</v>
      </c>
      <c r="L10">
        <v>126</v>
      </c>
    </row>
    <row r="11" spans="1:24" ht="13.15" x14ac:dyDescent="0.4">
      <c r="A11">
        <v>5</v>
      </c>
      <c r="B11" s="3" t="s">
        <v>16</v>
      </c>
      <c r="D11">
        <v>135</v>
      </c>
      <c r="E11">
        <v>85</v>
      </c>
      <c r="L11">
        <v>110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369</v>
      </c>
      <c r="E15" s="18">
        <f t="shared" si="2"/>
        <v>311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330</v>
      </c>
      <c r="M15" s="18">
        <f t="shared" si="2"/>
        <v>114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369</v>
      </c>
      <c r="E16" s="19">
        <f t="shared" si="3"/>
        <v>680</v>
      </c>
      <c r="F16" s="19">
        <f t="shared" si="3"/>
        <v>680</v>
      </c>
      <c r="G16" s="19">
        <f t="shared" si="3"/>
        <v>680</v>
      </c>
      <c r="H16" s="19">
        <f t="shared" si="3"/>
        <v>680</v>
      </c>
      <c r="I16" s="19">
        <f t="shared" si="3"/>
        <v>680</v>
      </c>
      <c r="J16" s="19">
        <f t="shared" si="3"/>
        <v>680</v>
      </c>
      <c r="K16" s="19">
        <f t="shared" si="3"/>
        <v>680</v>
      </c>
      <c r="L16" s="19">
        <f t="shared" si="3"/>
        <v>1010</v>
      </c>
      <c r="M16" s="19">
        <f t="shared" si="3"/>
        <v>1124</v>
      </c>
      <c r="N16" s="19">
        <f t="shared" si="3"/>
        <v>1124</v>
      </c>
      <c r="O16" s="19">
        <f t="shared" si="3"/>
        <v>1124</v>
      </c>
      <c r="P16" s="19">
        <f t="shared" si="3"/>
        <v>1124</v>
      </c>
      <c r="Q16" s="19">
        <f t="shared" si="3"/>
        <v>1124</v>
      </c>
      <c r="R16" s="19">
        <f t="shared" si="3"/>
        <v>1124</v>
      </c>
      <c r="S16" s="19">
        <f t="shared" si="3"/>
        <v>1124</v>
      </c>
      <c r="T16" s="19">
        <f t="shared" si="3"/>
        <v>1124</v>
      </c>
      <c r="U16" s="19">
        <f t="shared" si="3"/>
        <v>1124</v>
      </c>
      <c r="V16" s="19">
        <f t="shared" si="3"/>
        <v>1124</v>
      </c>
      <c r="W16" s="19">
        <f t="shared" si="3"/>
        <v>1124</v>
      </c>
      <c r="X16" s="19">
        <f t="shared" si="3"/>
        <v>1124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123</v>
      </c>
      <c r="E17" s="20">
        <f t="shared" si="4"/>
        <v>113.33333333333333</v>
      </c>
      <c r="F17" s="20">
        <f t="shared" si="4"/>
        <v>113.33333333333333</v>
      </c>
      <c r="G17" s="20">
        <f t="shared" si="4"/>
        <v>113.33333333333333</v>
      </c>
      <c r="H17" s="20">
        <f t="shared" si="4"/>
        <v>113.33333333333333</v>
      </c>
      <c r="I17" s="20">
        <f t="shared" si="4"/>
        <v>113.33333333333333</v>
      </c>
      <c r="J17" s="20">
        <f t="shared" si="4"/>
        <v>113.33333333333333</v>
      </c>
      <c r="K17" s="20">
        <f t="shared" si="4"/>
        <v>113.33333333333333</v>
      </c>
      <c r="L17" s="20">
        <f t="shared" si="4"/>
        <v>112.22222222222223</v>
      </c>
      <c r="M17" s="20">
        <f t="shared" si="4"/>
        <v>112.4</v>
      </c>
      <c r="N17" s="20">
        <f t="shared" si="4"/>
        <v>112.4</v>
      </c>
      <c r="O17" s="20">
        <f t="shared" si="4"/>
        <v>112.4</v>
      </c>
      <c r="P17" s="20">
        <f t="shared" si="4"/>
        <v>112.4</v>
      </c>
      <c r="Q17" s="20">
        <f t="shared" si="4"/>
        <v>112.4</v>
      </c>
      <c r="R17" s="20">
        <f t="shared" si="4"/>
        <v>112.4</v>
      </c>
      <c r="S17" s="20">
        <f t="shared" si="4"/>
        <v>112.4</v>
      </c>
      <c r="T17" s="20">
        <f t="shared" si="4"/>
        <v>112.4</v>
      </c>
      <c r="U17" s="20">
        <f t="shared" si="4"/>
        <v>112.4</v>
      </c>
      <c r="V17" s="20">
        <f t="shared" si="4"/>
        <v>112.4</v>
      </c>
      <c r="W17" s="20">
        <f t="shared" si="4"/>
        <v>112.4</v>
      </c>
      <c r="X17" s="20">
        <f t="shared" si="4"/>
        <v>112.4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69</v>
      </c>
      <c r="E18" s="19">
        <f t="shared" si="5"/>
        <v>78</v>
      </c>
      <c r="F18" s="19">
        <f t="shared" si="5"/>
        <v>78</v>
      </c>
      <c r="G18" s="19">
        <f t="shared" si="5"/>
        <v>78</v>
      </c>
      <c r="H18" s="19">
        <f t="shared" si="5"/>
        <v>78</v>
      </c>
      <c r="I18" s="19">
        <f t="shared" si="5"/>
        <v>78</v>
      </c>
      <c r="J18" s="19">
        <f t="shared" si="5"/>
        <v>78</v>
      </c>
      <c r="K18" s="19">
        <f t="shared" si="5"/>
        <v>78</v>
      </c>
      <c r="L18" s="19">
        <f t="shared" si="5"/>
        <v>79</v>
      </c>
      <c r="M18" s="19">
        <f t="shared" si="5"/>
        <v>79</v>
      </c>
      <c r="N18" s="19">
        <f t="shared" si="5"/>
        <v>79</v>
      </c>
      <c r="O18" s="19">
        <f t="shared" si="5"/>
        <v>79</v>
      </c>
      <c r="P18" s="19">
        <f t="shared" si="5"/>
        <v>79</v>
      </c>
      <c r="Q18" s="19">
        <f t="shared" si="5"/>
        <v>79</v>
      </c>
      <c r="R18" s="19">
        <f t="shared" si="5"/>
        <v>79</v>
      </c>
      <c r="S18" s="19">
        <f t="shared" si="5"/>
        <v>79</v>
      </c>
      <c r="T18" s="19">
        <f t="shared" si="5"/>
        <v>79</v>
      </c>
      <c r="U18" s="19">
        <f t="shared" si="5"/>
        <v>79</v>
      </c>
      <c r="V18" s="19">
        <f t="shared" si="5"/>
        <v>79</v>
      </c>
      <c r="W18" s="19">
        <f t="shared" si="5"/>
        <v>79</v>
      </c>
      <c r="X18" s="19">
        <f t="shared" si="5"/>
        <v>79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6</v>
      </c>
      <c r="G19" s="19">
        <f t="shared" si="6"/>
        <v>6</v>
      </c>
      <c r="H19" s="19">
        <f t="shared" si="6"/>
        <v>6</v>
      </c>
      <c r="I19" s="19">
        <f t="shared" si="6"/>
        <v>6</v>
      </c>
      <c r="J19" s="19">
        <f t="shared" si="6"/>
        <v>6</v>
      </c>
      <c r="K19" s="19">
        <f t="shared" si="6"/>
        <v>6</v>
      </c>
      <c r="L19" s="19">
        <f t="shared" si="6"/>
        <v>9</v>
      </c>
      <c r="M19" s="19">
        <f t="shared" si="6"/>
        <v>10</v>
      </c>
      <c r="N19" s="19">
        <f t="shared" si="6"/>
        <v>10</v>
      </c>
      <c r="O19" s="19">
        <f t="shared" si="6"/>
        <v>10</v>
      </c>
      <c r="P19" s="19">
        <f t="shared" si="6"/>
        <v>10</v>
      </c>
      <c r="Q19" s="19">
        <f t="shared" si="6"/>
        <v>10</v>
      </c>
      <c r="R19" s="19">
        <f t="shared" si="6"/>
        <v>10</v>
      </c>
      <c r="S19" s="19">
        <f t="shared" si="6"/>
        <v>10</v>
      </c>
      <c r="T19" s="19">
        <f t="shared" si="6"/>
        <v>10</v>
      </c>
      <c r="U19" s="19">
        <f t="shared" si="6"/>
        <v>10</v>
      </c>
      <c r="V19" s="19">
        <f t="shared" si="6"/>
        <v>10</v>
      </c>
      <c r="W19" s="19">
        <f t="shared" si="6"/>
        <v>10</v>
      </c>
      <c r="X19" s="19">
        <f t="shared" si="6"/>
        <v>10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135</v>
      </c>
      <c r="E20" s="19">
        <f t="shared" si="7"/>
        <v>130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126</v>
      </c>
      <c r="M20" s="19">
        <f t="shared" si="7"/>
        <v>114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77</v>
      </c>
      <c r="D21" s="19">
        <f>MAX(D$9:D$14)+$I$5</f>
        <v>212</v>
      </c>
      <c r="E21" s="19">
        <f>MAX(E$9:E$14)+$I$5</f>
        <v>207</v>
      </c>
      <c r="F21" s="19">
        <f t="shared" ref="F21:X21" si="8">MAX(F$9:F$14)+E18</f>
        <v>78</v>
      </c>
      <c r="G21" s="19">
        <f t="shared" si="8"/>
        <v>78</v>
      </c>
      <c r="H21" s="19">
        <f t="shared" si="8"/>
        <v>78</v>
      </c>
      <c r="I21" s="19">
        <f t="shared" si="8"/>
        <v>78</v>
      </c>
      <c r="J21" s="19">
        <f t="shared" si="8"/>
        <v>78</v>
      </c>
      <c r="K21" s="19">
        <f t="shared" si="8"/>
        <v>78</v>
      </c>
      <c r="L21" s="19">
        <f t="shared" si="8"/>
        <v>204</v>
      </c>
      <c r="M21" s="19">
        <f t="shared" si="8"/>
        <v>193</v>
      </c>
      <c r="N21" s="19">
        <f t="shared" si="8"/>
        <v>79</v>
      </c>
      <c r="O21" s="19">
        <f t="shared" si="8"/>
        <v>79</v>
      </c>
      <c r="P21" s="19">
        <f t="shared" si="8"/>
        <v>79</v>
      </c>
      <c r="Q21" s="19">
        <f t="shared" si="8"/>
        <v>79</v>
      </c>
      <c r="R21" s="19">
        <f t="shared" si="8"/>
        <v>79</v>
      </c>
      <c r="S21" s="19">
        <f t="shared" si="8"/>
        <v>79</v>
      </c>
      <c r="T21" s="19">
        <f t="shared" si="8"/>
        <v>79</v>
      </c>
      <c r="U21" s="19">
        <f t="shared" si="8"/>
        <v>79</v>
      </c>
      <c r="V21" s="19">
        <f t="shared" si="8"/>
        <v>79</v>
      </c>
      <c r="W21" s="19">
        <f t="shared" si="8"/>
        <v>79</v>
      </c>
      <c r="X21" s="19">
        <f t="shared" si="8"/>
        <v>79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369</v>
      </c>
      <c r="E22" s="19">
        <f t="shared" si="9"/>
        <v>311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330</v>
      </c>
      <c r="M22" s="19">
        <f t="shared" si="9"/>
        <v>114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231</v>
      </c>
      <c r="D23" s="19">
        <f>MAX(SUM(D$9:D$11),SUM(D$12:D$14))+$I$5*3</f>
        <v>600</v>
      </c>
      <c r="E23" s="19">
        <f>MAX(SUM(E$9:E$11),SUM(E$12:E$14))+$I$5*3</f>
        <v>542</v>
      </c>
      <c r="F23" s="19">
        <f t="shared" ref="F23:X23" si="10">MAX(SUM(F$9:F$11),SUM(F$12:F$14))+E18*3</f>
        <v>234</v>
      </c>
      <c r="G23" s="19">
        <f t="shared" si="10"/>
        <v>234</v>
      </c>
      <c r="H23" s="19">
        <f t="shared" si="10"/>
        <v>234</v>
      </c>
      <c r="I23" s="19">
        <f t="shared" si="10"/>
        <v>234</v>
      </c>
      <c r="J23" s="19">
        <f t="shared" si="10"/>
        <v>234</v>
      </c>
      <c r="K23" s="19">
        <f t="shared" si="10"/>
        <v>234</v>
      </c>
      <c r="L23" s="19">
        <f t="shared" si="10"/>
        <v>564</v>
      </c>
      <c r="M23" s="19">
        <f t="shared" si="10"/>
        <v>351</v>
      </c>
      <c r="N23" s="19">
        <f t="shared" si="10"/>
        <v>237</v>
      </c>
      <c r="O23" s="19">
        <f t="shared" si="10"/>
        <v>237</v>
      </c>
      <c r="P23" s="19">
        <f t="shared" si="10"/>
        <v>237</v>
      </c>
      <c r="Q23" s="19">
        <f t="shared" si="10"/>
        <v>237</v>
      </c>
      <c r="R23" s="19">
        <f t="shared" si="10"/>
        <v>237</v>
      </c>
      <c r="S23" s="19">
        <f t="shared" si="10"/>
        <v>237</v>
      </c>
      <c r="T23" s="19">
        <f t="shared" si="10"/>
        <v>237</v>
      </c>
      <c r="U23" s="19">
        <f t="shared" si="10"/>
        <v>237</v>
      </c>
      <c r="V23" s="19">
        <f t="shared" si="10"/>
        <v>237</v>
      </c>
      <c r="W23" s="19">
        <f t="shared" si="10"/>
        <v>237</v>
      </c>
      <c r="X23" s="19">
        <f t="shared" si="10"/>
        <v>237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135</v>
      </c>
      <c r="E27" s="107">
        <f>MAX($C20:E20)</f>
        <v>135</v>
      </c>
      <c r="F27" s="107">
        <f>MAX($C20:F20)</f>
        <v>135</v>
      </c>
      <c r="G27" s="107">
        <f>MAX($C20:G20)</f>
        <v>135</v>
      </c>
      <c r="H27" s="107">
        <f>MAX($C20:H20)</f>
        <v>135</v>
      </c>
      <c r="I27" s="107">
        <f>MAX($C20:I20)</f>
        <v>135</v>
      </c>
      <c r="J27" s="107">
        <f>MAX($C20:J20)</f>
        <v>135</v>
      </c>
      <c r="K27" s="107">
        <f>MAX($C20:K20)</f>
        <v>135</v>
      </c>
      <c r="L27" s="107">
        <f>MAX($C20:L20)</f>
        <v>135</v>
      </c>
      <c r="M27" s="107">
        <f>MAX($C20:M20)</f>
        <v>135</v>
      </c>
      <c r="N27" s="107">
        <f>MAX($C20:N20)</f>
        <v>135</v>
      </c>
      <c r="O27" s="107">
        <f>MAX($C20:O20)</f>
        <v>135</v>
      </c>
      <c r="P27" s="107">
        <f>MAX($C20:P20)</f>
        <v>135</v>
      </c>
      <c r="Q27" s="107">
        <f>MAX($C20:Q20)</f>
        <v>135</v>
      </c>
      <c r="R27" s="107">
        <f>MAX($C20:R20)</f>
        <v>135</v>
      </c>
      <c r="S27" s="107">
        <f>MAX($C20:S20)</f>
        <v>135</v>
      </c>
      <c r="T27" s="107">
        <f>MAX($C20:T20)</f>
        <v>135</v>
      </c>
      <c r="U27" s="107">
        <f>MAX($C20:U20)</f>
        <v>135</v>
      </c>
      <c r="V27" s="107">
        <f>MAX($C20:V20)</f>
        <v>135</v>
      </c>
      <c r="W27" s="107">
        <f>MAX($C20:W20)</f>
        <v>135</v>
      </c>
      <c r="X27" s="107">
        <f>MAX($C20:X20)</f>
        <v>135</v>
      </c>
    </row>
    <row r="28" spans="1:25" ht="13.15" x14ac:dyDescent="0.4">
      <c r="A28">
        <v>22</v>
      </c>
      <c r="B28" s="151" t="s">
        <v>78</v>
      </c>
      <c r="C28" s="19">
        <f>MAX(C21)</f>
        <v>77</v>
      </c>
      <c r="D28" s="107">
        <f>MAX($C21:D21)</f>
        <v>212</v>
      </c>
      <c r="E28" s="107">
        <f>MAX($C21:E21)</f>
        <v>212</v>
      </c>
      <c r="F28" s="107">
        <f>MAX($C21:F21)</f>
        <v>212</v>
      </c>
      <c r="G28" s="107">
        <f>MAX($C21:G21)</f>
        <v>212</v>
      </c>
      <c r="H28" s="107">
        <f>MAX($C21:H21)</f>
        <v>212</v>
      </c>
      <c r="I28" s="107">
        <f>MAX($C21:I21)</f>
        <v>212</v>
      </c>
      <c r="J28" s="107">
        <f>MAX($C21:J21)</f>
        <v>212</v>
      </c>
      <c r="K28" s="107">
        <f>MAX($C21:K21)</f>
        <v>212</v>
      </c>
      <c r="L28" s="107">
        <f>MAX($C21:L21)</f>
        <v>212</v>
      </c>
      <c r="M28" s="107">
        <f>MAX($C21:M21)</f>
        <v>212</v>
      </c>
      <c r="N28" s="107">
        <f>MAX($C21:N21)</f>
        <v>212</v>
      </c>
      <c r="O28" s="107">
        <f>MAX($C21:O21)</f>
        <v>212</v>
      </c>
      <c r="P28" s="107">
        <f>MAX($C21:P21)</f>
        <v>212</v>
      </c>
      <c r="Q28" s="107">
        <f>MAX($C21:Q21)</f>
        <v>212</v>
      </c>
      <c r="R28" s="107">
        <f>MAX($C21:R21)</f>
        <v>212</v>
      </c>
      <c r="S28" s="107">
        <f>MAX($C21:S21)</f>
        <v>212</v>
      </c>
      <c r="T28" s="107">
        <f>MAX($C21:T21)</f>
        <v>212</v>
      </c>
      <c r="U28" s="107">
        <f>MAX($C21:U21)</f>
        <v>212</v>
      </c>
      <c r="V28" s="107">
        <f>MAX($C21:V21)</f>
        <v>212</v>
      </c>
      <c r="W28" s="107">
        <f>MAX($C21:W21)</f>
        <v>212</v>
      </c>
      <c r="X28" s="107">
        <f>MAX($C21:X21)</f>
        <v>212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369</v>
      </c>
      <c r="E29" s="107">
        <f>MAX($C22:E22)</f>
        <v>369</v>
      </c>
      <c r="F29" s="107">
        <f>MAX($C22:F22)</f>
        <v>369</v>
      </c>
      <c r="G29" s="107">
        <f>MAX($C22:G22)</f>
        <v>369</v>
      </c>
      <c r="H29" s="107">
        <f>MAX($C22:H22)</f>
        <v>369</v>
      </c>
      <c r="I29" s="107">
        <f>MAX($C22:I22)</f>
        <v>369</v>
      </c>
      <c r="J29" s="107">
        <f>MAX($C22:J22)</f>
        <v>369</v>
      </c>
      <c r="K29" s="107">
        <f>MAX($C22:K22)</f>
        <v>369</v>
      </c>
      <c r="L29" s="107">
        <f>MAX($C22:L22)</f>
        <v>369</v>
      </c>
      <c r="M29" s="107">
        <f>MAX($C22:M22)</f>
        <v>369</v>
      </c>
      <c r="N29" s="107">
        <f>MAX($C22:N22)</f>
        <v>369</v>
      </c>
      <c r="O29" s="107">
        <f>MAX($C22:O22)</f>
        <v>369</v>
      </c>
      <c r="P29" s="107">
        <f>MAX($C22:P22)</f>
        <v>369</v>
      </c>
      <c r="Q29" s="107">
        <f>MAX($C22:Q22)</f>
        <v>369</v>
      </c>
      <c r="R29" s="107">
        <f>MAX($C22:R22)</f>
        <v>369</v>
      </c>
      <c r="S29" s="107">
        <f>MAX($C22:S22)</f>
        <v>369</v>
      </c>
      <c r="T29" s="107">
        <f>MAX($C22:T22)</f>
        <v>369</v>
      </c>
      <c r="U29" s="107">
        <f>MAX($C22:U22)</f>
        <v>369</v>
      </c>
      <c r="V29" s="107">
        <f>MAX($C22:V22)</f>
        <v>369</v>
      </c>
      <c r="W29" s="107">
        <f>MAX($C22:W22)</f>
        <v>369</v>
      </c>
      <c r="X29" s="107">
        <f>MAX($C22:X22)</f>
        <v>369</v>
      </c>
    </row>
    <row r="30" spans="1:25" ht="13.15" x14ac:dyDescent="0.4">
      <c r="A30">
        <v>24</v>
      </c>
      <c r="B30" s="151" t="s">
        <v>80</v>
      </c>
      <c r="C30" s="19">
        <f>MAX(C23)</f>
        <v>231</v>
      </c>
      <c r="D30" s="107">
        <f>MAX($C23:D23)</f>
        <v>600</v>
      </c>
      <c r="E30" s="107">
        <f>MAX($C23:E23)</f>
        <v>600</v>
      </c>
      <c r="F30" s="107">
        <f>MAX($C23:F23)</f>
        <v>600</v>
      </c>
      <c r="G30" s="107">
        <f>MAX($C23:G23)</f>
        <v>600</v>
      </c>
      <c r="H30" s="107">
        <f>MAX($C23:H23)</f>
        <v>600</v>
      </c>
      <c r="I30" s="107">
        <f>MAX($C23:I23)</f>
        <v>600</v>
      </c>
      <c r="J30" s="107">
        <f>MAX($C23:J23)</f>
        <v>600</v>
      </c>
      <c r="K30" s="107">
        <f>MAX($C23:K23)</f>
        <v>600</v>
      </c>
      <c r="L30" s="107">
        <f>MAX($C23:L23)</f>
        <v>600</v>
      </c>
      <c r="M30" s="107">
        <f>MAX($C23:M23)</f>
        <v>600</v>
      </c>
      <c r="N30" s="107">
        <f>MAX($C23:N23)</f>
        <v>600</v>
      </c>
      <c r="O30" s="107">
        <f>MAX($C23:O23)</f>
        <v>600</v>
      </c>
      <c r="P30" s="107">
        <f>MAX($C23:P23)</f>
        <v>600</v>
      </c>
      <c r="Q30" s="107">
        <f>MAX($C23:Q23)</f>
        <v>600</v>
      </c>
      <c r="R30" s="107">
        <f>MAX($C23:R23)</f>
        <v>600</v>
      </c>
      <c r="S30" s="107">
        <f>MAX($C23:S23)</f>
        <v>600</v>
      </c>
      <c r="T30" s="107">
        <f>MAX($C23:T23)</f>
        <v>600</v>
      </c>
      <c r="U30" s="107">
        <f>MAX($C23:U23)</f>
        <v>600</v>
      </c>
      <c r="V30" s="107">
        <f>MAX($C23:V23)</f>
        <v>600</v>
      </c>
      <c r="W30" s="107">
        <f>MAX($C23:W23)</f>
        <v>600</v>
      </c>
      <c r="X30" s="107">
        <f>MAX($C23:X23)</f>
        <v>600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201"/>
    </row>
    <row r="2" spans="1:24" ht="13.15" x14ac:dyDescent="0.4">
      <c r="B2" s="1" t="s">
        <v>1</v>
      </c>
      <c r="F2" s="202" t="s">
        <v>35</v>
      </c>
      <c r="G2" s="203" t="s">
        <v>28</v>
      </c>
      <c r="H2" s="224">
        <v>3</v>
      </c>
      <c r="I2" s="204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48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42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F9">
        <v>118</v>
      </c>
      <c r="G9">
        <v>134</v>
      </c>
      <c r="M9">
        <v>135</v>
      </c>
      <c r="N9">
        <v>129</v>
      </c>
      <c r="P9">
        <v>151</v>
      </c>
      <c r="Q9">
        <v>159</v>
      </c>
      <c r="R9">
        <v>140</v>
      </c>
      <c r="S9">
        <v>155</v>
      </c>
      <c r="T9">
        <v>138</v>
      </c>
      <c r="U9">
        <v>126</v>
      </c>
      <c r="V9">
        <v>151</v>
      </c>
    </row>
    <row r="10" spans="1:24" ht="13.15" x14ac:dyDescent="0.4">
      <c r="A10">
        <v>4</v>
      </c>
      <c r="B10" s="3" t="s">
        <v>15</v>
      </c>
      <c r="F10">
        <v>159</v>
      </c>
      <c r="G10">
        <v>146</v>
      </c>
      <c r="M10">
        <v>157</v>
      </c>
      <c r="N10">
        <v>123</v>
      </c>
      <c r="P10">
        <v>149</v>
      </c>
      <c r="Q10">
        <v>137</v>
      </c>
      <c r="R10">
        <v>136</v>
      </c>
      <c r="S10">
        <v>114</v>
      </c>
      <c r="T10">
        <v>153</v>
      </c>
      <c r="U10">
        <v>179</v>
      </c>
      <c r="V10">
        <v>163</v>
      </c>
    </row>
    <row r="11" spans="1:24" ht="13.15" x14ac:dyDescent="0.4">
      <c r="A11">
        <v>5</v>
      </c>
      <c r="B11" s="3" t="s">
        <v>16</v>
      </c>
      <c r="F11">
        <v>118</v>
      </c>
      <c r="G11">
        <v>147</v>
      </c>
      <c r="N11">
        <v>131</v>
      </c>
      <c r="P11">
        <v>118</v>
      </c>
      <c r="Q11">
        <v>165</v>
      </c>
      <c r="R11">
        <v>143</v>
      </c>
      <c r="S11">
        <v>162</v>
      </c>
      <c r="T11">
        <v>174</v>
      </c>
      <c r="U11">
        <v>166</v>
      </c>
      <c r="V11">
        <v>150</v>
      </c>
    </row>
    <row r="12" spans="1:24" ht="13.15" x14ac:dyDescent="0.4">
      <c r="A12">
        <v>6</v>
      </c>
      <c r="B12" s="3" t="s">
        <v>64</v>
      </c>
      <c r="V12">
        <v>177</v>
      </c>
    </row>
    <row r="13" spans="1:24" ht="13.15" x14ac:dyDescent="0.4">
      <c r="A13">
        <v>7</v>
      </c>
      <c r="B13" s="3" t="s">
        <v>65</v>
      </c>
      <c r="V13">
        <v>158</v>
      </c>
    </row>
    <row r="14" spans="1:24" ht="13.15" x14ac:dyDescent="0.4">
      <c r="A14">
        <v>8</v>
      </c>
      <c r="B14" s="3" t="s">
        <v>66</v>
      </c>
      <c r="V14">
        <v>155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395</v>
      </c>
      <c r="G15" s="18">
        <f t="shared" si="2"/>
        <v>427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292</v>
      </c>
      <c r="N15" s="18">
        <f t="shared" si="2"/>
        <v>383</v>
      </c>
      <c r="O15" s="18">
        <f t="shared" si="2"/>
        <v>0</v>
      </c>
      <c r="P15" s="18">
        <f t="shared" si="2"/>
        <v>418</v>
      </c>
      <c r="Q15" s="18">
        <f t="shared" si="2"/>
        <v>461</v>
      </c>
      <c r="R15" s="18">
        <f t="shared" si="2"/>
        <v>419</v>
      </c>
      <c r="S15" s="18">
        <f t="shared" si="2"/>
        <v>431</v>
      </c>
      <c r="T15" s="18">
        <f t="shared" si="2"/>
        <v>465</v>
      </c>
      <c r="U15" s="18">
        <f t="shared" si="2"/>
        <v>471</v>
      </c>
      <c r="V15" s="18">
        <f t="shared" si="2"/>
        <v>954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395</v>
      </c>
      <c r="G16" s="19">
        <f t="shared" si="3"/>
        <v>822</v>
      </c>
      <c r="H16" s="19">
        <f t="shared" si="3"/>
        <v>822</v>
      </c>
      <c r="I16" s="19">
        <f t="shared" si="3"/>
        <v>822</v>
      </c>
      <c r="J16" s="19">
        <f t="shared" si="3"/>
        <v>822</v>
      </c>
      <c r="K16" s="19">
        <f t="shared" si="3"/>
        <v>822</v>
      </c>
      <c r="L16" s="19">
        <f t="shared" si="3"/>
        <v>822</v>
      </c>
      <c r="M16" s="19">
        <f t="shared" si="3"/>
        <v>1114</v>
      </c>
      <c r="N16" s="19">
        <f t="shared" si="3"/>
        <v>1497</v>
      </c>
      <c r="O16" s="19">
        <f t="shared" si="3"/>
        <v>1497</v>
      </c>
      <c r="P16" s="19">
        <f t="shared" si="3"/>
        <v>1915</v>
      </c>
      <c r="Q16" s="19">
        <f t="shared" si="3"/>
        <v>2376</v>
      </c>
      <c r="R16" s="19">
        <f t="shared" si="3"/>
        <v>2795</v>
      </c>
      <c r="S16" s="19">
        <f t="shared" si="3"/>
        <v>3226</v>
      </c>
      <c r="T16" s="19">
        <f t="shared" si="3"/>
        <v>3691</v>
      </c>
      <c r="U16" s="19">
        <f t="shared" si="3"/>
        <v>4162</v>
      </c>
      <c r="V16" s="19">
        <f t="shared" si="3"/>
        <v>5116</v>
      </c>
      <c r="W16" s="19">
        <f t="shared" si="3"/>
        <v>5116</v>
      </c>
      <c r="X16" s="19">
        <f t="shared" si="3"/>
        <v>5116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>
        <f t="shared" si="4"/>
        <v>131.66666666666666</v>
      </c>
      <c r="G17" s="20">
        <f t="shared" si="4"/>
        <v>137</v>
      </c>
      <c r="H17" s="20">
        <f t="shared" si="4"/>
        <v>137</v>
      </c>
      <c r="I17" s="20">
        <f t="shared" si="4"/>
        <v>137</v>
      </c>
      <c r="J17" s="20">
        <f t="shared" si="4"/>
        <v>137</v>
      </c>
      <c r="K17" s="20">
        <f t="shared" si="4"/>
        <v>137</v>
      </c>
      <c r="L17" s="20">
        <f t="shared" si="4"/>
        <v>137</v>
      </c>
      <c r="M17" s="20">
        <f t="shared" si="4"/>
        <v>139.25</v>
      </c>
      <c r="N17" s="20">
        <f t="shared" si="4"/>
        <v>136.09090909090909</v>
      </c>
      <c r="O17" s="20">
        <f t="shared" si="4"/>
        <v>136.09090909090909</v>
      </c>
      <c r="P17" s="20">
        <f t="shared" si="4"/>
        <v>136.78571428571428</v>
      </c>
      <c r="Q17" s="20">
        <f t="shared" si="4"/>
        <v>139.76470588235293</v>
      </c>
      <c r="R17" s="20">
        <f t="shared" si="4"/>
        <v>139.75</v>
      </c>
      <c r="S17" s="20">
        <f t="shared" si="4"/>
        <v>140.2608695652174</v>
      </c>
      <c r="T17" s="20">
        <f t="shared" si="4"/>
        <v>141.96153846153845</v>
      </c>
      <c r="U17" s="20">
        <f t="shared" si="4"/>
        <v>143.51724137931035</v>
      </c>
      <c r="V17" s="20">
        <f t="shared" si="4"/>
        <v>146.17142857142858</v>
      </c>
      <c r="W17" s="20">
        <f t="shared" si="4"/>
        <v>146.17142857142858</v>
      </c>
      <c r="X17" s="20">
        <f t="shared" si="4"/>
        <v>146.17142857142858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>
        <f t="shared" si="5"/>
        <v>62</v>
      </c>
      <c r="G18" s="19">
        <f t="shared" si="5"/>
        <v>57</v>
      </c>
      <c r="H18" s="19">
        <f t="shared" si="5"/>
        <v>57</v>
      </c>
      <c r="I18" s="19">
        <f t="shared" si="5"/>
        <v>57</v>
      </c>
      <c r="J18" s="19">
        <f t="shared" si="5"/>
        <v>57</v>
      </c>
      <c r="K18" s="19">
        <f t="shared" si="5"/>
        <v>57</v>
      </c>
      <c r="L18" s="19">
        <f t="shared" si="5"/>
        <v>57</v>
      </c>
      <c r="M18" s="19">
        <f t="shared" si="5"/>
        <v>55</v>
      </c>
      <c r="N18" s="19">
        <f t="shared" si="5"/>
        <v>58</v>
      </c>
      <c r="O18" s="19">
        <f t="shared" si="5"/>
        <v>58</v>
      </c>
      <c r="P18" s="19">
        <f t="shared" si="5"/>
        <v>57</v>
      </c>
      <c r="Q18" s="19">
        <f t="shared" si="5"/>
        <v>54</v>
      </c>
      <c r="R18" s="19">
        <f t="shared" si="5"/>
        <v>54</v>
      </c>
      <c r="S18" s="19">
        <f t="shared" si="5"/>
        <v>54</v>
      </c>
      <c r="T18" s="19">
        <f t="shared" si="5"/>
        <v>52</v>
      </c>
      <c r="U18" s="19">
        <f t="shared" si="5"/>
        <v>51</v>
      </c>
      <c r="V18" s="19">
        <f t="shared" si="5"/>
        <v>48</v>
      </c>
      <c r="W18" s="19">
        <f t="shared" si="5"/>
        <v>48</v>
      </c>
      <c r="X18" s="19">
        <f t="shared" si="5"/>
        <v>48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3</v>
      </c>
      <c r="G19" s="19">
        <f t="shared" si="6"/>
        <v>6</v>
      </c>
      <c r="H19" s="19">
        <f t="shared" si="6"/>
        <v>6</v>
      </c>
      <c r="I19" s="19">
        <f t="shared" si="6"/>
        <v>6</v>
      </c>
      <c r="J19" s="19">
        <f t="shared" si="6"/>
        <v>6</v>
      </c>
      <c r="K19" s="19">
        <f t="shared" si="6"/>
        <v>6</v>
      </c>
      <c r="L19" s="19">
        <f t="shared" si="6"/>
        <v>6</v>
      </c>
      <c r="M19" s="19">
        <f t="shared" si="6"/>
        <v>8</v>
      </c>
      <c r="N19" s="19">
        <f t="shared" si="6"/>
        <v>11</v>
      </c>
      <c r="O19" s="19">
        <f t="shared" si="6"/>
        <v>11</v>
      </c>
      <c r="P19" s="19">
        <f t="shared" si="6"/>
        <v>14</v>
      </c>
      <c r="Q19" s="19">
        <f t="shared" si="6"/>
        <v>17</v>
      </c>
      <c r="R19" s="19">
        <f t="shared" si="6"/>
        <v>20</v>
      </c>
      <c r="S19" s="19">
        <f t="shared" si="6"/>
        <v>23</v>
      </c>
      <c r="T19" s="19">
        <f t="shared" si="6"/>
        <v>26</v>
      </c>
      <c r="U19" s="19">
        <f t="shared" si="6"/>
        <v>29</v>
      </c>
      <c r="V19" s="19">
        <f t="shared" si="6"/>
        <v>35</v>
      </c>
      <c r="W19" s="19">
        <f t="shared" si="6"/>
        <v>35</v>
      </c>
      <c r="X19" s="19">
        <f t="shared" si="6"/>
        <v>35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159</v>
      </c>
      <c r="G20" s="19">
        <f t="shared" si="7"/>
        <v>147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157</v>
      </c>
      <c r="N20" s="19">
        <f t="shared" si="7"/>
        <v>131</v>
      </c>
      <c r="O20" s="19">
        <f t="shared" si="7"/>
        <v>0</v>
      </c>
      <c r="P20" s="19">
        <f t="shared" si="7"/>
        <v>151</v>
      </c>
      <c r="Q20" s="19">
        <f t="shared" si="7"/>
        <v>165</v>
      </c>
      <c r="R20" s="19">
        <f t="shared" si="7"/>
        <v>143</v>
      </c>
      <c r="S20" s="19">
        <f t="shared" si="7"/>
        <v>162</v>
      </c>
      <c r="T20" s="19">
        <f t="shared" si="7"/>
        <v>174</v>
      </c>
      <c r="U20" s="19">
        <f t="shared" si="7"/>
        <v>179</v>
      </c>
      <c r="V20" s="19">
        <f t="shared" si="7"/>
        <v>177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42</v>
      </c>
      <c r="D21" s="19">
        <f>MAX(D$9:D$14)+$I$5</f>
        <v>42</v>
      </c>
      <c r="E21" s="19">
        <f>MAX(E$9:E$14)+$I$5</f>
        <v>42</v>
      </c>
      <c r="F21" s="19">
        <f>MAX(F$9:F$14)+$I$5</f>
        <v>201</v>
      </c>
      <c r="G21" s="19">
        <f>MAX(G$9:G$14)+$I$5</f>
        <v>189</v>
      </c>
      <c r="H21" s="19">
        <f t="shared" ref="H21:X21" si="8">MAX(H$9:H$14)+G18</f>
        <v>57</v>
      </c>
      <c r="I21" s="19">
        <f t="shared" si="8"/>
        <v>57</v>
      </c>
      <c r="J21" s="19">
        <f t="shared" si="8"/>
        <v>57</v>
      </c>
      <c r="K21" s="19">
        <f t="shared" si="8"/>
        <v>57</v>
      </c>
      <c r="L21" s="19">
        <f t="shared" si="8"/>
        <v>57</v>
      </c>
      <c r="M21" s="19">
        <f t="shared" si="8"/>
        <v>214</v>
      </c>
      <c r="N21" s="19">
        <f t="shared" si="8"/>
        <v>186</v>
      </c>
      <c r="O21" s="19">
        <f t="shared" si="8"/>
        <v>58</v>
      </c>
      <c r="P21" s="19">
        <f t="shared" si="8"/>
        <v>209</v>
      </c>
      <c r="Q21" s="19">
        <f t="shared" si="8"/>
        <v>222</v>
      </c>
      <c r="R21" s="19">
        <f t="shared" si="8"/>
        <v>197</v>
      </c>
      <c r="S21" s="19">
        <f t="shared" si="8"/>
        <v>216</v>
      </c>
      <c r="T21" s="19">
        <f t="shared" si="8"/>
        <v>228</v>
      </c>
      <c r="U21" s="19">
        <f t="shared" si="8"/>
        <v>231</v>
      </c>
      <c r="V21" s="19">
        <f t="shared" si="8"/>
        <v>228</v>
      </c>
      <c r="W21" s="19">
        <f t="shared" si="8"/>
        <v>48</v>
      </c>
      <c r="X21" s="19">
        <f t="shared" si="8"/>
        <v>48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395</v>
      </c>
      <c r="G22" s="19">
        <f t="shared" si="9"/>
        <v>427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292</v>
      </c>
      <c r="N22" s="19">
        <f t="shared" si="9"/>
        <v>383</v>
      </c>
      <c r="O22" s="19">
        <f t="shared" si="9"/>
        <v>0</v>
      </c>
      <c r="P22" s="19">
        <f t="shared" si="9"/>
        <v>418</v>
      </c>
      <c r="Q22" s="19">
        <f t="shared" si="9"/>
        <v>461</v>
      </c>
      <c r="R22" s="19">
        <f t="shared" si="9"/>
        <v>419</v>
      </c>
      <c r="S22" s="19">
        <f t="shared" si="9"/>
        <v>431</v>
      </c>
      <c r="T22" s="19">
        <f t="shared" si="9"/>
        <v>465</v>
      </c>
      <c r="U22" s="19">
        <f t="shared" si="9"/>
        <v>471</v>
      </c>
      <c r="V22" s="19">
        <f t="shared" si="9"/>
        <v>490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126</v>
      </c>
      <c r="D23" s="19">
        <f>MAX(SUM(D$9:D$11),SUM(D$12:D$14))+$I$5*3</f>
        <v>126</v>
      </c>
      <c r="E23" s="19">
        <f>MAX(SUM(E$9:E$11),SUM(E$12:E$14))+$I$5*3</f>
        <v>126</v>
      </c>
      <c r="F23" s="19">
        <f>MAX(SUM(F$9:F$11),SUM(F$12:F$14))+$I$5*3</f>
        <v>521</v>
      </c>
      <c r="G23" s="19">
        <f>MAX(SUM(G$9:G$11),SUM(G$12:G$14))+$I$5*3</f>
        <v>553</v>
      </c>
      <c r="H23" s="19">
        <f t="shared" ref="H23:X23" si="10">MAX(SUM(H$9:H$11),SUM(H$12:H$14))+G18*3</f>
        <v>171</v>
      </c>
      <c r="I23" s="19">
        <f t="shared" si="10"/>
        <v>171</v>
      </c>
      <c r="J23" s="19">
        <f t="shared" si="10"/>
        <v>171</v>
      </c>
      <c r="K23" s="19">
        <f t="shared" si="10"/>
        <v>171</v>
      </c>
      <c r="L23" s="19">
        <f t="shared" si="10"/>
        <v>171</v>
      </c>
      <c r="M23" s="19">
        <f t="shared" si="10"/>
        <v>463</v>
      </c>
      <c r="N23" s="19">
        <f t="shared" si="10"/>
        <v>548</v>
      </c>
      <c r="O23" s="19">
        <f t="shared" si="10"/>
        <v>174</v>
      </c>
      <c r="P23" s="19">
        <f t="shared" si="10"/>
        <v>592</v>
      </c>
      <c r="Q23" s="19">
        <f t="shared" si="10"/>
        <v>632</v>
      </c>
      <c r="R23" s="19">
        <f t="shared" si="10"/>
        <v>581</v>
      </c>
      <c r="S23" s="19">
        <f t="shared" si="10"/>
        <v>593</v>
      </c>
      <c r="T23" s="19">
        <f t="shared" si="10"/>
        <v>627</v>
      </c>
      <c r="U23" s="19">
        <f t="shared" si="10"/>
        <v>627</v>
      </c>
      <c r="V23" s="19">
        <f t="shared" si="10"/>
        <v>643</v>
      </c>
      <c r="W23" s="19">
        <f t="shared" si="10"/>
        <v>144</v>
      </c>
      <c r="X23" s="19">
        <f t="shared" si="10"/>
        <v>144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159</v>
      </c>
      <c r="G27" s="107">
        <f>MAX($C20:G20)</f>
        <v>159</v>
      </c>
      <c r="H27" s="107">
        <f>MAX($C20:H20)</f>
        <v>159</v>
      </c>
      <c r="I27" s="107">
        <f>MAX($C20:I20)</f>
        <v>159</v>
      </c>
      <c r="J27" s="107">
        <f>MAX($C20:J20)</f>
        <v>159</v>
      </c>
      <c r="K27" s="107">
        <f>MAX($C20:K20)</f>
        <v>159</v>
      </c>
      <c r="L27" s="107">
        <f>MAX($C20:L20)</f>
        <v>159</v>
      </c>
      <c r="M27" s="107">
        <f>MAX($C20:M20)</f>
        <v>159</v>
      </c>
      <c r="N27" s="107">
        <f>MAX($C20:N20)</f>
        <v>159</v>
      </c>
      <c r="O27" s="107">
        <f>MAX($C20:O20)</f>
        <v>159</v>
      </c>
      <c r="P27" s="107">
        <f>MAX($C20:P20)</f>
        <v>159</v>
      </c>
      <c r="Q27" s="107">
        <f>MAX($C20:Q20)</f>
        <v>165</v>
      </c>
      <c r="R27" s="107">
        <f>MAX($C20:R20)</f>
        <v>165</v>
      </c>
      <c r="S27" s="107">
        <f>MAX($C20:S20)</f>
        <v>165</v>
      </c>
      <c r="T27" s="107">
        <f>MAX($C20:T20)</f>
        <v>174</v>
      </c>
      <c r="U27" s="107">
        <f>MAX($C20:U20)</f>
        <v>179</v>
      </c>
      <c r="V27" s="107">
        <f>MAX($C20:V20)</f>
        <v>179</v>
      </c>
      <c r="W27" s="107">
        <f>MAX($C20:W20)</f>
        <v>179</v>
      </c>
      <c r="X27" s="107">
        <f>MAX($C20:X20)</f>
        <v>179</v>
      </c>
    </row>
    <row r="28" spans="1:25" ht="13.15" x14ac:dyDescent="0.4">
      <c r="A28">
        <v>22</v>
      </c>
      <c r="B28" s="151" t="s">
        <v>78</v>
      </c>
      <c r="C28" s="19">
        <f>MAX(C21)</f>
        <v>42</v>
      </c>
      <c r="D28" s="107">
        <f>MAX($C21:D21)</f>
        <v>42</v>
      </c>
      <c r="E28" s="107">
        <f>MAX($C21:E21)</f>
        <v>42</v>
      </c>
      <c r="F28" s="107">
        <f>MAX($C21:F21)</f>
        <v>201</v>
      </c>
      <c r="G28" s="107">
        <f>MAX($C21:G21)</f>
        <v>201</v>
      </c>
      <c r="H28" s="107">
        <f>MAX($C21:H21)</f>
        <v>201</v>
      </c>
      <c r="I28" s="107">
        <f>MAX($C21:I21)</f>
        <v>201</v>
      </c>
      <c r="J28" s="107">
        <f>MAX($C21:J21)</f>
        <v>201</v>
      </c>
      <c r="K28" s="107">
        <f>MAX($C21:K21)</f>
        <v>201</v>
      </c>
      <c r="L28" s="107">
        <f>MAX($C21:L21)</f>
        <v>201</v>
      </c>
      <c r="M28" s="107">
        <f>MAX($C21:M21)</f>
        <v>214</v>
      </c>
      <c r="N28" s="107">
        <f>MAX($C21:N21)</f>
        <v>214</v>
      </c>
      <c r="O28" s="107">
        <f>MAX($C21:O21)</f>
        <v>214</v>
      </c>
      <c r="P28" s="107">
        <f>MAX($C21:P21)</f>
        <v>214</v>
      </c>
      <c r="Q28" s="107">
        <f>MAX($C21:Q21)</f>
        <v>222</v>
      </c>
      <c r="R28" s="107">
        <f>MAX($C21:R21)</f>
        <v>222</v>
      </c>
      <c r="S28" s="107">
        <f>MAX($C21:S21)</f>
        <v>222</v>
      </c>
      <c r="T28" s="107">
        <f>MAX($C21:T21)</f>
        <v>228</v>
      </c>
      <c r="U28" s="107">
        <f>MAX($C21:U21)</f>
        <v>231</v>
      </c>
      <c r="V28" s="107">
        <f>MAX($C21:V21)</f>
        <v>231</v>
      </c>
      <c r="W28" s="107">
        <f>MAX($C21:W21)</f>
        <v>231</v>
      </c>
      <c r="X28" s="107">
        <f>MAX($C21:X21)</f>
        <v>231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395</v>
      </c>
      <c r="G29" s="107">
        <f>MAX($C22:G22)</f>
        <v>427</v>
      </c>
      <c r="H29" s="107">
        <f>MAX($C22:H22)</f>
        <v>427</v>
      </c>
      <c r="I29" s="107">
        <f>MAX($C22:I22)</f>
        <v>427</v>
      </c>
      <c r="J29" s="107">
        <f>MAX($C22:J22)</f>
        <v>427</v>
      </c>
      <c r="K29" s="107">
        <f>MAX($C22:K22)</f>
        <v>427</v>
      </c>
      <c r="L29" s="107">
        <f>MAX($C22:L22)</f>
        <v>427</v>
      </c>
      <c r="M29" s="107">
        <f>MAX($C22:M22)</f>
        <v>427</v>
      </c>
      <c r="N29" s="107">
        <f>MAX($C22:N22)</f>
        <v>427</v>
      </c>
      <c r="O29" s="107">
        <f>MAX($C22:O22)</f>
        <v>427</v>
      </c>
      <c r="P29" s="107">
        <f>MAX($C22:P22)</f>
        <v>427</v>
      </c>
      <c r="Q29" s="107">
        <f>MAX($C22:Q22)</f>
        <v>461</v>
      </c>
      <c r="R29" s="107">
        <f>MAX($C22:R22)</f>
        <v>461</v>
      </c>
      <c r="S29" s="107">
        <f>MAX($C22:S22)</f>
        <v>461</v>
      </c>
      <c r="T29" s="107">
        <f>MAX($C22:T22)</f>
        <v>465</v>
      </c>
      <c r="U29" s="107">
        <f>MAX($C22:U22)</f>
        <v>471</v>
      </c>
      <c r="V29" s="107">
        <f>MAX($C22:V22)</f>
        <v>490</v>
      </c>
      <c r="W29" s="107">
        <f>MAX($C22:W22)</f>
        <v>490</v>
      </c>
      <c r="X29" s="107">
        <f>MAX($C22:X22)</f>
        <v>490</v>
      </c>
    </row>
    <row r="30" spans="1:25" ht="13.15" x14ac:dyDescent="0.4">
      <c r="A30">
        <v>24</v>
      </c>
      <c r="B30" s="151" t="s">
        <v>80</v>
      </c>
      <c r="C30" s="19">
        <f>MAX(C23)</f>
        <v>126</v>
      </c>
      <c r="D30" s="107">
        <f>MAX($C23:D23)</f>
        <v>126</v>
      </c>
      <c r="E30" s="107">
        <f>MAX($C23:E23)</f>
        <v>126</v>
      </c>
      <c r="F30" s="107">
        <f>MAX($C23:F23)</f>
        <v>521</v>
      </c>
      <c r="G30" s="107">
        <f>MAX($C23:G23)</f>
        <v>553</v>
      </c>
      <c r="H30" s="107">
        <f>MAX($C23:H23)</f>
        <v>553</v>
      </c>
      <c r="I30" s="107">
        <f>MAX($C23:I23)</f>
        <v>553</v>
      </c>
      <c r="J30" s="107">
        <f>MAX($C23:J23)</f>
        <v>553</v>
      </c>
      <c r="K30" s="107">
        <f>MAX($C23:K23)</f>
        <v>553</v>
      </c>
      <c r="L30" s="107">
        <f>MAX($C23:L23)</f>
        <v>553</v>
      </c>
      <c r="M30" s="107">
        <f>MAX($C23:M23)</f>
        <v>553</v>
      </c>
      <c r="N30" s="107">
        <f>MAX($C23:N23)</f>
        <v>553</v>
      </c>
      <c r="O30" s="107">
        <f>MAX($C23:O23)</f>
        <v>553</v>
      </c>
      <c r="P30" s="107">
        <f>MAX($C23:P23)</f>
        <v>592</v>
      </c>
      <c r="Q30" s="107">
        <f>MAX($C23:Q23)</f>
        <v>632</v>
      </c>
      <c r="R30" s="107">
        <f>MAX($C23:R23)</f>
        <v>632</v>
      </c>
      <c r="S30" s="107">
        <f>MAX($C23:S23)</f>
        <v>632</v>
      </c>
      <c r="T30" s="107">
        <f>MAX($C23:T23)</f>
        <v>632</v>
      </c>
      <c r="U30" s="107">
        <f>MAX($C23:U23)</f>
        <v>632</v>
      </c>
      <c r="V30" s="107">
        <f>MAX($C23:V23)</f>
        <v>643</v>
      </c>
      <c r="W30" s="107">
        <f>MAX($C23:W23)</f>
        <v>643</v>
      </c>
      <c r="X30" s="107">
        <f>MAX($C23:X23)</f>
        <v>643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228</v>
      </c>
      <c r="G2" s="203" t="s">
        <v>179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75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78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N9">
        <v>116</v>
      </c>
      <c r="P9">
        <v>105</v>
      </c>
    </row>
    <row r="10" spans="1:24" ht="13.15" x14ac:dyDescent="0.4">
      <c r="A10">
        <v>4</v>
      </c>
      <c r="B10" s="3" t="s">
        <v>15</v>
      </c>
      <c r="N10">
        <v>123</v>
      </c>
      <c r="P10">
        <v>158</v>
      </c>
    </row>
    <row r="11" spans="1:24" ht="13.15" x14ac:dyDescent="0.4">
      <c r="A11">
        <v>5</v>
      </c>
      <c r="B11" s="3" t="s">
        <v>16</v>
      </c>
      <c r="N11">
        <v>128</v>
      </c>
      <c r="P11">
        <v>68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367</v>
      </c>
      <c r="O15" s="18">
        <f t="shared" si="2"/>
        <v>0</v>
      </c>
      <c r="P15" s="18">
        <f t="shared" si="2"/>
        <v>331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367</v>
      </c>
      <c r="O16" s="19">
        <f t="shared" si="3"/>
        <v>367</v>
      </c>
      <c r="P16" s="19">
        <f t="shared" si="3"/>
        <v>698</v>
      </c>
      <c r="Q16" s="19">
        <f t="shared" si="3"/>
        <v>698</v>
      </c>
      <c r="R16" s="19">
        <f t="shared" si="3"/>
        <v>698</v>
      </c>
      <c r="S16" s="19">
        <f t="shared" si="3"/>
        <v>698</v>
      </c>
      <c r="T16" s="19">
        <f t="shared" si="3"/>
        <v>698</v>
      </c>
      <c r="U16" s="19">
        <f t="shared" si="3"/>
        <v>698</v>
      </c>
      <c r="V16" s="19">
        <f t="shared" si="3"/>
        <v>698</v>
      </c>
      <c r="W16" s="19">
        <f t="shared" si="3"/>
        <v>698</v>
      </c>
      <c r="X16" s="19">
        <f t="shared" si="3"/>
        <v>698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>
        <f t="shared" si="4"/>
        <v>122.33333333333333</v>
      </c>
      <c r="O17" s="20">
        <f t="shared" si="4"/>
        <v>122.33333333333333</v>
      </c>
      <c r="P17" s="20">
        <f t="shared" si="4"/>
        <v>116.33333333333333</v>
      </c>
      <c r="Q17" s="20">
        <f t="shared" si="4"/>
        <v>116.33333333333333</v>
      </c>
      <c r="R17" s="20">
        <f t="shared" si="4"/>
        <v>116.33333333333333</v>
      </c>
      <c r="S17" s="20">
        <f t="shared" si="4"/>
        <v>116.33333333333333</v>
      </c>
      <c r="T17" s="20">
        <f t="shared" si="4"/>
        <v>116.33333333333333</v>
      </c>
      <c r="U17" s="20">
        <f t="shared" si="4"/>
        <v>116.33333333333333</v>
      </c>
      <c r="V17" s="20">
        <f t="shared" si="4"/>
        <v>116.33333333333333</v>
      </c>
      <c r="W17" s="20">
        <f t="shared" si="4"/>
        <v>116.33333333333333</v>
      </c>
      <c r="X17" s="20">
        <f t="shared" si="4"/>
        <v>116.33333333333333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>
        <f t="shared" si="5"/>
        <v>70</v>
      </c>
      <c r="O18" s="19">
        <f t="shared" si="5"/>
        <v>70</v>
      </c>
      <c r="P18" s="19">
        <f t="shared" si="5"/>
        <v>75</v>
      </c>
      <c r="Q18" s="19">
        <f t="shared" si="5"/>
        <v>75</v>
      </c>
      <c r="R18" s="19">
        <f t="shared" si="5"/>
        <v>75</v>
      </c>
      <c r="S18" s="19">
        <f t="shared" si="5"/>
        <v>75</v>
      </c>
      <c r="T18" s="19">
        <f t="shared" si="5"/>
        <v>75</v>
      </c>
      <c r="U18" s="19">
        <f t="shared" si="5"/>
        <v>75</v>
      </c>
      <c r="V18" s="19">
        <f t="shared" si="5"/>
        <v>75</v>
      </c>
      <c r="W18" s="19">
        <f t="shared" si="5"/>
        <v>75</v>
      </c>
      <c r="X18" s="19">
        <f t="shared" si="5"/>
        <v>75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3</v>
      </c>
      <c r="O19" s="19">
        <f t="shared" si="6"/>
        <v>3</v>
      </c>
      <c r="P19" s="19">
        <f t="shared" si="6"/>
        <v>6</v>
      </c>
      <c r="Q19" s="19">
        <f t="shared" si="6"/>
        <v>6</v>
      </c>
      <c r="R19" s="19">
        <f t="shared" si="6"/>
        <v>6</v>
      </c>
      <c r="S19" s="19">
        <f t="shared" si="6"/>
        <v>6</v>
      </c>
      <c r="T19" s="19">
        <f t="shared" si="6"/>
        <v>6</v>
      </c>
      <c r="U19" s="19">
        <f t="shared" si="6"/>
        <v>6</v>
      </c>
      <c r="V19" s="19">
        <f t="shared" si="6"/>
        <v>6</v>
      </c>
      <c r="W19" s="19">
        <f t="shared" si="6"/>
        <v>6</v>
      </c>
      <c r="X19" s="19">
        <f t="shared" si="6"/>
        <v>6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128</v>
      </c>
      <c r="O20" s="19">
        <f t="shared" si="7"/>
        <v>0</v>
      </c>
      <c r="P20" s="19">
        <f t="shared" si="7"/>
        <v>158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P21" si="8">MAX(C$9:C$14)+$I$5</f>
        <v>78</v>
      </c>
      <c r="D21" s="19">
        <f t="shared" si="8"/>
        <v>78</v>
      </c>
      <c r="E21" s="19">
        <f t="shared" si="8"/>
        <v>78</v>
      </c>
      <c r="F21" s="19">
        <f t="shared" si="8"/>
        <v>78</v>
      </c>
      <c r="G21" s="19">
        <f t="shared" si="8"/>
        <v>78</v>
      </c>
      <c r="H21" s="19">
        <f t="shared" si="8"/>
        <v>78</v>
      </c>
      <c r="I21" s="19">
        <f t="shared" si="8"/>
        <v>78</v>
      </c>
      <c r="J21" s="19">
        <f t="shared" si="8"/>
        <v>78</v>
      </c>
      <c r="K21" s="19">
        <f t="shared" si="8"/>
        <v>78</v>
      </c>
      <c r="L21" s="19">
        <f t="shared" si="8"/>
        <v>78</v>
      </c>
      <c r="M21" s="19">
        <f t="shared" si="8"/>
        <v>78</v>
      </c>
      <c r="N21" s="19">
        <f t="shared" si="8"/>
        <v>206</v>
      </c>
      <c r="O21" s="19">
        <f t="shared" si="8"/>
        <v>78</v>
      </c>
      <c r="P21" s="19">
        <f t="shared" si="8"/>
        <v>236</v>
      </c>
      <c r="Q21" s="19">
        <f t="shared" ref="Q21:X21" si="9">MAX(Q$9:Q$14)+P18</f>
        <v>75</v>
      </c>
      <c r="R21" s="19">
        <f t="shared" si="9"/>
        <v>75</v>
      </c>
      <c r="S21" s="19">
        <f t="shared" si="9"/>
        <v>75</v>
      </c>
      <c r="T21" s="19">
        <f t="shared" si="9"/>
        <v>75</v>
      </c>
      <c r="U21" s="19">
        <f t="shared" si="9"/>
        <v>75</v>
      </c>
      <c r="V21" s="19">
        <f t="shared" si="9"/>
        <v>75</v>
      </c>
      <c r="W21" s="19">
        <f t="shared" si="9"/>
        <v>75</v>
      </c>
      <c r="X21" s="19">
        <f t="shared" si="9"/>
        <v>75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0</v>
      </c>
      <c r="F22" s="19">
        <f t="shared" si="10"/>
        <v>0</v>
      </c>
      <c r="G22" s="19">
        <f t="shared" si="10"/>
        <v>0</v>
      </c>
      <c r="H22" s="19">
        <f t="shared" si="10"/>
        <v>0</v>
      </c>
      <c r="I22" s="19">
        <f t="shared" si="10"/>
        <v>0</v>
      </c>
      <c r="J22" s="19">
        <f t="shared" si="10"/>
        <v>0</v>
      </c>
      <c r="K22" s="19">
        <f t="shared" si="10"/>
        <v>0</v>
      </c>
      <c r="L22" s="19">
        <f t="shared" si="10"/>
        <v>0</v>
      </c>
      <c r="M22" s="19">
        <f t="shared" si="10"/>
        <v>0</v>
      </c>
      <c r="N22" s="19">
        <f t="shared" si="10"/>
        <v>367</v>
      </c>
      <c r="O22" s="19">
        <f t="shared" si="10"/>
        <v>0</v>
      </c>
      <c r="P22" s="19">
        <f t="shared" si="10"/>
        <v>331</v>
      </c>
      <c r="Q22" s="19">
        <f t="shared" si="10"/>
        <v>0</v>
      </c>
      <c r="R22" s="19">
        <f t="shared" si="10"/>
        <v>0</v>
      </c>
      <c r="S22" s="19">
        <f t="shared" si="10"/>
        <v>0</v>
      </c>
      <c r="T22" s="19">
        <f t="shared" si="10"/>
        <v>0</v>
      </c>
      <c r="U22" s="19">
        <f t="shared" si="10"/>
        <v>0</v>
      </c>
      <c r="V22" s="19">
        <f t="shared" si="10"/>
        <v>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234</v>
      </c>
      <c r="D23" s="19">
        <f t="shared" ref="D23:P23" si="11">MAX(SUM(D$9:D$11),SUM(D$12:D$14))+$I$5*3</f>
        <v>234</v>
      </c>
      <c r="E23" s="19">
        <f t="shared" si="11"/>
        <v>234</v>
      </c>
      <c r="F23" s="19">
        <f t="shared" si="11"/>
        <v>234</v>
      </c>
      <c r="G23" s="19">
        <f t="shared" si="11"/>
        <v>234</v>
      </c>
      <c r="H23" s="19">
        <f t="shared" si="11"/>
        <v>234</v>
      </c>
      <c r="I23" s="19">
        <f t="shared" si="11"/>
        <v>234</v>
      </c>
      <c r="J23" s="19">
        <f t="shared" si="11"/>
        <v>234</v>
      </c>
      <c r="K23" s="19">
        <f t="shared" si="11"/>
        <v>234</v>
      </c>
      <c r="L23" s="19">
        <f t="shared" si="11"/>
        <v>234</v>
      </c>
      <c r="M23" s="19">
        <f t="shared" si="11"/>
        <v>234</v>
      </c>
      <c r="N23" s="19">
        <f t="shared" si="11"/>
        <v>601</v>
      </c>
      <c r="O23" s="19">
        <f t="shared" si="11"/>
        <v>234</v>
      </c>
      <c r="P23" s="19">
        <f t="shared" si="11"/>
        <v>565</v>
      </c>
      <c r="Q23" s="19">
        <f t="shared" ref="Q23:X23" si="12">MAX(SUM(Q$9:Q$11),SUM(Q$12:Q$14))+P18*3</f>
        <v>225</v>
      </c>
      <c r="R23" s="19">
        <f t="shared" si="12"/>
        <v>225</v>
      </c>
      <c r="S23" s="19">
        <f t="shared" si="12"/>
        <v>225</v>
      </c>
      <c r="T23" s="19">
        <f t="shared" si="12"/>
        <v>225</v>
      </c>
      <c r="U23" s="19">
        <f t="shared" si="12"/>
        <v>225</v>
      </c>
      <c r="V23" s="19">
        <f t="shared" si="12"/>
        <v>225</v>
      </c>
      <c r="W23" s="19">
        <f t="shared" si="12"/>
        <v>225</v>
      </c>
      <c r="X23" s="19">
        <f t="shared" si="12"/>
        <v>225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128</v>
      </c>
      <c r="O27" s="107">
        <f>MAX($C20:O20)</f>
        <v>128</v>
      </c>
      <c r="P27" s="107">
        <f>MAX($C20:P20)</f>
        <v>158</v>
      </c>
      <c r="Q27" s="107">
        <f>MAX($C20:Q20)</f>
        <v>158</v>
      </c>
      <c r="R27" s="107">
        <f>MAX($C20:R20)</f>
        <v>158</v>
      </c>
      <c r="S27" s="107">
        <f>MAX($C20:S20)</f>
        <v>158</v>
      </c>
      <c r="T27" s="107">
        <f>MAX($C20:T20)</f>
        <v>158</v>
      </c>
      <c r="U27" s="107">
        <f>MAX($C20:U20)</f>
        <v>158</v>
      </c>
      <c r="V27" s="107">
        <f>MAX($C20:V20)</f>
        <v>158</v>
      </c>
      <c r="W27" s="107">
        <f>MAX($C20:W20)</f>
        <v>158</v>
      </c>
      <c r="X27" s="107">
        <f>MAX($C20:X20)</f>
        <v>158</v>
      </c>
    </row>
    <row r="28" spans="1:25" ht="13.15" x14ac:dyDescent="0.4">
      <c r="A28">
        <v>22</v>
      </c>
      <c r="B28" s="151" t="s">
        <v>78</v>
      </c>
      <c r="C28" s="19">
        <f>MAX(C21)</f>
        <v>78</v>
      </c>
      <c r="D28" s="107">
        <f>MAX($C21:D21)</f>
        <v>78</v>
      </c>
      <c r="E28" s="107">
        <f>MAX($C21:E21)</f>
        <v>78</v>
      </c>
      <c r="F28" s="107">
        <f>MAX($C21:F21)</f>
        <v>78</v>
      </c>
      <c r="G28" s="107">
        <f>MAX($C21:G21)</f>
        <v>78</v>
      </c>
      <c r="H28" s="107">
        <f>MAX($C21:H21)</f>
        <v>78</v>
      </c>
      <c r="I28" s="107">
        <f>MAX($C21:I21)</f>
        <v>78</v>
      </c>
      <c r="J28" s="107">
        <f>MAX($C21:J21)</f>
        <v>78</v>
      </c>
      <c r="K28" s="107">
        <f>MAX($C21:K21)</f>
        <v>78</v>
      </c>
      <c r="L28" s="107">
        <f>MAX($C21:L21)</f>
        <v>78</v>
      </c>
      <c r="M28" s="107">
        <f>MAX($C21:M21)</f>
        <v>78</v>
      </c>
      <c r="N28" s="107">
        <f>MAX($C21:N21)</f>
        <v>206</v>
      </c>
      <c r="O28" s="107">
        <f>MAX($C21:O21)</f>
        <v>206</v>
      </c>
      <c r="P28" s="107">
        <f>MAX($C21:P21)</f>
        <v>236</v>
      </c>
      <c r="Q28" s="107">
        <f>MAX($C21:Q21)</f>
        <v>236</v>
      </c>
      <c r="R28" s="107">
        <f>MAX($C21:R21)</f>
        <v>236</v>
      </c>
      <c r="S28" s="107">
        <f>MAX($C21:S21)</f>
        <v>236</v>
      </c>
      <c r="T28" s="107">
        <f>MAX($C21:T21)</f>
        <v>236</v>
      </c>
      <c r="U28" s="107">
        <f>MAX($C21:U21)</f>
        <v>236</v>
      </c>
      <c r="V28" s="107">
        <f>MAX($C21:V21)</f>
        <v>236</v>
      </c>
      <c r="W28" s="107">
        <f>MAX($C21:W21)</f>
        <v>236</v>
      </c>
      <c r="X28" s="107">
        <f>MAX($C21:X21)</f>
        <v>236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367</v>
      </c>
      <c r="O29" s="107">
        <f>MAX($C22:O22)</f>
        <v>367</v>
      </c>
      <c r="P29" s="107">
        <f>MAX($C22:P22)</f>
        <v>367</v>
      </c>
      <c r="Q29" s="107">
        <f>MAX($C22:Q22)</f>
        <v>367</v>
      </c>
      <c r="R29" s="107">
        <f>MAX($C22:R22)</f>
        <v>367</v>
      </c>
      <c r="S29" s="107">
        <f>MAX($C22:S22)</f>
        <v>367</v>
      </c>
      <c r="T29" s="107">
        <f>MAX($C22:T22)</f>
        <v>367</v>
      </c>
      <c r="U29" s="107">
        <f>MAX($C22:U22)</f>
        <v>367</v>
      </c>
      <c r="V29" s="107">
        <f>MAX($C22:V22)</f>
        <v>367</v>
      </c>
      <c r="W29" s="107">
        <f>MAX($C22:W22)</f>
        <v>367</v>
      </c>
      <c r="X29" s="107">
        <f>MAX($C22:X22)</f>
        <v>367</v>
      </c>
    </row>
    <row r="30" spans="1:25" ht="13.15" x14ac:dyDescent="0.4">
      <c r="A30">
        <v>24</v>
      </c>
      <c r="B30" s="151" t="s">
        <v>80</v>
      </c>
      <c r="C30" s="19">
        <f>MAX(C23)</f>
        <v>234</v>
      </c>
      <c r="D30" s="107">
        <f>MAX($C23:D23)</f>
        <v>234</v>
      </c>
      <c r="E30" s="107">
        <f>MAX($C23:E23)</f>
        <v>234</v>
      </c>
      <c r="F30" s="107">
        <f>MAX($C23:F23)</f>
        <v>234</v>
      </c>
      <c r="G30" s="107">
        <f>MAX($C23:G23)</f>
        <v>234</v>
      </c>
      <c r="H30" s="107">
        <f>MAX($C23:H23)</f>
        <v>234</v>
      </c>
      <c r="I30" s="107">
        <f>MAX($C23:I23)</f>
        <v>234</v>
      </c>
      <c r="J30" s="107">
        <f>MAX($C23:J23)</f>
        <v>234</v>
      </c>
      <c r="K30" s="107">
        <f>MAX($C23:K23)</f>
        <v>234</v>
      </c>
      <c r="L30" s="107">
        <f>MAX($C23:L23)</f>
        <v>234</v>
      </c>
      <c r="M30" s="107">
        <f>MAX($C23:M23)</f>
        <v>234</v>
      </c>
      <c r="N30" s="107">
        <f>MAX($C23:N23)</f>
        <v>601</v>
      </c>
      <c r="O30" s="107">
        <f>MAX($C23:O23)</f>
        <v>601</v>
      </c>
      <c r="P30" s="107">
        <f>MAX($C23:P23)</f>
        <v>601</v>
      </c>
      <c r="Q30" s="107">
        <f>MAX($C23:Q23)</f>
        <v>601</v>
      </c>
      <c r="R30" s="107">
        <f>MAX($C23:R23)</f>
        <v>601</v>
      </c>
      <c r="S30" s="107">
        <f>MAX($C23:S23)</f>
        <v>601</v>
      </c>
      <c r="T30" s="107">
        <f>MAX($C23:T23)</f>
        <v>601</v>
      </c>
      <c r="U30" s="107">
        <f>MAX($C23:U23)</f>
        <v>601</v>
      </c>
      <c r="V30" s="107">
        <f>MAX($C23:V23)</f>
        <v>601</v>
      </c>
      <c r="W30" s="107">
        <f>MAX($C23:W23)</f>
        <v>601</v>
      </c>
      <c r="X30" s="107">
        <f>MAX($C23:X23)</f>
        <v>601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181</v>
      </c>
      <c r="G2" s="203" t="s">
        <v>182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69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67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94</v>
      </c>
      <c r="E9">
        <v>97</v>
      </c>
      <c r="F9">
        <v>136</v>
      </c>
      <c r="G9">
        <v>128</v>
      </c>
      <c r="H9">
        <v>145</v>
      </c>
      <c r="L9">
        <v>148</v>
      </c>
      <c r="M9">
        <v>105</v>
      </c>
      <c r="N9">
        <v>145</v>
      </c>
      <c r="O9">
        <v>115</v>
      </c>
      <c r="P9">
        <v>90</v>
      </c>
      <c r="Q9">
        <v>145</v>
      </c>
      <c r="R9">
        <v>128</v>
      </c>
      <c r="S9">
        <v>137</v>
      </c>
      <c r="T9">
        <v>116</v>
      </c>
      <c r="V9">
        <v>135</v>
      </c>
    </row>
    <row r="10" spans="1:24" ht="13.15" x14ac:dyDescent="0.4">
      <c r="A10">
        <v>4</v>
      </c>
      <c r="B10" s="3" t="s">
        <v>15</v>
      </c>
      <c r="C10">
        <v>106</v>
      </c>
      <c r="E10">
        <v>125</v>
      </c>
      <c r="F10">
        <v>124</v>
      </c>
      <c r="G10">
        <v>129</v>
      </c>
      <c r="H10">
        <v>145</v>
      </c>
      <c r="L10">
        <v>148</v>
      </c>
      <c r="M10">
        <v>104</v>
      </c>
      <c r="N10">
        <v>102</v>
      </c>
      <c r="O10">
        <v>157</v>
      </c>
      <c r="P10">
        <v>133</v>
      </c>
      <c r="Q10">
        <v>133</v>
      </c>
      <c r="R10">
        <v>102</v>
      </c>
      <c r="S10">
        <v>95</v>
      </c>
      <c r="T10">
        <v>123</v>
      </c>
      <c r="V10">
        <v>150</v>
      </c>
    </row>
    <row r="11" spans="1:24" ht="13.15" x14ac:dyDescent="0.4">
      <c r="A11">
        <v>5</v>
      </c>
      <c r="B11" s="3" t="s">
        <v>16</v>
      </c>
      <c r="C11">
        <v>94</v>
      </c>
      <c r="F11">
        <v>142</v>
      </c>
      <c r="G11">
        <v>108</v>
      </c>
      <c r="N11">
        <v>105</v>
      </c>
      <c r="O11">
        <v>156</v>
      </c>
      <c r="P11">
        <v>84</v>
      </c>
      <c r="Q11">
        <v>105</v>
      </c>
      <c r="R11">
        <v>128</v>
      </c>
      <c r="T11">
        <v>157</v>
      </c>
      <c r="V11">
        <v>126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294</v>
      </c>
      <c r="D15" s="18">
        <f t="shared" si="2"/>
        <v>0</v>
      </c>
      <c r="E15" s="18">
        <f t="shared" si="2"/>
        <v>222</v>
      </c>
      <c r="F15" s="18">
        <f t="shared" si="2"/>
        <v>402</v>
      </c>
      <c r="G15" s="18">
        <f t="shared" si="2"/>
        <v>365</v>
      </c>
      <c r="H15" s="18">
        <f t="shared" si="2"/>
        <v>290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296</v>
      </c>
      <c r="M15" s="18">
        <f t="shared" si="2"/>
        <v>209</v>
      </c>
      <c r="N15" s="18">
        <f t="shared" si="2"/>
        <v>352</v>
      </c>
      <c r="O15" s="18">
        <f t="shared" si="2"/>
        <v>428</v>
      </c>
      <c r="P15" s="18">
        <f t="shared" si="2"/>
        <v>307</v>
      </c>
      <c r="Q15" s="18">
        <f t="shared" si="2"/>
        <v>383</v>
      </c>
      <c r="R15" s="18">
        <f t="shared" si="2"/>
        <v>358</v>
      </c>
      <c r="S15" s="18">
        <f t="shared" si="2"/>
        <v>232</v>
      </c>
      <c r="T15" s="18">
        <f t="shared" si="2"/>
        <v>396</v>
      </c>
      <c r="U15" s="18">
        <f t="shared" si="2"/>
        <v>0</v>
      </c>
      <c r="V15" s="18">
        <f t="shared" si="2"/>
        <v>411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294</v>
      </c>
      <c r="D16" s="19">
        <f t="shared" ref="D16:X16" si="3">+D15+C16</f>
        <v>294</v>
      </c>
      <c r="E16" s="19">
        <f t="shared" si="3"/>
        <v>516</v>
      </c>
      <c r="F16" s="19">
        <f t="shared" si="3"/>
        <v>918</v>
      </c>
      <c r="G16" s="19">
        <f t="shared" si="3"/>
        <v>1283</v>
      </c>
      <c r="H16" s="19">
        <f t="shared" si="3"/>
        <v>1573</v>
      </c>
      <c r="I16" s="19">
        <f t="shared" si="3"/>
        <v>1573</v>
      </c>
      <c r="J16" s="19">
        <f t="shared" si="3"/>
        <v>1573</v>
      </c>
      <c r="K16" s="19">
        <f t="shared" si="3"/>
        <v>1573</v>
      </c>
      <c r="L16" s="19">
        <f t="shared" si="3"/>
        <v>1869</v>
      </c>
      <c r="M16" s="19">
        <f t="shared" si="3"/>
        <v>2078</v>
      </c>
      <c r="N16" s="19">
        <f t="shared" si="3"/>
        <v>2430</v>
      </c>
      <c r="O16" s="19">
        <f t="shared" si="3"/>
        <v>2858</v>
      </c>
      <c r="P16" s="19">
        <f t="shared" si="3"/>
        <v>3165</v>
      </c>
      <c r="Q16" s="19">
        <f t="shared" si="3"/>
        <v>3548</v>
      </c>
      <c r="R16" s="19">
        <f t="shared" si="3"/>
        <v>3906</v>
      </c>
      <c r="S16" s="19">
        <f t="shared" si="3"/>
        <v>4138</v>
      </c>
      <c r="T16" s="19">
        <f t="shared" si="3"/>
        <v>4534</v>
      </c>
      <c r="U16" s="19">
        <f t="shared" si="3"/>
        <v>4534</v>
      </c>
      <c r="V16" s="19">
        <f t="shared" si="3"/>
        <v>4945</v>
      </c>
      <c r="W16" s="19">
        <f t="shared" si="3"/>
        <v>4945</v>
      </c>
      <c r="X16" s="19">
        <f t="shared" si="3"/>
        <v>4945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98</v>
      </c>
      <c r="D17" s="20">
        <f t="shared" si="4"/>
        <v>98</v>
      </c>
      <c r="E17" s="20">
        <f t="shared" si="4"/>
        <v>103.2</v>
      </c>
      <c r="F17" s="20">
        <f t="shared" si="4"/>
        <v>114.75</v>
      </c>
      <c r="G17" s="20">
        <f t="shared" si="4"/>
        <v>116.63636363636364</v>
      </c>
      <c r="H17" s="20">
        <f t="shared" si="4"/>
        <v>121</v>
      </c>
      <c r="I17" s="20">
        <f t="shared" si="4"/>
        <v>121</v>
      </c>
      <c r="J17" s="20">
        <f t="shared" si="4"/>
        <v>121</v>
      </c>
      <c r="K17" s="20">
        <f t="shared" si="4"/>
        <v>121</v>
      </c>
      <c r="L17" s="20">
        <f t="shared" si="4"/>
        <v>124.6</v>
      </c>
      <c r="M17" s="20">
        <f t="shared" si="4"/>
        <v>122.23529411764706</v>
      </c>
      <c r="N17" s="20">
        <f t="shared" si="4"/>
        <v>121.5</v>
      </c>
      <c r="O17" s="20">
        <f t="shared" si="4"/>
        <v>124.26086956521739</v>
      </c>
      <c r="P17" s="20">
        <f t="shared" si="4"/>
        <v>121.73076923076923</v>
      </c>
      <c r="Q17" s="20">
        <f t="shared" si="4"/>
        <v>122.34482758620689</v>
      </c>
      <c r="R17" s="20">
        <f t="shared" si="4"/>
        <v>122.0625</v>
      </c>
      <c r="S17" s="20">
        <f t="shared" si="4"/>
        <v>121.70588235294117</v>
      </c>
      <c r="T17" s="20">
        <f t="shared" si="4"/>
        <v>122.54054054054055</v>
      </c>
      <c r="U17" s="20">
        <f t="shared" si="4"/>
        <v>122.54054054054055</v>
      </c>
      <c r="V17" s="20">
        <f t="shared" si="4"/>
        <v>123.625</v>
      </c>
      <c r="W17" s="20">
        <f t="shared" si="4"/>
        <v>123.625</v>
      </c>
      <c r="X17" s="20">
        <f t="shared" si="4"/>
        <v>123.625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92</v>
      </c>
      <c r="D18" s="19">
        <f t="shared" si="5"/>
        <v>92</v>
      </c>
      <c r="E18" s="19">
        <f t="shared" si="5"/>
        <v>87</v>
      </c>
      <c r="F18" s="19">
        <f t="shared" si="5"/>
        <v>77</v>
      </c>
      <c r="G18" s="19">
        <f t="shared" si="5"/>
        <v>75</v>
      </c>
      <c r="H18" s="19">
        <f t="shared" si="5"/>
        <v>71</v>
      </c>
      <c r="I18" s="19">
        <f t="shared" si="5"/>
        <v>71</v>
      </c>
      <c r="J18" s="19">
        <f t="shared" si="5"/>
        <v>71</v>
      </c>
      <c r="K18" s="19">
        <f t="shared" si="5"/>
        <v>71</v>
      </c>
      <c r="L18" s="19">
        <f t="shared" si="5"/>
        <v>68</v>
      </c>
      <c r="M18" s="19">
        <f t="shared" si="5"/>
        <v>70</v>
      </c>
      <c r="N18" s="19">
        <f t="shared" si="5"/>
        <v>71</v>
      </c>
      <c r="O18" s="19">
        <f t="shared" si="5"/>
        <v>68</v>
      </c>
      <c r="P18" s="19">
        <f t="shared" si="5"/>
        <v>70</v>
      </c>
      <c r="Q18" s="19">
        <f t="shared" si="5"/>
        <v>70</v>
      </c>
      <c r="R18" s="19">
        <f t="shared" si="5"/>
        <v>70</v>
      </c>
      <c r="S18" s="19">
        <f t="shared" si="5"/>
        <v>70</v>
      </c>
      <c r="T18" s="19">
        <f t="shared" si="5"/>
        <v>70</v>
      </c>
      <c r="U18" s="19">
        <f t="shared" si="5"/>
        <v>70</v>
      </c>
      <c r="V18" s="19">
        <f t="shared" si="5"/>
        <v>69</v>
      </c>
      <c r="W18" s="19">
        <f t="shared" si="5"/>
        <v>69</v>
      </c>
      <c r="X18" s="19">
        <f t="shared" si="5"/>
        <v>69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3</v>
      </c>
      <c r="E19" s="19">
        <f t="shared" si="6"/>
        <v>5</v>
      </c>
      <c r="F19" s="19">
        <f t="shared" si="6"/>
        <v>8</v>
      </c>
      <c r="G19" s="19">
        <f t="shared" si="6"/>
        <v>11</v>
      </c>
      <c r="H19" s="19">
        <f t="shared" si="6"/>
        <v>13</v>
      </c>
      <c r="I19" s="19">
        <f t="shared" si="6"/>
        <v>13</v>
      </c>
      <c r="J19" s="19">
        <f t="shared" si="6"/>
        <v>13</v>
      </c>
      <c r="K19" s="19">
        <f t="shared" si="6"/>
        <v>13</v>
      </c>
      <c r="L19" s="19">
        <f t="shared" si="6"/>
        <v>15</v>
      </c>
      <c r="M19" s="19">
        <f t="shared" si="6"/>
        <v>17</v>
      </c>
      <c r="N19" s="19">
        <f t="shared" si="6"/>
        <v>20</v>
      </c>
      <c r="O19" s="19">
        <f t="shared" si="6"/>
        <v>23</v>
      </c>
      <c r="P19" s="19">
        <f t="shared" si="6"/>
        <v>26</v>
      </c>
      <c r="Q19" s="19">
        <f t="shared" si="6"/>
        <v>29</v>
      </c>
      <c r="R19" s="19">
        <f t="shared" si="6"/>
        <v>32</v>
      </c>
      <c r="S19" s="19">
        <f t="shared" si="6"/>
        <v>34</v>
      </c>
      <c r="T19" s="19">
        <f t="shared" si="6"/>
        <v>37</v>
      </c>
      <c r="U19" s="19">
        <f t="shared" si="6"/>
        <v>37</v>
      </c>
      <c r="V19" s="19">
        <f t="shared" si="6"/>
        <v>40</v>
      </c>
      <c r="W19" s="19">
        <f t="shared" si="6"/>
        <v>40</v>
      </c>
      <c r="X19" s="19">
        <f t="shared" si="6"/>
        <v>40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106</v>
      </c>
      <c r="D20" s="19">
        <f t="shared" si="7"/>
        <v>0</v>
      </c>
      <c r="E20" s="19">
        <f t="shared" si="7"/>
        <v>125</v>
      </c>
      <c r="F20" s="19">
        <f t="shared" si="7"/>
        <v>142</v>
      </c>
      <c r="G20" s="19">
        <f t="shared" si="7"/>
        <v>129</v>
      </c>
      <c r="H20" s="19">
        <f t="shared" si="7"/>
        <v>145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148</v>
      </c>
      <c r="M20" s="19">
        <f t="shared" si="7"/>
        <v>105</v>
      </c>
      <c r="N20" s="19">
        <f t="shared" si="7"/>
        <v>145</v>
      </c>
      <c r="O20" s="19">
        <f t="shared" si="7"/>
        <v>157</v>
      </c>
      <c r="P20" s="19">
        <f t="shared" si="7"/>
        <v>133</v>
      </c>
      <c r="Q20" s="19">
        <f t="shared" si="7"/>
        <v>145</v>
      </c>
      <c r="R20" s="19">
        <f t="shared" si="7"/>
        <v>128</v>
      </c>
      <c r="S20" s="19">
        <f t="shared" si="7"/>
        <v>137</v>
      </c>
      <c r="T20" s="19">
        <f t="shared" si="7"/>
        <v>157</v>
      </c>
      <c r="U20" s="19">
        <f t="shared" si="7"/>
        <v>0</v>
      </c>
      <c r="V20" s="19">
        <f t="shared" si="7"/>
        <v>150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173</v>
      </c>
      <c r="D21" s="19">
        <f>MAX(D$9:D$14)+$I$5</f>
        <v>67</v>
      </c>
      <c r="E21" s="19">
        <f>MAX(E$9:E$14)+$I$5</f>
        <v>192</v>
      </c>
      <c r="F21" s="19">
        <f t="shared" ref="F21:X21" si="8">MAX(F$9:F$14)+E18</f>
        <v>229</v>
      </c>
      <c r="G21" s="19">
        <f t="shared" si="8"/>
        <v>206</v>
      </c>
      <c r="H21" s="19">
        <f t="shared" si="8"/>
        <v>220</v>
      </c>
      <c r="I21" s="19">
        <f t="shared" si="8"/>
        <v>71</v>
      </c>
      <c r="J21" s="19">
        <f t="shared" si="8"/>
        <v>71</v>
      </c>
      <c r="K21" s="19">
        <f t="shared" si="8"/>
        <v>71</v>
      </c>
      <c r="L21" s="19">
        <f t="shared" si="8"/>
        <v>219</v>
      </c>
      <c r="M21" s="19">
        <f t="shared" si="8"/>
        <v>173</v>
      </c>
      <c r="N21" s="19">
        <f t="shared" si="8"/>
        <v>215</v>
      </c>
      <c r="O21" s="19">
        <f t="shared" si="8"/>
        <v>228</v>
      </c>
      <c r="P21" s="19">
        <f t="shared" si="8"/>
        <v>201</v>
      </c>
      <c r="Q21" s="19">
        <f t="shared" si="8"/>
        <v>215</v>
      </c>
      <c r="R21" s="19">
        <f t="shared" si="8"/>
        <v>198</v>
      </c>
      <c r="S21" s="19">
        <f t="shared" si="8"/>
        <v>207</v>
      </c>
      <c r="T21" s="19">
        <f t="shared" si="8"/>
        <v>227</v>
      </c>
      <c r="U21" s="19">
        <f t="shared" si="8"/>
        <v>70</v>
      </c>
      <c r="V21" s="19">
        <f t="shared" si="8"/>
        <v>220</v>
      </c>
      <c r="W21" s="19">
        <f t="shared" si="8"/>
        <v>69</v>
      </c>
      <c r="X21" s="19">
        <f t="shared" si="8"/>
        <v>69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294</v>
      </c>
      <c r="D22" s="19">
        <f t="shared" ref="D22:X22" si="9">MAX(SUM(D$9:D$11),SUM(D$12:D$14))</f>
        <v>0</v>
      </c>
      <c r="E22" s="19">
        <f t="shared" si="9"/>
        <v>222</v>
      </c>
      <c r="F22" s="19">
        <f t="shared" si="9"/>
        <v>402</v>
      </c>
      <c r="G22" s="19">
        <f t="shared" si="9"/>
        <v>365</v>
      </c>
      <c r="H22" s="19">
        <f t="shared" si="9"/>
        <v>290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296</v>
      </c>
      <c r="M22" s="19">
        <f t="shared" si="9"/>
        <v>209</v>
      </c>
      <c r="N22" s="19">
        <f t="shared" si="9"/>
        <v>352</v>
      </c>
      <c r="O22" s="19">
        <f t="shared" si="9"/>
        <v>428</v>
      </c>
      <c r="P22" s="19">
        <f t="shared" si="9"/>
        <v>307</v>
      </c>
      <c r="Q22" s="19">
        <f t="shared" si="9"/>
        <v>383</v>
      </c>
      <c r="R22" s="19">
        <f t="shared" si="9"/>
        <v>358</v>
      </c>
      <c r="S22" s="19">
        <f t="shared" si="9"/>
        <v>232</v>
      </c>
      <c r="T22" s="19">
        <f t="shared" si="9"/>
        <v>396</v>
      </c>
      <c r="U22" s="19">
        <f t="shared" si="9"/>
        <v>0</v>
      </c>
      <c r="V22" s="19">
        <f t="shared" si="9"/>
        <v>411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495</v>
      </c>
      <c r="D23" s="19">
        <f>MAX(SUM(D$9:D$11),SUM(D$12:D$14))+$I$5*3</f>
        <v>201</v>
      </c>
      <c r="E23" s="19">
        <f>MAX(SUM(E$9:E$11),SUM(E$12:E$14))+$I$5*3</f>
        <v>423</v>
      </c>
      <c r="F23" s="19">
        <f t="shared" ref="F23:X23" si="10">MAX(SUM(F$9:F$11),SUM(F$12:F$14))+E18*3</f>
        <v>663</v>
      </c>
      <c r="G23" s="19">
        <f t="shared" si="10"/>
        <v>596</v>
      </c>
      <c r="H23" s="19">
        <f t="shared" si="10"/>
        <v>515</v>
      </c>
      <c r="I23" s="19">
        <f t="shared" si="10"/>
        <v>213</v>
      </c>
      <c r="J23" s="19">
        <f t="shared" si="10"/>
        <v>213</v>
      </c>
      <c r="K23" s="19">
        <f t="shared" si="10"/>
        <v>213</v>
      </c>
      <c r="L23" s="19">
        <f t="shared" si="10"/>
        <v>509</v>
      </c>
      <c r="M23" s="19">
        <f t="shared" si="10"/>
        <v>413</v>
      </c>
      <c r="N23" s="19">
        <f t="shared" si="10"/>
        <v>562</v>
      </c>
      <c r="O23" s="19">
        <f t="shared" si="10"/>
        <v>641</v>
      </c>
      <c r="P23" s="19">
        <f t="shared" si="10"/>
        <v>511</v>
      </c>
      <c r="Q23" s="19">
        <f t="shared" si="10"/>
        <v>593</v>
      </c>
      <c r="R23" s="19">
        <f t="shared" si="10"/>
        <v>568</v>
      </c>
      <c r="S23" s="19">
        <f t="shared" si="10"/>
        <v>442</v>
      </c>
      <c r="T23" s="19">
        <f t="shared" si="10"/>
        <v>606</v>
      </c>
      <c r="U23" s="19">
        <f t="shared" si="10"/>
        <v>210</v>
      </c>
      <c r="V23" s="19">
        <f t="shared" si="10"/>
        <v>621</v>
      </c>
      <c r="W23" s="19">
        <f t="shared" si="10"/>
        <v>207</v>
      </c>
      <c r="X23" s="19">
        <f t="shared" si="10"/>
        <v>207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106</v>
      </c>
      <c r="D27" s="107">
        <f>MAX($C20:D20)</f>
        <v>106</v>
      </c>
      <c r="E27" s="107">
        <f>MAX($C20:E20)</f>
        <v>125</v>
      </c>
      <c r="F27" s="107">
        <f>MAX($C20:F20)</f>
        <v>142</v>
      </c>
      <c r="G27" s="107">
        <f>MAX($C20:G20)</f>
        <v>142</v>
      </c>
      <c r="H27" s="107">
        <f>MAX($C20:H20)</f>
        <v>145</v>
      </c>
      <c r="I27" s="107">
        <f>MAX($C20:I20)</f>
        <v>145</v>
      </c>
      <c r="J27" s="107">
        <f>MAX($C20:J20)</f>
        <v>145</v>
      </c>
      <c r="K27" s="107">
        <f>MAX($C20:K20)</f>
        <v>145</v>
      </c>
      <c r="L27" s="107">
        <f>MAX($C20:L20)</f>
        <v>148</v>
      </c>
      <c r="M27" s="107">
        <f>MAX($C20:M20)</f>
        <v>148</v>
      </c>
      <c r="N27" s="107">
        <f>MAX($C20:N20)</f>
        <v>148</v>
      </c>
      <c r="O27" s="107">
        <f>MAX($C20:O20)</f>
        <v>157</v>
      </c>
      <c r="P27" s="107">
        <f>MAX($C20:P20)</f>
        <v>157</v>
      </c>
      <c r="Q27" s="107">
        <f>MAX($C20:Q20)</f>
        <v>157</v>
      </c>
      <c r="R27" s="107">
        <f>MAX($C20:R20)</f>
        <v>157</v>
      </c>
      <c r="S27" s="107">
        <f>MAX($C20:S20)</f>
        <v>157</v>
      </c>
      <c r="T27" s="107">
        <f>MAX($C20:T20)</f>
        <v>157</v>
      </c>
      <c r="U27" s="107">
        <f>MAX($C20:U20)</f>
        <v>157</v>
      </c>
      <c r="V27" s="107">
        <f>MAX($C20:V20)</f>
        <v>157</v>
      </c>
      <c r="W27" s="107">
        <f>MAX($C20:W20)</f>
        <v>157</v>
      </c>
      <c r="X27" s="107">
        <f>MAX($C20:X20)</f>
        <v>157</v>
      </c>
    </row>
    <row r="28" spans="1:25" ht="13.15" x14ac:dyDescent="0.4">
      <c r="A28">
        <v>22</v>
      </c>
      <c r="B28" s="151" t="s">
        <v>78</v>
      </c>
      <c r="C28" s="19">
        <f>MAX(C21)</f>
        <v>173</v>
      </c>
      <c r="D28" s="107">
        <f>MAX($C21:D21)</f>
        <v>173</v>
      </c>
      <c r="E28" s="107">
        <f>MAX($C21:E21)</f>
        <v>192</v>
      </c>
      <c r="F28" s="107">
        <f>MAX($C21:F21)</f>
        <v>229</v>
      </c>
      <c r="G28" s="107">
        <f>MAX($C21:G21)</f>
        <v>229</v>
      </c>
      <c r="H28" s="107">
        <f>MAX($C21:H21)</f>
        <v>229</v>
      </c>
      <c r="I28" s="107">
        <f>MAX($C21:I21)</f>
        <v>229</v>
      </c>
      <c r="J28" s="107">
        <f>MAX($C21:J21)</f>
        <v>229</v>
      </c>
      <c r="K28" s="107">
        <f>MAX($C21:K21)</f>
        <v>229</v>
      </c>
      <c r="L28" s="107">
        <f>MAX($C21:L21)</f>
        <v>229</v>
      </c>
      <c r="M28" s="107">
        <f>MAX($C21:M21)</f>
        <v>229</v>
      </c>
      <c r="N28" s="107">
        <f>MAX($C21:N21)</f>
        <v>229</v>
      </c>
      <c r="O28" s="107">
        <f>MAX($C21:O21)</f>
        <v>229</v>
      </c>
      <c r="P28" s="107">
        <f>MAX($C21:P21)</f>
        <v>229</v>
      </c>
      <c r="Q28" s="107">
        <f>MAX($C21:Q21)</f>
        <v>229</v>
      </c>
      <c r="R28" s="107">
        <f>MAX($C21:R21)</f>
        <v>229</v>
      </c>
      <c r="S28" s="107">
        <f>MAX($C21:S21)</f>
        <v>229</v>
      </c>
      <c r="T28" s="107">
        <f>MAX($C21:T21)</f>
        <v>229</v>
      </c>
      <c r="U28" s="107">
        <f>MAX($C21:U21)</f>
        <v>229</v>
      </c>
      <c r="V28" s="107">
        <f>MAX($C21:V21)</f>
        <v>229</v>
      </c>
      <c r="W28" s="107">
        <f>MAX($C21:W21)</f>
        <v>229</v>
      </c>
      <c r="X28" s="107">
        <f>MAX($C21:X21)</f>
        <v>229</v>
      </c>
    </row>
    <row r="29" spans="1:25" ht="26.25" x14ac:dyDescent="0.4">
      <c r="A29">
        <v>23</v>
      </c>
      <c r="B29" s="151" t="s">
        <v>79</v>
      </c>
      <c r="C29" s="19">
        <f>MAX(C22)</f>
        <v>294</v>
      </c>
      <c r="D29" s="107">
        <f>MAX($C22:D22)</f>
        <v>294</v>
      </c>
      <c r="E29" s="107">
        <f>MAX($C22:E22)</f>
        <v>294</v>
      </c>
      <c r="F29" s="107">
        <f>MAX($C22:F22)</f>
        <v>402</v>
      </c>
      <c r="G29" s="107">
        <f>MAX($C22:G22)</f>
        <v>402</v>
      </c>
      <c r="H29" s="107">
        <f>MAX($C22:H22)</f>
        <v>402</v>
      </c>
      <c r="I29" s="107">
        <f>MAX($C22:I22)</f>
        <v>402</v>
      </c>
      <c r="J29" s="107">
        <f>MAX($C22:J22)</f>
        <v>402</v>
      </c>
      <c r="K29" s="107">
        <f>MAX($C22:K22)</f>
        <v>402</v>
      </c>
      <c r="L29" s="107">
        <f>MAX($C22:L22)</f>
        <v>402</v>
      </c>
      <c r="M29" s="107">
        <f>MAX($C22:M22)</f>
        <v>402</v>
      </c>
      <c r="N29" s="107">
        <f>MAX($C22:N22)</f>
        <v>402</v>
      </c>
      <c r="O29" s="107">
        <f>MAX($C22:O22)</f>
        <v>428</v>
      </c>
      <c r="P29" s="107">
        <f>MAX($C22:P22)</f>
        <v>428</v>
      </c>
      <c r="Q29" s="107">
        <f>MAX($C22:Q22)</f>
        <v>428</v>
      </c>
      <c r="R29" s="107">
        <f>MAX($C22:R22)</f>
        <v>428</v>
      </c>
      <c r="S29" s="107">
        <f>MAX($C22:S22)</f>
        <v>428</v>
      </c>
      <c r="T29" s="107">
        <f>MAX($C22:T22)</f>
        <v>428</v>
      </c>
      <c r="U29" s="107">
        <f>MAX($C22:U22)</f>
        <v>428</v>
      </c>
      <c r="V29" s="107">
        <f>MAX($C22:V22)</f>
        <v>428</v>
      </c>
      <c r="W29" s="107">
        <f>MAX($C22:W22)</f>
        <v>428</v>
      </c>
      <c r="X29" s="107">
        <f>MAX($C22:X22)</f>
        <v>428</v>
      </c>
    </row>
    <row r="30" spans="1:25" ht="13.15" x14ac:dyDescent="0.4">
      <c r="A30">
        <v>24</v>
      </c>
      <c r="B30" s="151" t="s">
        <v>80</v>
      </c>
      <c r="C30" s="19">
        <f>MAX(C23)</f>
        <v>495</v>
      </c>
      <c r="D30" s="107">
        <f>MAX($C23:D23)</f>
        <v>495</v>
      </c>
      <c r="E30" s="107">
        <f>MAX($C23:E23)</f>
        <v>495</v>
      </c>
      <c r="F30" s="107">
        <f>MAX($C23:F23)</f>
        <v>663</v>
      </c>
      <c r="G30" s="107">
        <f>MAX($C23:G23)</f>
        <v>663</v>
      </c>
      <c r="H30" s="107">
        <f>MAX($C23:H23)</f>
        <v>663</v>
      </c>
      <c r="I30" s="107">
        <f>MAX($C23:I23)</f>
        <v>663</v>
      </c>
      <c r="J30" s="107">
        <f>MAX($C23:J23)</f>
        <v>663</v>
      </c>
      <c r="K30" s="107">
        <f>MAX($C23:K23)</f>
        <v>663</v>
      </c>
      <c r="L30" s="107">
        <f>MAX($C23:L23)</f>
        <v>663</v>
      </c>
      <c r="M30" s="107">
        <f>MAX($C23:M23)</f>
        <v>663</v>
      </c>
      <c r="N30" s="107">
        <f>MAX($C23:N23)</f>
        <v>663</v>
      </c>
      <c r="O30" s="107">
        <f>MAX($C23:O23)</f>
        <v>663</v>
      </c>
      <c r="P30" s="107">
        <f>MAX($C23:P23)</f>
        <v>663</v>
      </c>
      <c r="Q30" s="107">
        <f>MAX($C23:Q23)</f>
        <v>663</v>
      </c>
      <c r="R30" s="107">
        <f>MAX($C23:R23)</f>
        <v>663</v>
      </c>
      <c r="S30" s="107">
        <f>MAX($C23:S23)</f>
        <v>663</v>
      </c>
      <c r="T30" s="107">
        <f>MAX($C23:T23)</f>
        <v>663</v>
      </c>
      <c r="U30" s="107">
        <f>MAX($C23:U23)</f>
        <v>663</v>
      </c>
      <c r="V30" s="107">
        <f>MAX($C23:V23)</f>
        <v>663</v>
      </c>
      <c r="W30" s="107">
        <f>MAX($C23:W23)</f>
        <v>663</v>
      </c>
      <c r="X30" s="107">
        <f>MAX($C23:X23)</f>
        <v>663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15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154</v>
      </c>
      <c r="G2" s="203" t="s">
        <v>17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63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53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153</v>
      </c>
      <c r="E9">
        <v>133</v>
      </c>
    </row>
    <row r="10" spans="1:24" ht="13.15" x14ac:dyDescent="0.4">
      <c r="A10">
        <v>4</v>
      </c>
      <c r="B10" s="3" t="s">
        <v>15</v>
      </c>
      <c r="C10">
        <v>116</v>
      </c>
      <c r="E10">
        <v>119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269</v>
      </c>
      <c r="D15" s="18">
        <f t="shared" si="2"/>
        <v>0</v>
      </c>
      <c r="E15" s="18">
        <f t="shared" si="2"/>
        <v>252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269</v>
      </c>
      <c r="D16" s="19">
        <f t="shared" ref="D16:X16" si="3">+D15+C16</f>
        <v>269</v>
      </c>
      <c r="E16" s="19">
        <f t="shared" si="3"/>
        <v>521</v>
      </c>
      <c r="F16" s="19">
        <f t="shared" si="3"/>
        <v>521</v>
      </c>
      <c r="G16" s="19">
        <f t="shared" si="3"/>
        <v>521</v>
      </c>
      <c r="H16" s="19">
        <f t="shared" si="3"/>
        <v>521</v>
      </c>
      <c r="I16" s="19">
        <f t="shared" si="3"/>
        <v>521</v>
      </c>
      <c r="J16" s="19">
        <f t="shared" si="3"/>
        <v>521</v>
      </c>
      <c r="K16" s="19">
        <f t="shared" si="3"/>
        <v>521</v>
      </c>
      <c r="L16" s="19">
        <f t="shared" si="3"/>
        <v>521</v>
      </c>
      <c r="M16" s="19">
        <f t="shared" si="3"/>
        <v>521</v>
      </c>
      <c r="N16" s="19">
        <f t="shared" si="3"/>
        <v>521</v>
      </c>
      <c r="O16" s="19">
        <f t="shared" si="3"/>
        <v>521</v>
      </c>
      <c r="P16" s="19">
        <f t="shared" si="3"/>
        <v>521</v>
      </c>
      <c r="Q16" s="19">
        <f t="shared" si="3"/>
        <v>521</v>
      </c>
      <c r="R16" s="19">
        <f t="shared" si="3"/>
        <v>521</v>
      </c>
      <c r="S16" s="19">
        <f t="shared" si="3"/>
        <v>521</v>
      </c>
      <c r="T16" s="19">
        <f t="shared" si="3"/>
        <v>521</v>
      </c>
      <c r="U16" s="19">
        <f t="shared" si="3"/>
        <v>521</v>
      </c>
      <c r="V16" s="19">
        <f t="shared" si="3"/>
        <v>521</v>
      </c>
      <c r="W16" s="19">
        <f t="shared" si="3"/>
        <v>521</v>
      </c>
      <c r="X16" s="19">
        <f t="shared" si="3"/>
        <v>521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134.5</v>
      </c>
      <c r="D17" s="20">
        <f t="shared" si="4"/>
        <v>134.5</v>
      </c>
      <c r="E17" s="20">
        <f t="shared" si="4"/>
        <v>130.25</v>
      </c>
      <c r="F17" s="20">
        <f t="shared" si="4"/>
        <v>130.25</v>
      </c>
      <c r="G17" s="20">
        <f t="shared" si="4"/>
        <v>130.25</v>
      </c>
      <c r="H17" s="20">
        <f t="shared" si="4"/>
        <v>130.25</v>
      </c>
      <c r="I17" s="20">
        <f t="shared" si="4"/>
        <v>130.25</v>
      </c>
      <c r="J17" s="20">
        <f t="shared" si="4"/>
        <v>130.25</v>
      </c>
      <c r="K17" s="20">
        <f t="shared" si="4"/>
        <v>130.25</v>
      </c>
      <c r="L17" s="20">
        <f t="shared" si="4"/>
        <v>130.25</v>
      </c>
      <c r="M17" s="20">
        <f t="shared" si="4"/>
        <v>130.25</v>
      </c>
      <c r="N17" s="20">
        <f t="shared" si="4"/>
        <v>130.25</v>
      </c>
      <c r="O17" s="20">
        <f t="shared" si="4"/>
        <v>130.25</v>
      </c>
      <c r="P17" s="20">
        <f t="shared" si="4"/>
        <v>130.25</v>
      </c>
      <c r="Q17" s="20">
        <f t="shared" si="4"/>
        <v>130.25</v>
      </c>
      <c r="R17" s="20">
        <f t="shared" si="4"/>
        <v>130.25</v>
      </c>
      <c r="S17" s="20">
        <f t="shared" si="4"/>
        <v>130.25</v>
      </c>
      <c r="T17" s="20">
        <f t="shared" si="4"/>
        <v>130.25</v>
      </c>
      <c r="U17" s="20">
        <f t="shared" si="4"/>
        <v>130.25</v>
      </c>
      <c r="V17" s="20">
        <f t="shared" si="4"/>
        <v>130.25</v>
      </c>
      <c r="W17" s="20">
        <f t="shared" si="4"/>
        <v>130.25</v>
      </c>
      <c r="X17" s="20">
        <f t="shared" si="4"/>
        <v>130.25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59</v>
      </c>
      <c r="D18" s="19">
        <f t="shared" si="5"/>
        <v>59</v>
      </c>
      <c r="E18" s="19">
        <f t="shared" si="5"/>
        <v>63</v>
      </c>
      <c r="F18" s="19">
        <f t="shared" si="5"/>
        <v>63</v>
      </c>
      <c r="G18" s="19">
        <f t="shared" si="5"/>
        <v>63</v>
      </c>
      <c r="H18" s="19">
        <f t="shared" si="5"/>
        <v>63</v>
      </c>
      <c r="I18" s="19">
        <f t="shared" si="5"/>
        <v>63</v>
      </c>
      <c r="J18" s="19">
        <f t="shared" si="5"/>
        <v>63</v>
      </c>
      <c r="K18" s="19">
        <f t="shared" si="5"/>
        <v>63</v>
      </c>
      <c r="L18" s="19">
        <f t="shared" si="5"/>
        <v>63</v>
      </c>
      <c r="M18" s="19">
        <f t="shared" si="5"/>
        <v>63</v>
      </c>
      <c r="N18" s="19">
        <f t="shared" si="5"/>
        <v>63</v>
      </c>
      <c r="O18" s="19">
        <f t="shared" si="5"/>
        <v>63</v>
      </c>
      <c r="P18" s="19">
        <f t="shared" si="5"/>
        <v>63</v>
      </c>
      <c r="Q18" s="19">
        <f t="shared" si="5"/>
        <v>63</v>
      </c>
      <c r="R18" s="19">
        <f t="shared" si="5"/>
        <v>63</v>
      </c>
      <c r="S18" s="19">
        <f t="shared" si="5"/>
        <v>63</v>
      </c>
      <c r="T18" s="19">
        <f t="shared" si="5"/>
        <v>63</v>
      </c>
      <c r="U18" s="19">
        <f t="shared" si="5"/>
        <v>63</v>
      </c>
      <c r="V18" s="19">
        <f t="shared" si="5"/>
        <v>63</v>
      </c>
      <c r="W18" s="19">
        <f t="shared" si="5"/>
        <v>63</v>
      </c>
      <c r="X18" s="19">
        <f t="shared" si="5"/>
        <v>63</v>
      </c>
    </row>
    <row r="19" spans="1:25" ht="13.15" x14ac:dyDescent="0.4">
      <c r="A19">
        <v>13</v>
      </c>
      <c r="B19" s="4" t="s">
        <v>9</v>
      </c>
      <c r="C19" s="19">
        <f>COUNT(C9:C14)</f>
        <v>2</v>
      </c>
      <c r="D19" s="19">
        <f t="shared" ref="D19:X19" si="6">COUNT(D9:D14)+C19</f>
        <v>2</v>
      </c>
      <c r="E19" s="19">
        <f t="shared" si="6"/>
        <v>4</v>
      </c>
      <c r="F19" s="19">
        <f t="shared" si="6"/>
        <v>4</v>
      </c>
      <c r="G19" s="19">
        <f t="shared" si="6"/>
        <v>4</v>
      </c>
      <c r="H19" s="19">
        <f t="shared" si="6"/>
        <v>4</v>
      </c>
      <c r="I19" s="19">
        <f t="shared" si="6"/>
        <v>4</v>
      </c>
      <c r="J19" s="19">
        <f t="shared" si="6"/>
        <v>4</v>
      </c>
      <c r="K19" s="19">
        <f t="shared" si="6"/>
        <v>4</v>
      </c>
      <c r="L19" s="19">
        <f t="shared" si="6"/>
        <v>4</v>
      </c>
      <c r="M19" s="19">
        <f t="shared" si="6"/>
        <v>4</v>
      </c>
      <c r="N19" s="19">
        <f t="shared" si="6"/>
        <v>4</v>
      </c>
      <c r="O19" s="19">
        <f t="shared" si="6"/>
        <v>4</v>
      </c>
      <c r="P19" s="19">
        <f t="shared" si="6"/>
        <v>4</v>
      </c>
      <c r="Q19" s="19">
        <f t="shared" si="6"/>
        <v>4</v>
      </c>
      <c r="R19" s="19">
        <f t="shared" si="6"/>
        <v>4</v>
      </c>
      <c r="S19" s="19">
        <f t="shared" si="6"/>
        <v>4</v>
      </c>
      <c r="T19" s="19">
        <f t="shared" si="6"/>
        <v>4</v>
      </c>
      <c r="U19" s="19">
        <f t="shared" si="6"/>
        <v>4</v>
      </c>
      <c r="V19" s="19">
        <f t="shared" si="6"/>
        <v>4</v>
      </c>
      <c r="W19" s="19">
        <f t="shared" si="6"/>
        <v>4</v>
      </c>
      <c r="X19" s="19">
        <f t="shared" si="6"/>
        <v>4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153</v>
      </c>
      <c r="D20" s="19">
        <f t="shared" si="7"/>
        <v>0</v>
      </c>
      <c r="E20" s="19">
        <f t="shared" si="7"/>
        <v>133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206</v>
      </c>
      <c r="D21" s="19">
        <f>MAX(D$9:D$14)+$I$5</f>
        <v>53</v>
      </c>
      <c r="E21" s="19">
        <f>MAX(E$9:E$14)+$I$5</f>
        <v>186</v>
      </c>
      <c r="F21" s="19">
        <f t="shared" ref="F21:X21" si="8">MAX(F$9:F$14)+E18</f>
        <v>63</v>
      </c>
      <c r="G21" s="19">
        <f t="shared" si="8"/>
        <v>63</v>
      </c>
      <c r="H21" s="19">
        <f t="shared" si="8"/>
        <v>63</v>
      </c>
      <c r="I21" s="19">
        <f t="shared" si="8"/>
        <v>63</v>
      </c>
      <c r="J21" s="19">
        <f t="shared" si="8"/>
        <v>63</v>
      </c>
      <c r="K21" s="19">
        <f t="shared" si="8"/>
        <v>63</v>
      </c>
      <c r="L21" s="19">
        <f t="shared" si="8"/>
        <v>63</v>
      </c>
      <c r="M21" s="19">
        <f t="shared" si="8"/>
        <v>63</v>
      </c>
      <c r="N21" s="19">
        <f t="shared" si="8"/>
        <v>63</v>
      </c>
      <c r="O21" s="19">
        <f t="shared" si="8"/>
        <v>63</v>
      </c>
      <c r="P21" s="19">
        <f t="shared" si="8"/>
        <v>63</v>
      </c>
      <c r="Q21" s="19">
        <f t="shared" si="8"/>
        <v>63</v>
      </c>
      <c r="R21" s="19">
        <f t="shared" si="8"/>
        <v>63</v>
      </c>
      <c r="S21" s="19">
        <f t="shared" si="8"/>
        <v>63</v>
      </c>
      <c r="T21" s="19">
        <f t="shared" si="8"/>
        <v>63</v>
      </c>
      <c r="U21" s="19">
        <f t="shared" si="8"/>
        <v>63</v>
      </c>
      <c r="V21" s="19">
        <f t="shared" si="8"/>
        <v>63</v>
      </c>
      <c r="W21" s="19">
        <f t="shared" si="8"/>
        <v>63</v>
      </c>
      <c r="X21" s="19">
        <f t="shared" si="8"/>
        <v>63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269</v>
      </c>
      <c r="D22" s="19">
        <f t="shared" ref="D22:X22" si="9">MAX(SUM(D$9:D$11),SUM(D$12:D$14))</f>
        <v>0</v>
      </c>
      <c r="E22" s="19">
        <f t="shared" si="9"/>
        <v>252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428</v>
      </c>
      <c r="D23" s="19">
        <f>MAX(SUM(D$9:D$11),SUM(D$12:D$14))+$I$5*3</f>
        <v>159</v>
      </c>
      <c r="E23" s="19">
        <f>MAX(SUM(E$9:E$11),SUM(E$12:E$14))+$I$5*3</f>
        <v>411</v>
      </c>
      <c r="F23" s="19">
        <f t="shared" ref="F23:X23" si="10">MAX(SUM(F$9:F$11),SUM(F$12:F$14))+E18*3</f>
        <v>189</v>
      </c>
      <c r="G23" s="19">
        <f t="shared" si="10"/>
        <v>189</v>
      </c>
      <c r="H23" s="19">
        <f t="shared" si="10"/>
        <v>189</v>
      </c>
      <c r="I23" s="19">
        <f t="shared" si="10"/>
        <v>189</v>
      </c>
      <c r="J23" s="19">
        <f t="shared" si="10"/>
        <v>189</v>
      </c>
      <c r="K23" s="19">
        <f t="shared" si="10"/>
        <v>189</v>
      </c>
      <c r="L23" s="19">
        <f t="shared" si="10"/>
        <v>189</v>
      </c>
      <c r="M23" s="19">
        <f t="shared" si="10"/>
        <v>189</v>
      </c>
      <c r="N23" s="19">
        <f t="shared" si="10"/>
        <v>189</v>
      </c>
      <c r="O23" s="19">
        <f t="shared" si="10"/>
        <v>189</v>
      </c>
      <c r="P23" s="19">
        <f t="shared" si="10"/>
        <v>189</v>
      </c>
      <c r="Q23" s="19">
        <f t="shared" si="10"/>
        <v>189</v>
      </c>
      <c r="R23" s="19">
        <f t="shared" si="10"/>
        <v>189</v>
      </c>
      <c r="S23" s="19">
        <f t="shared" si="10"/>
        <v>189</v>
      </c>
      <c r="T23" s="19">
        <f t="shared" si="10"/>
        <v>189</v>
      </c>
      <c r="U23" s="19">
        <f t="shared" si="10"/>
        <v>189</v>
      </c>
      <c r="V23" s="19">
        <f t="shared" si="10"/>
        <v>189</v>
      </c>
      <c r="W23" s="19">
        <f t="shared" si="10"/>
        <v>189</v>
      </c>
      <c r="X23" s="19">
        <f t="shared" si="10"/>
        <v>189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153</v>
      </c>
      <c r="D27" s="107">
        <f>MAX($C20:D20)</f>
        <v>153</v>
      </c>
      <c r="E27" s="107">
        <f>MAX($C20:E20)</f>
        <v>153</v>
      </c>
      <c r="F27" s="107">
        <f>MAX($C20:F20)</f>
        <v>153</v>
      </c>
      <c r="G27" s="107">
        <f>MAX($C20:G20)</f>
        <v>153</v>
      </c>
      <c r="H27" s="107">
        <f>MAX($C20:H20)</f>
        <v>153</v>
      </c>
      <c r="I27" s="107">
        <f>MAX($C20:I20)</f>
        <v>153</v>
      </c>
      <c r="J27" s="107">
        <f>MAX($C20:J20)</f>
        <v>153</v>
      </c>
      <c r="K27" s="107">
        <f>MAX($C20:K20)</f>
        <v>153</v>
      </c>
      <c r="L27" s="107">
        <f>MAX($C20:L20)</f>
        <v>153</v>
      </c>
      <c r="M27" s="107">
        <f>MAX($C20:M20)</f>
        <v>153</v>
      </c>
      <c r="N27" s="107">
        <f>MAX($C20:N20)</f>
        <v>153</v>
      </c>
      <c r="O27" s="107">
        <f>MAX($C20:O20)</f>
        <v>153</v>
      </c>
      <c r="P27" s="107">
        <f>MAX($C20:P20)</f>
        <v>153</v>
      </c>
      <c r="Q27" s="107">
        <f>MAX($C20:Q20)</f>
        <v>153</v>
      </c>
      <c r="R27" s="107">
        <f>MAX($C20:R20)</f>
        <v>153</v>
      </c>
      <c r="S27" s="107">
        <f>MAX($C20:S20)</f>
        <v>153</v>
      </c>
      <c r="T27" s="107">
        <f>MAX($C20:T20)</f>
        <v>153</v>
      </c>
      <c r="U27" s="107">
        <f>MAX($C20:U20)</f>
        <v>153</v>
      </c>
      <c r="V27" s="107">
        <f>MAX($C20:V20)</f>
        <v>153</v>
      </c>
      <c r="W27" s="107">
        <f>MAX($C20:W20)</f>
        <v>153</v>
      </c>
      <c r="X27" s="107">
        <f>MAX($C20:X20)</f>
        <v>153</v>
      </c>
    </row>
    <row r="28" spans="1:25" ht="13.15" x14ac:dyDescent="0.4">
      <c r="A28">
        <v>22</v>
      </c>
      <c r="B28" s="151" t="s">
        <v>78</v>
      </c>
      <c r="C28" s="19">
        <f>MAX(C21)</f>
        <v>206</v>
      </c>
      <c r="D28" s="107">
        <f>MAX($C21:D21)</f>
        <v>206</v>
      </c>
      <c r="E28" s="107">
        <f>MAX($C21:E21)</f>
        <v>206</v>
      </c>
      <c r="F28" s="107">
        <f>MAX($C21:F21)</f>
        <v>206</v>
      </c>
      <c r="G28" s="107">
        <f>MAX($C21:G21)</f>
        <v>206</v>
      </c>
      <c r="H28" s="107">
        <f>MAX($C21:H21)</f>
        <v>206</v>
      </c>
      <c r="I28" s="107">
        <f>MAX($C21:I21)</f>
        <v>206</v>
      </c>
      <c r="J28" s="107">
        <f>MAX($C21:J21)</f>
        <v>206</v>
      </c>
      <c r="K28" s="107">
        <f>MAX($C21:K21)</f>
        <v>206</v>
      </c>
      <c r="L28" s="107">
        <f>MAX($C21:L21)</f>
        <v>206</v>
      </c>
      <c r="M28" s="107">
        <f>MAX($C21:M21)</f>
        <v>206</v>
      </c>
      <c r="N28" s="107">
        <f>MAX($C21:N21)</f>
        <v>206</v>
      </c>
      <c r="O28" s="107">
        <f>MAX($C21:O21)</f>
        <v>206</v>
      </c>
      <c r="P28" s="107">
        <f>MAX($C21:P21)</f>
        <v>206</v>
      </c>
      <c r="Q28" s="107">
        <f>MAX($C21:Q21)</f>
        <v>206</v>
      </c>
      <c r="R28" s="107">
        <f>MAX($C21:R21)</f>
        <v>206</v>
      </c>
      <c r="S28" s="107">
        <f>MAX($C21:S21)</f>
        <v>206</v>
      </c>
      <c r="T28" s="107">
        <f>MAX($C21:T21)</f>
        <v>206</v>
      </c>
      <c r="U28" s="107">
        <f>MAX($C21:U21)</f>
        <v>206</v>
      </c>
      <c r="V28" s="107">
        <f>MAX($C21:V21)</f>
        <v>206</v>
      </c>
      <c r="W28" s="107">
        <f>MAX($C21:W21)</f>
        <v>206</v>
      </c>
      <c r="X28" s="107">
        <f>MAX($C21:X21)</f>
        <v>206</v>
      </c>
    </row>
    <row r="29" spans="1:25" ht="26.25" x14ac:dyDescent="0.4">
      <c r="A29">
        <v>23</v>
      </c>
      <c r="B29" s="151" t="s">
        <v>79</v>
      </c>
      <c r="C29" s="19">
        <f>MAX(C22)</f>
        <v>269</v>
      </c>
      <c r="D29" s="107">
        <f>MAX($C22:D22)</f>
        <v>269</v>
      </c>
      <c r="E29" s="107">
        <f>MAX($C22:E22)</f>
        <v>269</v>
      </c>
      <c r="F29" s="107">
        <f>MAX($C22:F22)</f>
        <v>269</v>
      </c>
      <c r="G29" s="107">
        <f>MAX($C22:G22)</f>
        <v>269</v>
      </c>
      <c r="H29" s="107">
        <f>MAX($C22:H22)</f>
        <v>269</v>
      </c>
      <c r="I29" s="107">
        <f>MAX($C22:I22)</f>
        <v>269</v>
      </c>
      <c r="J29" s="107">
        <f>MAX($C22:J22)</f>
        <v>269</v>
      </c>
      <c r="K29" s="107">
        <f>MAX($C22:K22)</f>
        <v>269</v>
      </c>
      <c r="L29" s="107">
        <f>MAX($C22:L22)</f>
        <v>269</v>
      </c>
      <c r="M29" s="107">
        <f>MAX($C22:M22)</f>
        <v>269</v>
      </c>
      <c r="N29" s="107">
        <f>MAX($C22:N22)</f>
        <v>269</v>
      </c>
      <c r="O29" s="107">
        <f>MAX($C22:O22)</f>
        <v>269</v>
      </c>
      <c r="P29" s="107">
        <f>MAX($C22:P22)</f>
        <v>269</v>
      </c>
      <c r="Q29" s="107">
        <f>MAX($C22:Q22)</f>
        <v>269</v>
      </c>
      <c r="R29" s="107">
        <f>MAX($C22:R22)</f>
        <v>269</v>
      </c>
      <c r="S29" s="107">
        <f>MAX($C22:S22)</f>
        <v>269</v>
      </c>
      <c r="T29" s="107">
        <f>MAX($C22:T22)</f>
        <v>269</v>
      </c>
      <c r="U29" s="107">
        <f>MAX($C22:U22)</f>
        <v>269</v>
      </c>
      <c r="V29" s="107">
        <f>MAX($C22:V22)</f>
        <v>269</v>
      </c>
      <c r="W29" s="107">
        <f>MAX($C22:W22)</f>
        <v>269</v>
      </c>
      <c r="X29" s="107">
        <f>MAX($C22:X22)</f>
        <v>269</v>
      </c>
    </row>
    <row r="30" spans="1:25" ht="13.15" x14ac:dyDescent="0.4">
      <c r="A30">
        <v>24</v>
      </c>
      <c r="B30" s="151" t="s">
        <v>80</v>
      </c>
      <c r="C30" s="19">
        <f>MAX(C23)</f>
        <v>428</v>
      </c>
      <c r="D30" s="107">
        <f>MAX($C23:D23)</f>
        <v>428</v>
      </c>
      <c r="E30" s="107">
        <f>MAX($C23:E23)</f>
        <v>428</v>
      </c>
      <c r="F30" s="107">
        <f>MAX($C23:F23)</f>
        <v>428</v>
      </c>
      <c r="G30" s="107">
        <f>MAX($C23:G23)</f>
        <v>428</v>
      </c>
      <c r="H30" s="107">
        <f>MAX($C23:H23)</f>
        <v>428</v>
      </c>
      <c r="I30" s="107">
        <f>MAX($C23:I23)</f>
        <v>428</v>
      </c>
      <c r="J30" s="107">
        <f>MAX($C23:J23)</f>
        <v>428</v>
      </c>
      <c r="K30" s="107">
        <f>MAX($C23:K23)</f>
        <v>428</v>
      </c>
      <c r="L30" s="107">
        <f>MAX($C23:L23)</f>
        <v>428</v>
      </c>
      <c r="M30" s="107">
        <f>MAX($C23:M23)</f>
        <v>428</v>
      </c>
      <c r="N30" s="107">
        <f>MAX($C23:N23)</f>
        <v>428</v>
      </c>
      <c r="O30" s="107">
        <f>MAX($C23:O23)</f>
        <v>428</v>
      </c>
      <c r="P30" s="107">
        <f>MAX($C23:P23)</f>
        <v>428</v>
      </c>
      <c r="Q30" s="107">
        <f>MAX($C23:Q23)</f>
        <v>428</v>
      </c>
      <c r="R30" s="107">
        <f>MAX($C23:R23)</f>
        <v>428</v>
      </c>
      <c r="S30" s="107">
        <f>MAX($C23:S23)</f>
        <v>428</v>
      </c>
      <c r="T30" s="107">
        <f>MAX($C23:T23)</f>
        <v>428</v>
      </c>
      <c r="U30" s="107">
        <f>MAX($C23:U23)</f>
        <v>428</v>
      </c>
      <c r="V30" s="107">
        <f>MAX($C23:V23)</f>
        <v>428</v>
      </c>
      <c r="W30" s="107">
        <f>MAX($C23:W23)</f>
        <v>428</v>
      </c>
      <c r="X30" s="107">
        <f>MAX($C23:X23)</f>
        <v>428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322</v>
      </c>
      <c r="G2" s="240" t="s">
        <v>323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62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128</v>
      </c>
      <c r="E9">
        <v>123</v>
      </c>
      <c r="G9">
        <v>137</v>
      </c>
      <c r="J9">
        <v>116</v>
      </c>
      <c r="K9">
        <v>159</v>
      </c>
      <c r="O9">
        <v>106</v>
      </c>
      <c r="P9">
        <v>146</v>
      </c>
      <c r="R9">
        <v>128</v>
      </c>
      <c r="T9">
        <v>101</v>
      </c>
      <c r="U9">
        <v>98</v>
      </c>
    </row>
    <row r="10" spans="1:24" ht="13.15" x14ac:dyDescent="0.4">
      <c r="A10">
        <v>4</v>
      </c>
      <c r="B10" s="3" t="s">
        <v>15</v>
      </c>
      <c r="D10">
        <v>162</v>
      </c>
      <c r="E10">
        <v>137</v>
      </c>
      <c r="G10">
        <v>116</v>
      </c>
      <c r="J10">
        <v>114</v>
      </c>
      <c r="K10">
        <v>148</v>
      </c>
      <c r="R10">
        <v>113</v>
      </c>
      <c r="T10">
        <v>123</v>
      </c>
      <c r="U10">
        <v>143</v>
      </c>
    </row>
    <row r="11" spans="1:24" ht="13.15" x14ac:dyDescent="0.4">
      <c r="A11">
        <v>5</v>
      </c>
      <c r="B11" s="3" t="s">
        <v>16</v>
      </c>
      <c r="D11">
        <v>139</v>
      </c>
      <c r="E11">
        <v>123</v>
      </c>
      <c r="G11">
        <v>124</v>
      </c>
      <c r="J11">
        <v>189</v>
      </c>
      <c r="R11">
        <v>124</v>
      </c>
      <c r="T11">
        <v>137</v>
      </c>
      <c r="U11">
        <v>136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429</v>
      </c>
      <c r="E15" s="18">
        <f t="shared" si="2"/>
        <v>383</v>
      </c>
      <c r="F15" s="18">
        <f t="shared" si="2"/>
        <v>0</v>
      </c>
      <c r="G15" s="18">
        <f t="shared" si="2"/>
        <v>377</v>
      </c>
      <c r="H15" s="18">
        <f t="shared" si="2"/>
        <v>0</v>
      </c>
      <c r="I15" s="18">
        <f t="shared" si="2"/>
        <v>0</v>
      </c>
      <c r="J15" s="18">
        <f t="shared" si="2"/>
        <v>419</v>
      </c>
      <c r="K15" s="18">
        <f t="shared" si="2"/>
        <v>307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106</v>
      </c>
      <c r="P15" s="18">
        <f t="shared" si="2"/>
        <v>146</v>
      </c>
      <c r="Q15" s="18">
        <f t="shared" si="2"/>
        <v>0</v>
      </c>
      <c r="R15" s="18">
        <f t="shared" si="2"/>
        <v>365</v>
      </c>
      <c r="S15" s="18">
        <f t="shared" si="2"/>
        <v>0</v>
      </c>
      <c r="T15" s="18">
        <f t="shared" si="2"/>
        <v>361</v>
      </c>
      <c r="U15" s="18">
        <f t="shared" si="2"/>
        <v>377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429</v>
      </c>
      <c r="E16" s="19">
        <f t="shared" si="3"/>
        <v>812</v>
      </c>
      <c r="F16" s="19">
        <f t="shared" si="3"/>
        <v>812</v>
      </c>
      <c r="G16" s="19">
        <f t="shared" si="3"/>
        <v>1189</v>
      </c>
      <c r="H16" s="19">
        <f t="shared" si="3"/>
        <v>1189</v>
      </c>
      <c r="I16" s="19">
        <f t="shared" si="3"/>
        <v>1189</v>
      </c>
      <c r="J16" s="19">
        <f t="shared" si="3"/>
        <v>1608</v>
      </c>
      <c r="K16" s="19">
        <f t="shared" si="3"/>
        <v>1915</v>
      </c>
      <c r="L16" s="19">
        <f t="shared" si="3"/>
        <v>1915</v>
      </c>
      <c r="M16" s="19">
        <f t="shared" si="3"/>
        <v>1915</v>
      </c>
      <c r="N16" s="19">
        <f t="shared" si="3"/>
        <v>1915</v>
      </c>
      <c r="O16" s="19">
        <f t="shared" si="3"/>
        <v>2021</v>
      </c>
      <c r="P16" s="19">
        <f t="shared" si="3"/>
        <v>2167</v>
      </c>
      <c r="Q16" s="19">
        <f t="shared" si="3"/>
        <v>2167</v>
      </c>
      <c r="R16" s="19">
        <f t="shared" si="3"/>
        <v>2532</v>
      </c>
      <c r="S16" s="19">
        <f t="shared" si="3"/>
        <v>2532</v>
      </c>
      <c r="T16" s="19">
        <f t="shared" si="3"/>
        <v>2893</v>
      </c>
      <c r="U16" s="19">
        <f t="shared" si="3"/>
        <v>3270</v>
      </c>
      <c r="V16" s="19">
        <f t="shared" si="3"/>
        <v>3270</v>
      </c>
      <c r="W16" s="19">
        <f t="shared" si="3"/>
        <v>3270</v>
      </c>
      <c r="X16" s="19">
        <f t="shared" si="3"/>
        <v>3270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143</v>
      </c>
      <c r="E17" s="20">
        <f t="shared" si="4"/>
        <v>135.33333333333334</v>
      </c>
      <c r="F17" s="20">
        <f t="shared" si="4"/>
        <v>135.33333333333334</v>
      </c>
      <c r="G17" s="20">
        <f t="shared" si="4"/>
        <v>132.11111111111111</v>
      </c>
      <c r="H17" s="20">
        <f t="shared" si="4"/>
        <v>132.11111111111111</v>
      </c>
      <c r="I17" s="20">
        <f t="shared" si="4"/>
        <v>132.11111111111111</v>
      </c>
      <c r="J17" s="20">
        <f t="shared" si="4"/>
        <v>134</v>
      </c>
      <c r="K17" s="20">
        <f t="shared" si="4"/>
        <v>136.78571428571428</v>
      </c>
      <c r="L17" s="20">
        <f t="shared" si="4"/>
        <v>136.78571428571428</v>
      </c>
      <c r="M17" s="20">
        <f t="shared" si="4"/>
        <v>136.78571428571428</v>
      </c>
      <c r="N17" s="20">
        <f t="shared" si="4"/>
        <v>136.78571428571428</v>
      </c>
      <c r="O17" s="20">
        <f t="shared" si="4"/>
        <v>134.73333333333332</v>
      </c>
      <c r="P17" s="20">
        <f t="shared" si="4"/>
        <v>135.4375</v>
      </c>
      <c r="Q17" s="20">
        <f t="shared" si="4"/>
        <v>135.4375</v>
      </c>
      <c r="R17" s="20">
        <f t="shared" si="4"/>
        <v>133.26315789473685</v>
      </c>
      <c r="S17" s="20">
        <f t="shared" si="4"/>
        <v>133.26315789473685</v>
      </c>
      <c r="T17" s="20">
        <f t="shared" si="4"/>
        <v>131.5</v>
      </c>
      <c r="U17" s="20">
        <f t="shared" si="4"/>
        <v>130.80000000000001</v>
      </c>
      <c r="V17" s="20">
        <f t="shared" si="4"/>
        <v>130.80000000000001</v>
      </c>
      <c r="W17" s="20">
        <f t="shared" si="4"/>
        <v>130.80000000000001</v>
      </c>
      <c r="X17" s="20">
        <f t="shared" si="4"/>
        <v>130.80000000000001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51</v>
      </c>
      <c r="E18" s="19">
        <f t="shared" si="5"/>
        <v>58</v>
      </c>
      <c r="F18" s="19">
        <f t="shared" si="5"/>
        <v>58</v>
      </c>
      <c r="G18" s="19">
        <f t="shared" si="5"/>
        <v>61</v>
      </c>
      <c r="H18" s="19">
        <f t="shared" si="5"/>
        <v>61</v>
      </c>
      <c r="I18" s="19">
        <f t="shared" si="5"/>
        <v>61</v>
      </c>
      <c r="J18" s="19">
        <f t="shared" si="5"/>
        <v>59</v>
      </c>
      <c r="K18" s="19">
        <f t="shared" si="5"/>
        <v>57</v>
      </c>
      <c r="L18" s="19">
        <f t="shared" si="5"/>
        <v>57</v>
      </c>
      <c r="M18" s="19">
        <f t="shared" si="5"/>
        <v>57</v>
      </c>
      <c r="N18" s="19">
        <f t="shared" si="5"/>
        <v>57</v>
      </c>
      <c r="O18" s="19">
        <f t="shared" si="5"/>
        <v>59</v>
      </c>
      <c r="P18" s="19">
        <f t="shared" si="5"/>
        <v>58</v>
      </c>
      <c r="Q18" s="19">
        <f t="shared" si="5"/>
        <v>58</v>
      </c>
      <c r="R18" s="19">
        <f t="shared" si="5"/>
        <v>60</v>
      </c>
      <c r="S18" s="19">
        <f t="shared" si="5"/>
        <v>60</v>
      </c>
      <c r="T18" s="19">
        <f t="shared" si="5"/>
        <v>62</v>
      </c>
      <c r="U18" s="19">
        <f t="shared" si="5"/>
        <v>62</v>
      </c>
      <c r="V18" s="19">
        <f t="shared" si="5"/>
        <v>62</v>
      </c>
      <c r="W18" s="19">
        <f t="shared" si="5"/>
        <v>62</v>
      </c>
      <c r="X18" s="19">
        <f t="shared" si="5"/>
        <v>62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6</v>
      </c>
      <c r="G19" s="19">
        <f t="shared" si="6"/>
        <v>9</v>
      </c>
      <c r="H19" s="19">
        <f t="shared" si="6"/>
        <v>9</v>
      </c>
      <c r="I19" s="19">
        <f t="shared" si="6"/>
        <v>9</v>
      </c>
      <c r="J19" s="19">
        <f t="shared" si="6"/>
        <v>12</v>
      </c>
      <c r="K19" s="19">
        <f t="shared" si="6"/>
        <v>14</v>
      </c>
      <c r="L19" s="19">
        <f t="shared" si="6"/>
        <v>14</v>
      </c>
      <c r="M19" s="19">
        <f t="shared" si="6"/>
        <v>14</v>
      </c>
      <c r="N19" s="19">
        <f t="shared" si="6"/>
        <v>14</v>
      </c>
      <c r="O19" s="19">
        <f t="shared" si="6"/>
        <v>15</v>
      </c>
      <c r="P19" s="19">
        <f t="shared" si="6"/>
        <v>16</v>
      </c>
      <c r="Q19" s="19">
        <f t="shared" si="6"/>
        <v>16</v>
      </c>
      <c r="R19" s="19">
        <f t="shared" si="6"/>
        <v>19</v>
      </c>
      <c r="S19" s="19">
        <f t="shared" si="6"/>
        <v>19</v>
      </c>
      <c r="T19" s="19">
        <f t="shared" si="6"/>
        <v>22</v>
      </c>
      <c r="U19" s="19">
        <f t="shared" si="6"/>
        <v>25</v>
      </c>
      <c r="V19" s="19">
        <f t="shared" si="6"/>
        <v>25</v>
      </c>
      <c r="W19" s="19">
        <f t="shared" si="6"/>
        <v>25</v>
      </c>
      <c r="X19" s="19">
        <f t="shared" si="6"/>
        <v>25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162</v>
      </c>
      <c r="E20" s="19">
        <f t="shared" si="7"/>
        <v>137</v>
      </c>
      <c r="F20" s="19">
        <f t="shared" si="7"/>
        <v>0</v>
      </c>
      <c r="G20" s="19">
        <f t="shared" si="7"/>
        <v>137</v>
      </c>
      <c r="H20" s="19">
        <f t="shared" si="7"/>
        <v>0</v>
      </c>
      <c r="I20" s="19">
        <f t="shared" si="7"/>
        <v>0</v>
      </c>
      <c r="J20" s="19">
        <f t="shared" si="7"/>
        <v>189</v>
      </c>
      <c r="K20" s="19">
        <f t="shared" si="7"/>
        <v>159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106</v>
      </c>
      <c r="P20" s="19">
        <f t="shared" si="7"/>
        <v>146</v>
      </c>
      <c r="Q20" s="19">
        <f t="shared" si="7"/>
        <v>0</v>
      </c>
      <c r="R20" s="19">
        <f t="shared" si="7"/>
        <v>128</v>
      </c>
      <c r="S20" s="19">
        <f t="shared" si="7"/>
        <v>0</v>
      </c>
      <c r="T20" s="19">
        <f t="shared" si="7"/>
        <v>137</v>
      </c>
      <c r="U20" s="19">
        <f t="shared" si="7"/>
        <v>143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0</v>
      </c>
      <c r="D21" s="19">
        <f>MAX(D$9:D$14)+D18</f>
        <v>213</v>
      </c>
      <c r="E21" s="19">
        <f t="shared" ref="E21:X21" si="8">MAX(E$9:E$14)+D18</f>
        <v>188</v>
      </c>
      <c r="F21" s="19">
        <f t="shared" si="8"/>
        <v>58</v>
      </c>
      <c r="G21" s="19">
        <f t="shared" si="8"/>
        <v>195</v>
      </c>
      <c r="H21" s="19">
        <f t="shared" si="8"/>
        <v>61</v>
      </c>
      <c r="I21" s="19">
        <f t="shared" si="8"/>
        <v>61</v>
      </c>
      <c r="J21" s="19">
        <f t="shared" si="8"/>
        <v>250</v>
      </c>
      <c r="K21" s="19">
        <f t="shared" si="8"/>
        <v>218</v>
      </c>
      <c r="L21" s="19">
        <f t="shared" si="8"/>
        <v>57</v>
      </c>
      <c r="M21" s="19">
        <f t="shared" si="8"/>
        <v>57</v>
      </c>
      <c r="N21" s="19">
        <f t="shared" si="8"/>
        <v>57</v>
      </c>
      <c r="O21" s="19">
        <f t="shared" si="8"/>
        <v>163</v>
      </c>
      <c r="P21" s="19">
        <f t="shared" si="8"/>
        <v>205</v>
      </c>
      <c r="Q21" s="19">
        <f t="shared" si="8"/>
        <v>58</v>
      </c>
      <c r="R21" s="19">
        <f t="shared" si="8"/>
        <v>186</v>
      </c>
      <c r="S21" s="19">
        <f t="shared" si="8"/>
        <v>60</v>
      </c>
      <c r="T21" s="19">
        <f t="shared" si="8"/>
        <v>197</v>
      </c>
      <c r="U21" s="19">
        <f t="shared" si="8"/>
        <v>205</v>
      </c>
      <c r="V21" s="19">
        <f t="shared" si="8"/>
        <v>62</v>
      </c>
      <c r="W21" s="19">
        <f t="shared" si="8"/>
        <v>62</v>
      </c>
      <c r="X21" s="19">
        <f t="shared" si="8"/>
        <v>62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429</v>
      </c>
      <c r="E22" s="19">
        <f t="shared" si="9"/>
        <v>383</v>
      </c>
      <c r="F22" s="19">
        <f t="shared" si="9"/>
        <v>0</v>
      </c>
      <c r="G22" s="19">
        <f t="shared" si="9"/>
        <v>377</v>
      </c>
      <c r="H22" s="19">
        <f t="shared" si="9"/>
        <v>0</v>
      </c>
      <c r="I22" s="19">
        <f t="shared" si="9"/>
        <v>0</v>
      </c>
      <c r="J22" s="19">
        <f t="shared" si="9"/>
        <v>419</v>
      </c>
      <c r="K22" s="19">
        <f t="shared" si="9"/>
        <v>307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106</v>
      </c>
      <c r="P22" s="19">
        <f t="shared" si="9"/>
        <v>146</v>
      </c>
      <c r="Q22" s="19">
        <f t="shared" si="9"/>
        <v>0</v>
      </c>
      <c r="R22" s="19">
        <f t="shared" si="9"/>
        <v>365</v>
      </c>
      <c r="S22" s="19">
        <f t="shared" si="9"/>
        <v>0</v>
      </c>
      <c r="T22" s="19">
        <f t="shared" si="9"/>
        <v>361</v>
      </c>
      <c r="U22" s="19">
        <f t="shared" si="9"/>
        <v>377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0</v>
      </c>
      <c r="D23" s="308">
        <f>MAX(SUM(D$9:D$11),SUM(D$12:D$14))+D18*3</f>
        <v>582</v>
      </c>
      <c r="E23" s="19">
        <f t="shared" ref="E23:X23" si="10">MAX(SUM(E$9:E$11),SUM(E$12:E$14))+D18*3</f>
        <v>536</v>
      </c>
      <c r="F23" s="19">
        <f t="shared" si="10"/>
        <v>174</v>
      </c>
      <c r="G23" s="19">
        <f t="shared" si="10"/>
        <v>551</v>
      </c>
      <c r="H23" s="19">
        <f t="shared" si="10"/>
        <v>183</v>
      </c>
      <c r="I23" s="19">
        <f t="shared" si="10"/>
        <v>183</v>
      </c>
      <c r="J23" s="19">
        <f t="shared" si="10"/>
        <v>602</v>
      </c>
      <c r="K23" s="19">
        <f t="shared" si="10"/>
        <v>484</v>
      </c>
      <c r="L23" s="19">
        <f t="shared" si="10"/>
        <v>171</v>
      </c>
      <c r="M23" s="19">
        <f t="shared" si="10"/>
        <v>171</v>
      </c>
      <c r="N23" s="19">
        <f t="shared" si="10"/>
        <v>171</v>
      </c>
      <c r="O23" s="19">
        <f t="shared" si="10"/>
        <v>277</v>
      </c>
      <c r="P23" s="19">
        <f t="shared" si="10"/>
        <v>323</v>
      </c>
      <c r="Q23" s="19">
        <f t="shared" si="10"/>
        <v>174</v>
      </c>
      <c r="R23" s="19">
        <f t="shared" si="10"/>
        <v>539</v>
      </c>
      <c r="S23" s="19">
        <f t="shared" si="10"/>
        <v>180</v>
      </c>
      <c r="T23" s="19">
        <f t="shared" si="10"/>
        <v>541</v>
      </c>
      <c r="U23" s="19">
        <f t="shared" si="10"/>
        <v>563</v>
      </c>
      <c r="V23" s="19">
        <f t="shared" si="10"/>
        <v>186</v>
      </c>
      <c r="W23" s="19">
        <f t="shared" si="10"/>
        <v>186</v>
      </c>
      <c r="X23" s="19">
        <f t="shared" si="10"/>
        <v>186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162</v>
      </c>
      <c r="E27" s="107">
        <f>MAX($C20:E20)</f>
        <v>162</v>
      </c>
      <c r="F27" s="107">
        <f>MAX($C20:F20)</f>
        <v>162</v>
      </c>
      <c r="G27" s="107">
        <f>MAX($C20:G20)</f>
        <v>162</v>
      </c>
      <c r="H27" s="107">
        <f>MAX($C20:H20)</f>
        <v>162</v>
      </c>
      <c r="I27" s="107">
        <f>MAX($C20:I20)</f>
        <v>162</v>
      </c>
      <c r="J27" s="107">
        <f>MAX($C20:J20)</f>
        <v>189</v>
      </c>
      <c r="K27" s="107">
        <f>MAX($C20:K20)</f>
        <v>189</v>
      </c>
      <c r="L27" s="107">
        <f>MAX($C20:L20)</f>
        <v>189</v>
      </c>
      <c r="M27" s="107">
        <f>MAX($C20:M20)</f>
        <v>189</v>
      </c>
      <c r="N27" s="107">
        <f>MAX($C20:N20)</f>
        <v>189</v>
      </c>
      <c r="O27" s="107">
        <f>MAX($C20:O20)</f>
        <v>189</v>
      </c>
      <c r="P27" s="107">
        <f>MAX($C20:P20)</f>
        <v>189</v>
      </c>
      <c r="Q27" s="107">
        <f>MAX($C20:Q20)</f>
        <v>189</v>
      </c>
      <c r="R27" s="107">
        <f>MAX($C20:R20)</f>
        <v>189</v>
      </c>
      <c r="S27" s="107">
        <f>MAX($C20:S20)</f>
        <v>189</v>
      </c>
      <c r="T27" s="107">
        <f>MAX($C20:T20)</f>
        <v>189</v>
      </c>
      <c r="U27" s="107">
        <f>MAX($C20:U20)</f>
        <v>189</v>
      </c>
      <c r="V27" s="107">
        <f>MAX($C20:V20)</f>
        <v>189</v>
      </c>
      <c r="W27" s="107">
        <f>MAX($C20:W20)</f>
        <v>189</v>
      </c>
      <c r="X27" s="107">
        <f>MAX($C20:X20)</f>
        <v>189</v>
      </c>
    </row>
    <row r="28" spans="1:25" ht="13.15" x14ac:dyDescent="0.4">
      <c r="A28">
        <v>22</v>
      </c>
      <c r="B28" s="151" t="s">
        <v>78</v>
      </c>
      <c r="C28" s="19">
        <f>MAX(C21)</f>
        <v>0</v>
      </c>
      <c r="D28" s="107">
        <f>MAX($C21:D21)</f>
        <v>213</v>
      </c>
      <c r="E28" s="107">
        <f>MAX($C21:E21)</f>
        <v>213</v>
      </c>
      <c r="F28" s="107">
        <f>MAX($C21:F21)</f>
        <v>213</v>
      </c>
      <c r="G28" s="107">
        <f>MAX($C21:G21)</f>
        <v>213</v>
      </c>
      <c r="H28" s="107">
        <f>MAX($C21:H21)</f>
        <v>213</v>
      </c>
      <c r="I28" s="107">
        <f>MAX($C21:I21)</f>
        <v>213</v>
      </c>
      <c r="J28" s="107">
        <f>MAX($C21:J21)</f>
        <v>250</v>
      </c>
      <c r="K28" s="107">
        <f>MAX($C21:K21)</f>
        <v>250</v>
      </c>
      <c r="L28" s="107">
        <f>MAX($C21:L21)</f>
        <v>250</v>
      </c>
      <c r="M28" s="107">
        <f>MAX($C21:M21)</f>
        <v>250</v>
      </c>
      <c r="N28" s="107">
        <f>MAX($C21:N21)</f>
        <v>250</v>
      </c>
      <c r="O28" s="107">
        <f>MAX($C21:O21)</f>
        <v>250</v>
      </c>
      <c r="P28" s="107">
        <f>MAX($C21:P21)</f>
        <v>250</v>
      </c>
      <c r="Q28" s="107">
        <f>MAX($C21:Q21)</f>
        <v>250</v>
      </c>
      <c r="R28" s="107">
        <f>MAX($C21:R21)</f>
        <v>250</v>
      </c>
      <c r="S28" s="107">
        <f>MAX($C21:S21)</f>
        <v>250</v>
      </c>
      <c r="T28" s="107">
        <f>MAX($C21:T21)</f>
        <v>250</v>
      </c>
      <c r="U28" s="107">
        <f>MAX($C21:U21)</f>
        <v>250</v>
      </c>
      <c r="V28" s="107">
        <f>MAX($C21:V21)</f>
        <v>250</v>
      </c>
      <c r="W28" s="107">
        <f>MAX($C21:W21)</f>
        <v>250</v>
      </c>
      <c r="X28" s="107">
        <f>MAX($C21:X21)</f>
        <v>250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429</v>
      </c>
      <c r="E29" s="107">
        <f>MAX($C22:E22)</f>
        <v>429</v>
      </c>
      <c r="F29" s="107">
        <f>MAX($C22:F22)</f>
        <v>429</v>
      </c>
      <c r="G29" s="107">
        <f>MAX($C22:G22)</f>
        <v>429</v>
      </c>
      <c r="H29" s="107">
        <f>MAX($C22:H22)</f>
        <v>429</v>
      </c>
      <c r="I29" s="107">
        <f>MAX($C22:I22)</f>
        <v>429</v>
      </c>
      <c r="J29" s="107">
        <f>MAX($C22:J22)</f>
        <v>429</v>
      </c>
      <c r="K29" s="107">
        <f>MAX($C22:K22)</f>
        <v>429</v>
      </c>
      <c r="L29" s="107">
        <f>MAX($C22:L22)</f>
        <v>429</v>
      </c>
      <c r="M29" s="107">
        <f>MAX($C22:M22)</f>
        <v>429</v>
      </c>
      <c r="N29" s="107">
        <f>MAX($C22:N22)</f>
        <v>429</v>
      </c>
      <c r="O29" s="107">
        <f>MAX($C22:O22)</f>
        <v>429</v>
      </c>
      <c r="P29" s="107">
        <f>MAX($C22:P22)</f>
        <v>429</v>
      </c>
      <c r="Q29" s="107">
        <f>MAX($C22:Q22)</f>
        <v>429</v>
      </c>
      <c r="R29" s="107">
        <f>MAX($C22:R22)</f>
        <v>429</v>
      </c>
      <c r="S29" s="107">
        <f>MAX($C22:S22)</f>
        <v>429</v>
      </c>
      <c r="T29" s="107">
        <f>MAX($C22:T22)</f>
        <v>429</v>
      </c>
      <c r="U29" s="107">
        <f>MAX($C22:U22)</f>
        <v>429</v>
      </c>
      <c r="V29" s="107">
        <f>MAX($C22:V22)</f>
        <v>429</v>
      </c>
      <c r="W29" s="107">
        <f>MAX($C22:W22)</f>
        <v>429</v>
      </c>
      <c r="X29" s="107">
        <f>MAX($C22:X22)</f>
        <v>429</v>
      </c>
    </row>
    <row r="30" spans="1:25" ht="13.15" x14ac:dyDescent="0.4">
      <c r="A30">
        <v>24</v>
      </c>
      <c r="B30" s="151" t="s">
        <v>80</v>
      </c>
      <c r="C30" s="19">
        <f>MAX(C23)</f>
        <v>0</v>
      </c>
      <c r="D30" s="107">
        <f>MAX($C23:D23)</f>
        <v>582</v>
      </c>
      <c r="E30" s="107">
        <f>MAX($C23:E23)</f>
        <v>582</v>
      </c>
      <c r="F30" s="107">
        <f>MAX($C23:F23)</f>
        <v>582</v>
      </c>
      <c r="G30" s="107">
        <f>MAX($C23:G23)</f>
        <v>582</v>
      </c>
      <c r="H30" s="107">
        <f>MAX($C23:H23)</f>
        <v>582</v>
      </c>
      <c r="I30" s="107">
        <f>MAX($C23:I23)</f>
        <v>582</v>
      </c>
      <c r="J30" s="107">
        <f>MAX($C23:J23)</f>
        <v>602</v>
      </c>
      <c r="K30" s="107">
        <f>MAX($C23:K23)</f>
        <v>602</v>
      </c>
      <c r="L30" s="107">
        <f>MAX($C23:L23)</f>
        <v>602</v>
      </c>
      <c r="M30" s="107">
        <f>MAX($C23:M23)</f>
        <v>602</v>
      </c>
      <c r="N30" s="107">
        <f>MAX($C23:N23)</f>
        <v>602</v>
      </c>
      <c r="O30" s="107">
        <f>MAX($C23:O23)</f>
        <v>602</v>
      </c>
      <c r="P30" s="107">
        <f>MAX($C23:P23)</f>
        <v>602</v>
      </c>
      <c r="Q30" s="107">
        <f>MAX($C23:Q23)</f>
        <v>602</v>
      </c>
      <c r="R30" s="107">
        <f>MAX($C23:R23)</f>
        <v>602</v>
      </c>
      <c r="S30" s="107">
        <f>MAX($C23:S23)</f>
        <v>602</v>
      </c>
      <c r="T30" s="107">
        <f>MAX($C23:T23)</f>
        <v>602</v>
      </c>
      <c r="U30" s="107">
        <f>MAX($C23:U23)</f>
        <v>602</v>
      </c>
      <c r="V30" s="107">
        <f>MAX($C23:V23)</f>
        <v>602</v>
      </c>
      <c r="W30" s="107">
        <f>MAX($C23:W23)</f>
        <v>602</v>
      </c>
      <c r="X30" s="107">
        <f>MAX($C23:X23)</f>
        <v>602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215</v>
      </c>
      <c r="G2" s="203" t="s">
        <v>251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64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75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136</v>
      </c>
      <c r="F9">
        <v>123</v>
      </c>
      <c r="G9">
        <v>151</v>
      </c>
      <c r="H9">
        <v>123</v>
      </c>
      <c r="I9">
        <v>152</v>
      </c>
      <c r="J9">
        <v>139</v>
      </c>
      <c r="L9">
        <v>108</v>
      </c>
      <c r="M9">
        <v>159</v>
      </c>
      <c r="N9">
        <v>112</v>
      </c>
      <c r="O9">
        <v>116</v>
      </c>
      <c r="R9">
        <v>113</v>
      </c>
      <c r="T9">
        <v>148</v>
      </c>
      <c r="U9">
        <v>98</v>
      </c>
      <c r="V9">
        <v>153</v>
      </c>
    </row>
    <row r="10" spans="1:24" ht="13.15" x14ac:dyDescent="0.4">
      <c r="A10">
        <v>4</v>
      </c>
      <c r="B10" s="3" t="s">
        <v>15</v>
      </c>
      <c r="C10">
        <v>90</v>
      </c>
      <c r="F10">
        <v>112</v>
      </c>
      <c r="G10">
        <v>176</v>
      </c>
      <c r="H10">
        <v>142</v>
      </c>
      <c r="I10">
        <v>175</v>
      </c>
      <c r="J10">
        <v>149</v>
      </c>
      <c r="L10">
        <v>112</v>
      </c>
      <c r="M10">
        <v>119</v>
      </c>
      <c r="N10">
        <v>100</v>
      </c>
      <c r="O10">
        <v>105</v>
      </c>
      <c r="R10">
        <v>128</v>
      </c>
      <c r="T10">
        <v>130</v>
      </c>
      <c r="U10">
        <v>123</v>
      </c>
      <c r="V10">
        <v>159</v>
      </c>
    </row>
    <row r="11" spans="1:24" ht="13.15" x14ac:dyDescent="0.4">
      <c r="A11">
        <v>5</v>
      </c>
      <c r="B11" s="3" t="s">
        <v>16</v>
      </c>
      <c r="C11">
        <v>112</v>
      </c>
      <c r="F11">
        <v>120</v>
      </c>
      <c r="G11">
        <v>153</v>
      </c>
      <c r="H11">
        <v>98</v>
      </c>
      <c r="I11">
        <v>132</v>
      </c>
      <c r="J11">
        <v>118</v>
      </c>
      <c r="L11">
        <v>114</v>
      </c>
      <c r="M11">
        <v>123</v>
      </c>
      <c r="N11">
        <v>144</v>
      </c>
      <c r="O11">
        <v>129</v>
      </c>
      <c r="R11">
        <v>159</v>
      </c>
      <c r="T11">
        <v>129</v>
      </c>
      <c r="U11">
        <v>108</v>
      </c>
      <c r="V11">
        <v>123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338</v>
      </c>
      <c r="D15" s="18">
        <f t="shared" si="2"/>
        <v>0</v>
      </c>
      <c r="E15" s="18">
        <f t="shared" si="2"/>
        <v>0</v>
      </c>
      <c r="F15" s="18">
        <f t="shared" si="2"/>
        <v>355</v>
      </c>
      <c r="G15" s="18">
        <f t="shared" si="2"/>
        <v>480</v>
      </c>
      <c r="H15" s="18">
        <f t="shared" si="2"/>
        <v>363</v>
      </c>
      <c r="I15" s="18">
        <f t="shared" si="2"/>
        <v>459</v>
      </c>
      <c r="J15" s="18">
        <f t="shared" si="2"/>
        <v>406</v>
      </c>
      <c r="K15" s="18">
        <f t="shared" si="2"/>
        <v>0</v>
      </c>
      <c r="L15" s="18">
        <f t="shared" si="2"/>
        <v>334</v>
      </c>
      <c r="M15" s="18">
        <f t="shared" si="2"/>
        <v>401</v>
      </c>
      <c r="N15" s="18">
        <f t="shared" si="2"/>
        <v>356</v>
      </c>
      <c r="O15" s="18">
        <f t="shared" si="2"/>
        <v>350</v>
      </c>
      <c r="P15" s="18">
        <f t="shared" si="2"/>
        <v>0</v>
      </c>
      <c r="Q15" s="18">
        <f t="shared" si="2"/>
        <v>0</v>
      </c>
      <c r="R15" s="18">
        <f t="shared" si="2"/>
        <v>400</v>
      </c>
      <c r="S15" s="18">
        <f t="shared" si="2"/>
        <v>0</v>
      </c>
      <c r="T15" s="18">
        <f t="shared" si="2"/>
        <v>407</v>
      </c>
      <c r="U15" s="18">
        <f t="shared" si="2"/>
        <v>329</v>
      </c>
      <c r="V15" s="18">
        <f t="shared" si="2"/>
        <v>435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338</v>
      </c>
      <c r="D16" s="19">
        <f t="shared" ref="D16:X16" si="3">+D15+C16</f>
        <v>338</v>
      </c>
      <c r="E16" s="19">
        <f t="shared" si="3"/>
        <v>338</v>
      </c>
      <c r="F16" s="19">
        <f t="shared" si="3"/>
        <v>693</v>
      </c>
      <c r="G16" s="19">
        <f t="shared" si="3"/>
        <v>1173</v>
      </c>
      <c r="H16" s="19">
        <f t="shared" si="3"/>
        <v>1536</v>
      </c>
      <c r="I16" s="19">
        <f t="shared" si="3"/>
        <v>1995</v>
      </c>
      <c r="J16" s="19">
        <f t="shared" si="3"/>
        <v>2401</v>
      </c>
      <c r="K16" s="19">
        <f t="shared" si="3"/>
        <v>2401</v>
      </c>
      <c r="L16" s="19">
        <f t="shared" si="3"/>
        <v>2735</v>
      </c>
      <c r="M16" s="19">
        <f t="shared" si="3"/>
        <v>3136</v>
      </c>
      <c r="N16" s="19">
        <f t="shared" si="3"/>
        <v>3492</v>
      </c>
      <c r="O16" s="19">
        <f t="shared" si="3"/>
        <v>3842</v>
      </c>
      <c r="P16" s="19">
        <f t="shared" si="3"/>
        <v>3842</v>
      </c>
      <c r="Q16" s="19">
        <f t="shared" si="3"/>
        <v>3842</v>
      </c>
      <c r="R16" s="19">
        <f t="shared" si="3"/>
        <v>4242</v>
      </c>
      <c r="S16" s="19">
        <f t="shared" si="3"/>
        <v>4242</v>
      </c>
      <c r="T16" s="19">
        <f t="shared" si="3"/>
        <v>4649</v>
      </c>
      <c r="U16" s="19">
        <f t="shared" si="3"/>
        <v>4978</v>
      </c>
      <c r="V16" s="19">
        <f t="shared" si="3"/>
        <v>5413</v>
      </c>
      <c r="W16" s="19">
        <f t="shared" si="3"/>
        <v>5413</v>
      </c>
      <c r="X16" s="19">
        <f t="shared" si="3"/>
        <v>5413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112.66666666666667</v>
      </c>
      <c r="D17" s="20">
        <f t="shared" si="4"/>
        <v>112.66666666666667</v>
      </c>
      <c r="E17" s="20">
        <f t="shared" si="4"/>
        <v>112.66666666666667</v>
      </c>
      <c r="F17" s="20">
        <f t="shared" si="4"/>
        <v>115.5</v>
      </c>
      <c r="G17" s="20">
        <f t="shared" si="4"/>
        <v>130.33333333333334</v>
      </c>
      <c r="H17" s="20">
        <f t="shared" si="4"/>
        <v>128</v>
      </c>
      <c r="I17" s="20">
        <f t="shared" si="4"/>
        <v>133</v>
      </c>
      <c r="J17" s="20">
        <f t="shared" si="4"/>
        <v>133.38888888888889</v>
      </c>
      <c r="K17" s="20">
        <f t="shared" si="4"/>
        <v>133.38888888888889</v>
      </c>
      <c r="L17" s="20">
        <f t="shared" si="4"/>
        <v>130.23809523809524</v>
      </c>
      <c r="M17" s="20">
        <f t="shared" si="4"/>
        <v>130.66666666666666</v>
      </c>
      <c r="N17" s="20">
        <f t="shared" si="4"/>
        <v>129.33333333333334</v>
      </c>
      <c r="O17" s="20">
        <f t="shared" si="4"/>
        <v>128.06666666666666</v>
      </c>
      <c r="P17" s="20">
        <f t="shared" si="4"/>
        <v>128.06666666666666</v>
      </c>
      <c r="Q17" s="20">
        <f t="shared" si="4"/>
        <v>128.06666666666666</v>
      </c>
      <c r="R17" s="20">
        <f t="shared" si="4"/>
        <v>128.54545454545453</v>
      </c>
      <c r="S17" s="20">
        <f t="shared" si="4"/>
        <v>128.54545454545453</v>
      </c>
      <c r="T17" s="20">
        <f t="shared" si="4"/>
        <v>129.13888888888889</v>
      </c>
      <c r="U17" s="20">
        <f t="shared" si="4"/>
        <v>127.64102564102564</v>
      </c>
      <c r="V17" s="20">
        <f t="shared" si="4"/>
        <v>128.88095238095238</v>
      </c>
      <c r="W17" s="20">
        <f t="shared" si="4"/>
        <v>128.88095238095238</v>
      </c>
      <c r="X17" s="20">
        <f t="shared" si="4"/>
        <v>128.88095238095238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79</v>
      </c>
      <c r="D18" s="19">
        <f t="shared" si="5"/>
        <v>79</v>
      </c>
      <c r="E18" s="19">
        <f t="shared" si="5"/>
        <v>79</v>
      </c>
      <c r="F18" s="19">
        <f t="shared" si="5"/>
        <v>76</v>
      </c>
      <c r="G18" s="19">
        <f t="shared" si="5"/>
        <v>63</v>
      </c>
      <c r="H18" s="19">
        <f t="shared" si="5"/>
        <v>65</v>
      </c>
      <c r="I18" s="19">
        <f t="shared" si="5"/>
        <v>60</v>
      </c>
      <c r="J18" s="19">
        <f t="shared" si="5"/>
        <v>60</v>
      </c>
      <c r="K18" s="19">
        <f t="shared" si="5"/>
        <v>60</v>
      </c>
      <c r="L18" s="19">
        <f t="shared" si="5"/>
        <v>63</v>
      </c>
      <c r="M18" s="19">
        <f t="shared" si="5"/>
        <v>62</v>
      </c>
      <c r="N18" s="19">
        <f t="shared" si="5"/>
        <v>64</v>
      </c>
      <c r="O18" s="19">
        <f t="shared" si="5"/>
        <v>65</v>
      </c>
      <c r="P18" s="19">
        <f t="shared" si="5"/>
        <v>65</v>
      </c>
      <c r="Q18" s="19">
        <f t="shared" si="5"/>
        <v>65</v>
      </c>
      <c r="R18" s="19">
        <f t="shared" si="5"/>
        <v>64</v>
      </c>
      <c r="S18" s="19">
        <f t="shared" si="5"/>
        <v>64</v>
      </c>
      <c r="T18" s="19">
        <f t="shared" si="5"/>
        <v>64</v>
      </c>
      <c r="U18" s="19">
        <f t="shared" si="5"/>
        <v>65</v>
      </c>
      <c r="V18" s="19">
        <f t="shared" si="5"/>
        <v>64</v>
      </c>
      <c r="W18" s="19">
        <f t="shared" si="5"/>
        <v>64</v>
      </c>
      <c r="X18" s="19">
        <f t="shared" si="5"/>
        <v>64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3</v>
      </c>
      <c r="E19" s="19">
        <f t="shared" si="6"/>
        <v>3</v>
      </c>
      <c r="F19" s="19">
        <f t="shared" si="6"/>
        <v>6</v>
      </c>
      <c r="G19" s="19">
        <f t="shared" si="6"/>
        <v>9</v>
      </c>
      <c r="H19" s="19">
        <f t="shared" si="6"/>
        <v>12</v>
      </c>
      <c r="I19" s="19">
        <f t="shared" si="6"/>
        <v>15</v>
      </c>
      <c r="J19" s="19">
        <f t="shared" si="6"/>
        <v>18</v>
      </c>
      <c r="K19" s="19">
        <f t="shared" si="6"/>
        <v>18</v>
      </c>
      <c r="L19" s="19">
        <f t="shared" si="6"/>
        <v>21</v>
      </c>
      <c r="M19" s="19">
        <f t="shared" si="6"/>
        <v>24</v>
      </c>
      <c r="N19" s="19">
        <f t="shared" si="6"/>
        <v>27</v>
      </c>
      <c r="O19" s="19">
        <f t="shared" si="6"/>
        <v>30</v>
      </c>
      <c r="P19" s="19">
        <f t="shared" si="6"/>
        <v>30</v>
      </c>
      <c r="Q19" s="19">
        <f t="shared" si="6"/>
        <v>30</v>
      </c>
      <c r="R19" s="19">
        <f t="shared" si="6"/>
        <v>33</v>
      </c>
      <c r="S19" s="19">
        <f t="shared" si="6"/>
        <v>33</v>
      </c>
      <c r="T19" s="19">
        <f t="shared" si="6"/>
        <v>36</v>
      </c>
      <c r="U19" s="19">
        <f t="shared" si="6"/>
        <v>39</v>
      </c>
      <c r="V19" s="19">
        <f t="shared" si="6"/>
        <v>42</v>
      </c>
      <c r="W19" s="19">
        <f t="shared" si="6"/>
        <v>42</v>
      </c>
      <c r="X19" s="19">
        <f t="shared" si="6"/>
        <v>42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136</v>
      </c>
      <c r="D20" s="19">
        <f t="shared" si="7"/>
        <v>0</v>
      </c>
      <c r="E20" s="19">
        <f t="shared" si="7"/>
        <v>0</v>
      </c>
      <c r="F20" s="19">
        <f t="shared" si="7"/>
        <v>123</v>
      </c>
      <c r="G20" s="19">
        <f t="shared" si="7"/>
        <v>176</v>
      </c>
      <c r="H20" s="19">
        <f t="shared" si="7"/>
        <v>142</v>
      </c>
      <c r="I20" s="19">
        <f t="shared" si="7"/>
        <v>175</v>
      </c>
      <c r="J20" s="19">
        <f t="shared" si="7"/>
        <v>149</v>
      </c>
      <c r="K20" s="19">
        <f t="shared" si="7"/>
        <v>0</v>
      </c>
      <c r="L20" s="19">
        <f t="shared" si="7"/>
        <v>114</v>
      </c>
      <c r="M20" s="19">
        <f t="shared" si="7"/>
        <v>159</v>
      </c>
      <c r="N20" s="19">
        <f t="shared" si="7"/>
        <v>144</v>
      </c>
      <c r="O20" s="19">
        <f t="shared" si="7"/>
        <v>129</v>
      </c>
      <c r="P20" s="19">
        <f t="shared" si="7"/>
        <v>0</v>
      </c>
      <c r="Q20" s="19">
        <f t="shared" si="7"/>
        <v>0</v>
      </c>
      <c r="R20" s="19">
        <f t="shared" si="7"/>
        <v>159</v>
      </c>
      <c r="S20" s="19">
        <f t="shared" si="7"/>
        <v>0</v>
      </c>
      <c r="T20" s="19">
        <f t="shared" si="7"/>
        <v>148</v>
      </c>
      <c r="U20" s="19">
        <f t="shared" si="7"/>
        <v>123</v>
      </c>
      <c r="V20" s="19">
        <f t="shared" si="7"/>
        <v>159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211</v>
      </c>
      <c r="D21" s="19">
        <f>MAX(D$9:D$14)+$I$5</f>
        <v>75</v>
      </c>
      <c r="E21" s="19">
        <f>MAX(E$9:E$14)+$I$5</f>
        <v>75</v>
      </c>
      <c r="F21" s="19">
        <f>MAX(F$9:F$14)+$I$5</f>
        <v>198</v>
      </c>
      <c r="G21" s="19">
        <f t="shared" ref="G21:X21" si="8">MAX(G$9:G$14)+F18</f>
        <v>252</v>
      </c>
      <c r="H21" s="19">
        <f t="shared" si="8"/>
        <v>205</v>
      </c>
      <c r="I21" s="19">
        <f t="shared" si="8"/>
        <v>240</v>
      </c>
      <c r="J21" s="19">
        <f t="shared" si="8"/>
        <v>209</v>
      </c>
      <c r="K21" s="19">
        <f t="shared" si="8"/>
        <v>60</v>
      </c>
      <c r="L21" s="19">
        <f t="shared" si="8"/>
        <v>174</v>
      </c>
      <c r="M21" s="19">
        <f t="shared" si="8"/>
        <v>222</v>
      </c>
      <c r="N21" s="19">
        <f t="shared" si="8"/>
        <v>206</v>
      </c>
      <c r="O21" s="19">
        <f t="shared" si="8"/>
        <v>193</v>
      </c>
      <c r="P21" s="19">
        <f t="shared" si="8"/>
        <v>65</v>
      </c>
      <c r="Q21" s="19">
        <f t="shared" si="8"/>
        <v>65</v>
      </c>
      <c r="R21" s="19">
        <f t="shared" si="8"/>
        <v>224</v>
      </c>
      <c r="S21" s="19">
        <f t="shared" si="8"/>
        <v>64</v>
      </c>
      <c r="T21" s="19">
        <f t="shared" si="8"/>
        <v>212</v>
      </c>
      <c r="U21" s="19">
        <f t="shared" si="8"/>
        <v>187</v>
      </c>
      <c r="V21" s="19">
        <f t="shared" si="8"/>
        <v>224</v>
      </c>
      <c r="W21" s="19">
        <f t="shared" si="8"/>
        <v>64</v>
      </c>
      <c r="X21" s="19">
        <f t="shared" si="8"/>
        <v>64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338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355</v>
      </c>
      <c r="G22" s="19">
        <f t="shared" si="9"/>
        <v>480</v>
      </c>
      <c r="H22" s="19">
        <f t="shared" si="9"/>
        <v>363</v>
      </c>
      <c r="I22" s="19">
        <f t="shared" si="9"/>
        <v>459</v>
      </c>
      <c r="J22" s="19">
        <f t="shared" si="9"/>
        <v>406</v>
      </c>
      <c r="K22" s="19">
        <f t="shared" si="9"/>
        <v>0</v>
      </c>
      <c r="L22" s="19">
        <f t="shared" si="9"/>
        <v>334</v>
      </c>
      <c r="M22" s="19">
        <f t="shared" si="9"/>
        <v>401</v>
      </c>
      <c r="N22" s="19">
        <f t="shared" si="9"/>
        <v>356</v>
      </c>
      <c r="O22" s="19">
        <f t="shared" si="9"/>
        <v>350</v>
      </c>
      <c r="P22" s="19">
        <f t="shared" si="9"/>
        <v>0</v>
      </c>
      <c r="Q22" s="19">
        <f t="shared" si="9"/>
        <v>0</v>
      </c>
      <c r="R22" s="19">
        <f t="shared" si="9"/>
        <v>400</v>
      </c>
      <c r="S22" s="19">
        <f t="shared" si="9"/>
        <v>0</v>
      </c>
      <c r="T22" s="19">
        <f t="shared" si="9"/>
        <v>407</v>
      </c>
      <c r="U22" s="19">
        <f t="shared" si="9"/>
        <v>329</v>
      </c>
      <c r="V22" s="19">
        <f t="shared" si="9"/>
        <v>435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563</v>
      </c>
      <c r="D23" s="19">
        <f>MAX(SUM(D$9:D$11),SUM(D$12:D$14))+$I$5*3</f>
        <v>225</v>
      </c>
      <c r="E23" s="19">
        <f>MAX(SUM(E$9:E$11),SUM(E$12:E$14))+$I$5*3</f>
        <v>225</v>
      </c>
      <c r="F23" s="19">
        <f>MAX(SUM(F$9:F$11),SUM(F$12:F$14))+$I$5*3</f>
        <v>580</v>
      </c>
      <c r="G23" s="19">
        <f t="shared" ref="G23:X23" si="10">MAX(SUM(G$9:G$11),SUM(G$12:G$14))+F18*3</f>
        <v>708</v>
      </c>
      <c r="H23" s="19">
        <f t="shared" si="10"/>
        <v>552</v>
      </c>
      <c r="I23" s="19">
        <f t="shared" si="10"/>
        <v>654</v>
      </c>
      <c r="J23" s="19">
        <f t="shared" si="10"/>
        <v>586</v>
      </c>
      <c r="K23" s="19">
        <f t="shared" si="10"/>
        <v>180</v>
      </c>
      <c r="L23" s="19">
        <f t="shared" si="10"/>
        <v>514</v>
      </c>
      <c r="M23" s="19">
        <f t="shared" si="10"/>
        <v>590</v>
      </c>
      <c r="N23" s="19">
        <f t="shared" si="10"/>
        <v>542</v>
      </c>
      <c r="O23" s="19">
        <f t="shared" si="10"/>
        <v>542</v>
      </c>
      <c r="P23" s="19">
        <f t="shared" si="10"/>
        <v>195</v>
      </c>
      <c r="Q23" s="19">
        <f t="shared" si="10"/>
        <v>195</v>
      </c>
      <c r="R23" s="19">
        <f t="shared" si="10"/>
        <v>595</v>
      </c>
      <c r="S23" s="19">
        <f t="shared" si="10"/>
        <v>192</v>
      </c>
      <c r="T23" s="19">
        <f t="shared" si="10"/>
        <v>599</v>
      </c>
      <c r="U23" s="19">
        <f t="shared" si="10"/>
        <v>521</v>
      </c>
      <c r="V23" s="19">
        <f t="shared" si="10"/>
        <v>630</v>
      </c>
      <c r="W23" s="19">
        <f t="shared" si="10"/>
        <v>192</v>
      </c>
      <c r="X23" s="19">
        <f t="shared" si="10"/>
        <v>192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136</v>
      </c>
      <c r="D27" s="107">
        <f>MAX($C20:D20)</f>
        <v>136</v>
      </c>
      <c r="E27" s="107">
        <f>MAX($C20:E20)</f>
        <v>136</v>
      </c>
      <c r="F27" s="107">
        <f>MAX($C20:F20)</f>
        <v>136</v>
      </c>
      <c r="G27" s="107">
        <f>MAX($C20:G20)</f>
        <v>176</v>
      </c>
      <c r="H27" s="107">
        <f>MAX($C20:H20)</f>
        <v>176</v>
      </c>
      <c r="I27" s="107">
        <f>MAX($C20:I20)</f>
        <v>176</v>
      </c>
      <c r="J27" s="107">
        <f>MAX($C20:J20)</f>
        <v>176</v>
      </c>
      <c r="K27" s="107">
        <f>MAX($C20:K20)</f>
        <v>176</v>
      </c>
      <c r="L27" s="107">
        <f>MAX($C20:L20)</f>
        <v>176</v>
      </c>
      <c r="M27" s="107">
        <f>MAX($C20:M20)</f>
        <v>176</v>
      </c>
      <c r="N27" s="107">
        <f>MAX($C20:N20)</f>
        <v>176</v>
      </c>
      <c r="O27" s="107">
        <f>MAX($C20:O20)</f>
        <v>176</v>
      </c>
      <c r="P27" s="107">
        <f>MAX($C20:P20)</f>
        <v>176</v>
      </c>
      <c r="Q27" s="107">
        <f>MAX($C20:Q20)</f>
        <v>176</v>
      </c>
      <c r="R27" s="107">
        <f>MAX($C20:R20)</f>
        <v>176</v>
      </c>
      <c r="S27" s="107">
        <f>MAX($C20:S20)</f>
        <v>176</v>
      </c>
      <c r="T27" s="107">
        <f>MAX($C20:T20)</f>
        <v>176</v>
      </c>
      <c r="U27" s="107">
        <f>MAX($C20:U20)</f>
        <v>176</v>
      </c>
      <c r="V27" s="107">
        <f>MAX($C20:V20)</f>
        <v>176</v>
      </c>
      <c r="W27" s="107">
        <f>MAX($C20:W20)</f>
        <v>176</v>
      </c>
      <c r="X27" s="107">
        <f>MAX($C20:X20)</f>
        <v>176</v>
      </c>
    </row>
    <row r="28" spans="1:25" ht="13.15" x14ac:dyDescent="0.4">
      <c r="A28">
        <v>22</v>
      </c>
      <c r="B28" s="151" t="s">
        <v>78</v>
      </c>
      <c r="C28" s="19">
        <f>MAX(C21)</f>
        <v>211</v>
      </c>
      <c r="D28" s="107">
        <f>MAX($C21:D21)</f>
        <v>211</v>
      </c>
      <c r="E28" s="107">
        <f>MAX($C21:E21)</f>
        <v>211</v>
      </c>
      <c r="F28" s="107">
        <f>MAX($C21:F21)</f>
        <v>211</v>
      </c>
      <c r="G28" s="107">
        <f>MAX($C21:G21)</f>
        <v>252</v>
      </c>
      <c r="H28" s="107">
        <f>MAX($C21:H21)</f>
        <v>252</v>
      </c>
      <c r="I28" s="107">
        <f>MAX($C21:I21)</f>
        <v>252</v>
      </c>
      <c r="J28" s="107">
        <f>MAX($C21:J21)</f>
        <v>252</v>
      </c>
      <c r="K28" s="107">
        <f>MAX($C21:K21)</f>
        <v>252</v>
      </c>
      <c r="L28" s="107">
        <f>MAX($C21:L21)</f>
        <v>252</v>
      </c>
      <c r="M28" s="107">
        <f>MAX($C21:M21)</f>
        <v>252</v>
      </c>
      <c r="N28" s="107">
        <f>MAX($C21:N21)</f>
        <v>252</v>
      </c>
      <c r="O28" s="107">
        <f>MAX($C21:O21)</f>
        <v>252</v>
      </c>
      <c r="P28" s="107">
        <f>MAX($C21:P21)</f>
        <v>252</v>
      </c>
      <c r="Q28" s="107">
        <f>MAX($C21:Q21)</f>
        <v>252</v>
      </c>
      <c r="R28" s="107">
        <f>MAX($C21:R21)</f>
        <v>252</v>
      </c>
      <c r="S28" s="107">
        <f>MAX($C21:S21)</f>
        <v>252</v>
      </c>
      <c r="T28" s="107">
        <f>MAX($C21:T21)</f>
        <v>252</v>
      </c>
      <c r="U28" s="107">
        <f>MAX($C21:U21)</f>
        <v>252</v>
      </c>
      <c r="V28" s="107">
        <f>MAX($C21:V21)</f>
        <v>252</v>
      </c>
      <c r="W28" s="107">
        <f>MAX($C21:W21)</f>
        <v>252</v>
      </c>
      <c r="X28" s="107">
        <f>MAX($C21:X21)</f>
        <v>252</v>
      </c>
    </row>
    <row r="29" spans="1:25" ht="26.25" x14ac:dyDescent="0.4">
      <c r="A29">
        <v>23</v>
      </c>
      <c r="B29" s="151" t="s">
        <v>79</v>
      </c>
      <c r="C29" s="19">
        <f>MAX(C22)</f>
        <v>338</v>
      </c>
      <c r="D29" s="107">
        <f>MAX($C22:D22)</f>
        <v>338</v>
      </c>
      <c r="E29" s="107">
        <f>MAX($C22:E22)</f>
        <v>338</v>
      </c>
      <c r="F29" s="107">
        <f>MAX($C22:F22)</f>
        <v>355</v>
      </c>
      <c r="G29" s="107">
        <f>MAX($C22:G22)</f>
        <v>480</v>
      </c>
      <c r="H29" s="107">
        <f>MAX($C22:H22)</f>
        <v>480</v>
      </c>
      <c r="I29" s="107">
        <f>MAX($C22:I22)</f>
        <v>480</v>
      </c>
      <c r="J29" s="107">
        <f>MAX($C22:J22)</f>
        <v>480</v>
      </c>
      <c r="K29" s="107">
        <f>MAX($C22:K22)</f>
        <v>480</v>
      </c>
      <c r="L29" s="107">
        <f>MAX($C22:L22)</f>
        <v>480</v>
      </c>
      <c r="M29" s="107">
        <f>MAX($C22:M22)</f>
        <v>480</v>
      </c>
      <c r="N29" s="107">
        <f>MAX($C22:N22)</f>
        <v>480</v>
      </c>
      <c r="O29" s="107">
        <f>MAX($C22:O22)</f>
        <v>480</v>
      </c>
      <c r="P29" s="107">
        <f>MAX($C22:P22)</f>
        <v>480</v>
      </c>
      <c r="Q29" s="107">
        <f>MAX($C22:Q22)</f>
        <v>480</v>
      </c>
      <c r="R29" s="107">
        <f>MAX($C22:R22)</f>
        <v>480</v>
      </c>
      <c r="S29" s="107">
        <f>MAX($C22:S22)</f>
        <v>480</v>
      </c>
      <c r="T29" s="107">
        <f>MAX($C22:T22)</f>
        <v>480</v>
      </c>
      <c r="U29" s="107">
        <f>MAX($C22:U22)</f>
        <v>480</v>
      </c>
      <c r="V29" s="107">
        <f>MAX($C22:V22)</f>
        <v>480</v>
      </c>
      <c r="W29" s="107">
        <f>MAX($C22:W22)</f>
        <v>480</v>
      </c>
      <c r="X29" s="107">
        <f>MAX($C22:X22)</f>
        <v>480</v>
      </c>
    </row>
    <row r="30" spans="1:25" ht="13.15" x14ac:dyDescent="0.4">
      <c r="A30">
        <v>24</v>
      </c>
      <c r="B30" s="151" t="s">
        <v>80</v>
      </c>
      <c r="C30" s="19">
        <f>MAX(C23)</f>
        <v>563</v>
      </c>
      <c r="D30" s="107">
        <f>MAX($C23:D23)</f>
        <v>563</v>
      </c>
      <c r="E30" s="107">
        <f>MAX($C23:E23)</f>
        <v>563</v>
      </c>
      <c r="F30" s="107">
        <f>MAX($C23:F23)</f>
        <v>580</v>
      </c>
      <c r="G30" s="107">
        <f>MAX($C23:G23)</f>
        <v>708</v>
      </c>
      <c r="H30" s="107">
        <f>MAX($C23:H23)</f>
        <v>708</v>
      </c>
      <c r="I30" s="107">
        <f>MAX($C23:I23)</f>
        <v>708</v>
      </c>
      <c r="J30" s="107">
        <f>MAX($C23:J23)</f>
        <v>708</v>
      </c>
      <c r="K30" s="107">
        <f>MAX($C23:K23)</f>
        <v>708</v>
      </c>
      <c r="L30" s="107">
        <f>MAX($C23:L23)</f>
        <v>708</v>
      </c>
      <c r="M30" s="107">
        <f>MAX($C23:M23)</f>
        <v>708</v>
      </c>
      <c r="N30" s="107">
        <f>MAX($C23:N23)</f>
        <v>708</v>
      </c>
      <c r="O30" s="107">
        <f>MAX($C23:O23)</f>
        <v>708</v>
      </c>
      <c r="P30" s="107">
        <f>MAX($C23:P23)</f>
        <v>708</v>
      </c>
      <c r="Q30" s="107">
        <f>MAX($C23:Q23)</f>
        <v>708</v>
      </c>
      <c r="R30" s="107">
        <f>MAX($C23:R23)</f>
        <v>708</v>
      </c>
      <c r="S30" s="107">
        <f>MAX($C23:S23)</f>
        <v>708</v>
      </c>
      <c r="T30" s="107">
        <f>MAX($C23:T23)</f>
        <v>708</v>
      </c>
      <c r="U30" s="107">
        <f>MAX($C23:U23)</f>
        <v>708</v>
      </c>
      <c r="V30" s="107">
        <f>MAX($C23:V23)</f>
        <v>708</v>
      </c>
      <c r="W30" s="107">
        <f>MAX($C23:W23)</f>
        <v>708</v>
      </c>
      <c r="X30" s="107">
        <f>MAX($C23:X23)</f>
        <v>708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215</v>
      </c>
      <c r="G2" s="240" t="s">
        <v>211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56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59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119</v>
      </c>
      <c r="D9">
        <v>106</v>
      </c>
      <c r="E9">
        <v>110</v>
      </c>
      <c r="G9">
        <v>132</v>
      </c>
      <c r="I9">
        <v>201</v>
      </c>
      <c r="J9">
        <v>114</v>
      </c>
      <c r="K9">
        <v>127</v>
      </c>
      <c r="L9">
        <v>162</v>
      </c>
      <c r="M9">
        <v>114</v>
      </c>
      <c r="N9">
        <v>138</v>
      </c>
      <c r="O9">
        <v>189</v>
      </c>
      <c r="P9">
        <v>124</v>
      </c>
      <c r="Q9">
        <v>111</v>
      </c>
      <c r="R9">
        <v>138</v>
      </c>
      <c r="S9">
        <v>137</v>
      </c>
      <c r="T9">
        <v>121</v>
      </c>
      <c r="U9">
        <v>124</v>
      </c>
      <c r="V9">
        <v>172</v>
      </c>
    </row>
    <row r="10" spans="1:24" ht="13.15" x14ac:dyDescent="0.4">
      <c r="A10">
        <v>4</v>
      </c>
      <c r="B10" s="3" t="s">
        <v>15</v>
      </c>
      <c r="C10">
        <v>136</v>
      </c>
      <c r="D10">
        <v>137</v>
      </c>
      <c r="E10">
        <v>101</v>
      </c>
      <c r="G10">
        <v>154</v>
      </c>
      <c r="I10">
        <v>146</v>
      </c>
      <c r="J10">
        <v>93</v>
      </c>
      <c r="K10">
        <v>174</v>
      </c>
      <c r="L10">
        <v>172</v>
      </c>
      <c r="M10">
        <v>140</v>
      </c>
      <c r="N10">
        <v>167</v>
      </c>
      <c r="O10">
        <v>135</v>
      </c>
      <c r="P10">
        <v>170</v>
      </c>
      <c r="Q10">
        <v>140</v>
      </c>
      <c r="S10">
        <v>168</v>
      </c>
      <c r="U10">
        <v>135</v>
      </c>
      <c r="V10">
        <v>112</v>
      </c>
    </row>
    <row r="11" spans="1:24" ht="13.15" x14ac:dyDescent="0.4">
      <c r="A11">
        <v>5</v>
      </c>
      <c r="B11" s="3" t="s">
        <v>16</v>
      </c>
      <c r="D11">
        <v>121</v>
      </c>
      <c r="E11">
        <v>127</v>
      </c>
      <c r="G11">
        <v>166</v>
      </c>
      <c r="I11">
        <v>121</v>
      </c>
      <c r="J11">
        <v>118</v>
      </c>
      <c r="K11">
        <v>167</v>
      </c>
      <c r="L11">
        <v>134</v>
      </c>
      <c r="M11">
        <v>146</v>
      </c>
      <c r="P11">
        <v>121</v>
      </c>
      <c r="Q11">
        <v>133</v>
      </c>
      <c r="S11">
        <v>154</v>
      </c>
      <c r="V11">
        <v>149</v>
      </c>
    </row>
    <row r="12" spans="1:24" ht="13.15" x14ac:dyDescent="0.4">
      <c r="A12">
        <v>6</v>
      </c>
      <c r="B12" s="3" t="s">
        <v>64</v>
      </c>
      <c r="D12">
        <v>126</v>
      </c>
      <c r="G12">
        <v>142</v>
      </c>
      <c r="J12">
        <v>126</v>
      </c>
      <c r="P12">
        <v>132</v>
      </c>
      <c r="Q12">
        <v>148</v>
      </c>
      <c r="R12">
        <v>143</v>
      </c>
      <c r="V12">
        <v>106</v>
      </c>
    </row>
    <row r="13" spans="1:24" ht="13.15" x14ac:dyDescent="0.4">
      <c r="A13">
        <v>7</v>
      </c>
      <c r="B13" s="3" t="s">
        <v>65</v>
      </c>
      <c r="D13">
        <v>147</v>
      </c>
      <c r="G13">
        <v>141</v>
      </c>
      <c r="J13">
        <v>177</v>
      </c>
      <c r="Q13">
        <v>125</v>
      </c>
    </row>
    <row r="14" spans="1:24" ht="13.15" x14ac:dyDescent="0.4">
      <c r="A14">
        <v>8</v>
      </c>
      <c r="B14" s="3" t="s">
        <v>66</v>
      </c>
      <c r="D14">
        <v>109</v>
      </c>
      <c r="G14">
        <v>144</v>
      </c>
      <c r="J14">
        <v>120</v>
      </c>
      <c r="Q14">
        <v>155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255</v>
      </c>
      <c r="D15" s="18">
        <f t="shared" si="2"/>
        <v>746</v>
      </c>
      <c r="E15" s="18">
        <f t="shared" si="2"/>
        <v>338</v>
      </c>
      <c r="F15" s="18">
        <f t="shared" si="2"/>
        <v>0</v>
      </c>
      <c r="G15" s="18">
        <f t="shared" si="2"/>
        <v>879</v>
      </c>
      <c r="H15" s="18">
        <f t="shared" si="2"/>
        <v>0</v>
      </c>
      <c r="I15" s="18">
        <f t="shared" si="2"/>
        <v>468</v>
      </c>
      <c r="J15" s="18">
        <f t="shared" si="2"/>
        <v>748</v>
      </c>
      <c r="K15" s="18">
        <f t="shared" si="2"/>
        <v>468</v>
      </c>
      <c r="L15" s="18">
        <f t="shared" si="2"/>
        <v>468</v>
      </c>
      <c r="M15" s="18">
        <f t="shared" si="2"/>
        <v>400</v>
      </c>
      <c r="N15" s="18">
        <f t="shared" si="2"/>
        <v>305</v>
      </c>
      <c r="O15" s="18">
        <f t="shared" si="2"/>
        <v>324</v>
      </c>
      <c r="P15" s="18">
        <f t="shared" si="2"/>
        <v>547</v>
      </c>
      <c r="Q15" s="18">
        <f t="shared" si="2"/>
        <v>812</v>
      </c>
      <c r="R15" s="18">
        <f t="shared" si="2"/>
        <v>281</v>
      </c>
      <c r="S15" s="18">
        <f t="shared" si="2"/>
        <v>459</v>
      </c>
      <c r="T15" s="18">
        <f t="shared" si="2"/>
        <v>121</v>
      </c>
      <c r="U15" s="18">
        <f t="shared" si="2"/>
        <v>259</v>
      </c>
      <c r="V15" s="18">
        <f t="shared" si="2"/>
        <v>539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255</v>
      </c>
      <c r="D16" s="19">
        <f t="shared" ref="D16:X16" si="3">+D15+C16</f>
        <v>1001</v>
      </c>
      <c r="E16" s="19">
        <f t="shared" si="3"/>
        <v>1339</v>
      </c>
      <c r="F16" s="19">
        <f t="shared" si="3"/>
        <v>1339</v>
      </c>
      <c r="G16" s="19">
        <f t="shared" si="3"/>
        <v>2218</v>
      </c>
      <c r="H16" s="19">
        <f t="shared" si="3"/>
        <v>2218</v>
      </c>
      <c r="I16" s="19">
        <f t="shared" si="3"/>
        <v>2686</v>
      </c>
      <c r="J16" s="19">
        <f t="shared" si="3"/>
        <v>3434</v>
      </c>
      <c r="K16" s="19">
        <f t="shared" si="3"/>
        <v>3902</v>
      </c>
      <c r="L16" s="19">
        <f t="shared" si="3"/>
        <v>4370</v>
      </c>
      <c r="M16" s="19">
        <f t="shared" si="3"/>
        <v>4770</v>
      </c>
      <c r="N16" s="19">
        <f t="shared" si="3"/>
        <v>5075</v>
      </c>
      <c r="O16" s="19">
        <f t="shared" si="3"/>
        <v>5399</v>
      </c>
      <c r="P16" s="19">
        <f t="shared" si="3"/>
        <v>5946</v>
      </c>
      <c r="Q16" s="19">
        <f t="shared" si="3"/>
        <v>6758</v>
      </c>
      <c r="R16" s="19">
        <f t="shared" si="3"/>
        <v>7039</v>
      </c>
      <c r="S16" s="19">
        <f t="shared" si="3"/>
        <v>7498</v>
      </c>
      <c r="T16" s="19">
        <f t="shared" si="3"/>
        <v>7619</v>
      </c>
      <c r="U16" s="19">
        <f t="shared" si="3"/>
        <v>7878</v>
      </c>
      <c r="V16" s="19">
        <f t="shared" si="3"/>
        <v>8417</v>
      </c>
      <c r="W16" s="19">
        <f t="shared" si="3"/>
        <v>8417</v>
      </c>
      <c r="X16" s="19">
        <f t="shared" si="3"/>
        <v>8417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127.5</v>
      </c>
      <c r="D17" s="20">
        <f t="shared" si="4"/>
        <v>125.125</v>
      </c>
      <c r="E17" s="20">
        <f t="shared" si="4"/>
        <v>121.72727272727273</v>
      </c>
      <c r="F17" s="20">
        <f t="shared" si="4"/>
        <v>121.72727272727273</v>
      </c>
      <c r="G17" s="20">
        <f t="shared" si="4"/>
        <v>130.47058823529412</v>
      </c>
      <c r="H17" s="20">
        <f t="shared" si="4"/>
        <v>130.47058823529412</v>
      </c>
      <c r="I17" s="20">
        <f t="shared" si="4"/>
        <v>134.30000000000001</v>
      </c>
      <c r="J17" s="20">
        <f t="shared" si="4"/>
        <v>132.07692307692307</v>
      </c>
      <c r="K17" s="20">
        <f t="shared" si="4"/>
        <v>134.55172413793105</v>
      </c>
      <c r="L17" s="20">
        <f t="shared" si="4"/>
        <v>136.5625</v>
      </c>
      <c r="M17" s="20">
        <f t="shared" si="4"/>
        <v>136.28571428571428</v>
      </c>
      <c r="N17" s="20">
        <f t="shared" si="4"/>
        <v>137.16216216216216</v>
      </c>
      <c r="O17" s="20">
        <f t="shared" si="4"/>
        <v>138.43589743589743</v>
      </c>
      <c r="P17" s="20">
        <f t="shared" si="4"/>
        <v>138.27906976744185</v>
      </c>
      <c r="Q17" s="20">
        <f t="shared" si="4"/>
        <v>137.91836734693877</v>
      </c>
      <c r="R17" s="20">
        <f t="shared" si="4"/>
        <v>138.01960784313727</v>
      </c>
      <c r="S17" s="20">
        <f t="shared" si="4"/>
        <v>138.85185185185185</v>
      </c>
      <c r="T17" s="20">
        <f t="shared" si="4"/>
        <v>138.52727272727273</v>
      </c>
      <c r="U17" s="20">
        <f t="shared" si="4"/>
        <v>138.21052631578948</v>
      </c>
      <c r="V17" s="20">
        <f t="shared" si="4"/>
        <v>137.98360655737704</v>
      </c>
      <c r="W17" s="20">
        <f t="shared" si="4"/>
        <v>137.98360655737704</v>
      </c>
      <c r="X17" s="20">
        <f t="shared" si="4"/>
        <v>137.98360655737704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65</v>
      </c>
      <c r="D18" s="19">
        <f t="shared" si="5"/>
        <v>67</v>
      </c>
      <c r="E18" s="19">
        <f t="shared" si="5"/>
        <v>70</v>
      </c>
      <c r="F18" s="19">
        <f t="shared" si="5"/>
        <v>70</v>
      </c>
      <c r="G18" s="19">
        <f t="shared" si="5"/>
        <v>63</v>
      </c>
      <c r="H18" s="19">
        <f t="shared" si="5"/>
        <v>63</v>
      </c>
      <c r="I18" s="19">
        <f t="shared" si="5"/>
        <v>59</v>
      </c>
      <c r="J18" s="19">
        <f t="shared" si="5"/>
        <v>61</v>
      </c>
      <c r="K18" s="19">
        <f t="shared" si="5"/>
        <v>59</v>
      </c>
      <c r="L18" s="19">
        <f t="shared" si="5"/>
        <v>57</v>
      </c>
      <c r="M18" s="19">
        <f t="shared" si="5"/>
        <v>57</v>
      </c>
      <c r="N18" s="19">
        <f t="shared" si="5"/>
        <v>57</v>
      </c>
      <c r="O18" s="19">
        <f t="shared" si="5"/>
        <v>55</v>
      </c>
      <c r="P18" s="19">
        <f t="shared" si="5"/>
        <v>56</v>
      </c>
      <c r="Q18" s="19">
        <f t="shared" si="5"/>
        <v>56</v>
      </c>
      <c r="R18" s="19">
        <f t="shared" si="5"/>
        <v>56</v>
      </c>
      <c r="S18" s="19">
        <f t="shared" si="5"/>
        <v>55</v>
      </c>
      <c r="T18" s="19">
        <f t="shared" si="5"/>
        <v>55</v>
      </c>
      <c r="U18" s="19">
        <f t="shared" si="5"/>
        <v>56</v>
      </c>
      <c r="V18" s="19">
        <f t="shared" si="5"/>
        <v>56</v>
      </c>
      <c r="W18" s="19">
        <f t="shared" si="5"/>
        <v>56</v>
      </c>
      <c r="X18" s="19">
        <f t="shared" si="5"/>
        <v>56</v>
      </c>
    </row>
    <row r="19" spans="1:25" ht="13.15" x14ac:dyDescent="0.4">
      <c r="A19">
        <v>13</v>
      </c>
      <c r="B19" s="4" t="s">
        <v>9</v>
      </c>
      <c r="C19" s="19">
        <f>COUNT(C9:C14)</f>
        <v>2</v>
      </c>
      <c r="D19" s="19">
        <f t="shared" ref="D19:X19" si="6">COUNT(D9:D14)+C19</f>
        <v>8</v>
      </c>
      <c r="E19" s="19">
        <f t="shared" si="6"/>
        <v>11</v>
      </c>
      <c r="F19" s="19">
        <f t="shared" si="6"/>
        <v>11</v>
      </c>
      <c r="G19" s="19">
        <f t="shared" si="6"/>
        <v>17</v>
      </c>
      <c r="H19" s="19">
        <f t="shared" si="6"/>
        <v>17</v>
      </c>
      <c r="I19" s="19">
        <f t="shared" si="6"/>
        <v>20</v>
      </c>
      <c r="J19" s="19">
        <f t="shared" si="6"/>
        <v>26</v>
      </c>
      <c r="K19" s="19">
        <f t="shared" si="6"/>
        <v>29</v>
      </c>
      <c r="L19" s="19">
        <f t="shared" si="6"/>
        <v>32</v>
      </c>
      <c r="M19" s="19">
        <f t="shared" si="6"/>
        <v>35</v>
      </c>
      <c r="N19" s="19">
        <f t="shared" si="6"/>
        <v>37</v>
      </c>
      <c r="O19" s="19">
        <f t="shared" si="6"/>
        <v>39</v>
      </c>
      <c r="P19" s="19">
        <f t="shared" si="6"/>
        <v>43</v>
      </c>
      <c r="Q19" s="19">
        <f t="shared" si="6"/>
        <v>49</v>
      </c>
      <c r="R19" s="19">
        <f t="shared" si="6"/>
        <v>51</v>
      </c>
      <c r="S19" s="19">
        <f t="shared" si="6"/>
        <v>54</v>
      </c>
      <c r="T19" s="19">
        <f t="shared" si="6"/>
        <v>55</v>
      </c>
      <c r="U19" s="19">
        <f t="shared" si="6"/>
        <v>57</v>
      </c>
      <c r="V19" s="19">
        <f t="shared" si="6"/>
        <v>61</v>
      </c>
      <c r="W19" s="19">
        <f t="shared" si="6"/>
        <v>61</v>
      </c>
      <c r="X19" s="19">
        <f t="shared" si="6"/>
        <v>61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136</v>
      </c>
      <c r="D20" s="19">
        <f t="shared" si="7"/>
        <v>147</v>
      </c>
      <c r="E20" s="19">
        <f t="shared" si="7"/>
        <v>127</v>
      </c>
      <c r="F20" s="19">
        <f t="shared" si="7"/>
        <v>0</v>
      </c>
      <c r="G20" s="19">
        <f t="shared" si="7"/>
        <v>166</v>
      </c>
      <c r="H20" s="19">
        <f t="shared" si="7"/>
        <v>0</v>
      </c>
      <c r="I20" s="19">
        <f t="shared" si="7"/>
        <v>201</v>
      </c>
      <c r="J20" s="19">
        <f t="shared" si="7"/>
        <v>177</v>
      </c>
      <c r="K20" s="19">
        <f t="shared" si="7"/>
        <v>174</v>
      </c>
      <c r="L20" s="19">
        <f t="shared" si="7"/>
        <v>172</v>
      </c>
      <c r="M20" s="19">
        <f t="shared" si="7"/>
        <v>146</v>
      </c>
      <c r="N20" s="19">
        <f t="shared" si="7"/>
        <v>167</v>
      </c>
      <c r="O20" s="19">
        <f t="shared" si="7"/>
        <v>189</v>
      </c>
      <c r="P20" s="19">
        <f t="shared" si="7"/>
        <v>170</v>
      </c>
      <c r="Q20" s="19">
        <f t="shared" si="7"/>
        <v>155</v>
      </c>
      <c r="R20" s="19">
        <f t="shared" si="7"/>
        <v>143</v>
      </c>
      <c r="S20" s="19">
        <f t="shared" si="7"/>
        <v>168</v>
      </c>
      <c r="T20" s="19">
        <f t="shared" si="7"/>
        <v>121</v>
      </c>
      <c r="U20" s="19">
        <f t="shared" si="7"/>
        <v>135</v>
      </c>
      <c r="V20" s="19">
        <f t="shared" si="7"/>
        <v>172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195</v>
      </c>
      <c r="D21" s="19">
        <f>MAX(D$9:D$14)+$I$5</f>
        <v>206</v>
      </c>
      <c r="E21" s="19">
        <f t="shared" ref="E21:X21" si="8">MAX(E$9:E$14)+D18</f>
        <v>194</v>
      </c>
      <c r="F21" s="19">
        <f t="shared" si="8"/>
        <v>70</v>
      </c>
      <c r="G21" s="19">
        <f t="shared" si="8"/>
        <v>236</v>
      </c>
      <c r="H21" s="19">
        <f t="shared" si="8"/>
        <v>63</v>
      </c>
      <c r="I21" s="19">
        <f t="shared" si="8"/>
        <v>264</v>
      </c>
      <c r="J21" s="19">
        <f t="shared" si="8"/>
        <v>236</v>
      </c>
      <c r="K21" s="19">
        <f t="shared" si="8"/>
        <v>235</v>
      </c>
      <c r="L21" s="19">
        <f t="shared" si="8"/>
        <v>231</v>
      </c>
      <c r="M21" s="19">
        <f t="shared" si="8"/>
        <v>203</v>
      </c>
      <c r="N21" s="19">
        <f t="shared" si="8"/>
        <v>224</v>
      </c>
      <c r="O21" s="19">
        <f t="shared" si="8"/>
        <v>246</v>
      </c>
      <c r="P21" s="19">
        <f t="shared" si="8"/>
        <v>225</v>
      </c>
      <c r="Q21" s="19">
        <f t="shared" si="8"/>
        <v>211</v>
      </c>
      <c r="R21" s="19">
        <f t="shared" si="8"/>
        <v>199</v>
      </c>
      <c r="S21" s="19">
        <f t="shared" si="8"/>
        <v>224</v>
      </c>
      <c r="T21" s="19">
        <f t="shared" si="8"/>
        <v>176</v>
      </c>
      <c r="U21" s="19">
        <f t="shared" si="8"/>
        <v>190</v>
      </c>
      <c r="V21" s="19">
        <f t="shared" si="8"/>
        <v>228</v>
      </c>
      <c r="W21" s="19">
        <f t="shared" si="8"/>
        <v>56</v>
      </c>
      <c r="X21" s="19">
        <f t="shared" si="8"/>
        <v>56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255</v>
      </c>
      <c r="D22" s="19">
        <f t="shared" ref="D22:X22" si="9">MAX(SUM(D$9:D$11),SUM(D$12:D$14))</f>
        <v>382</v>
      </c>
      <c r="E22" s="19">
        <f t="shared" si="9"/>
        <v>338</v>
      </c>
      <c r="F22" s="19">
        <f t="shared" si="9"/>
        <v>0</v>
      </c>
      <c r="G22" s="19">
        <f t="shared" si="9"/>
        <v>452</v>
      </c>
      <c r="H22" s="19">
        <f t="shared" si="9"/>
        <v>0</v>
      </c>
      <c r="I22" s="19">
        <f t="shared" si="9"/>
        <v>468</v>
      </c>
      <c r="J22" s="19">
        <f t="shared" si="9"/>
        <v>423</v>
      </c>
      <c r="K22" s="19">
        <f t="shared" si="9"/>
        <v>468</v>
      </c>
      <c r="L22" s="19">
        <f t="shared" si="9"/>
        <v>468</v>
      </c>
      <c r="M22" s="19">
        <f t="shared" si="9"/>
        <v>400</v>
      </c>
      <c r="N22" s="19">
        <f t="shared" si="9"/>
        <v>305</v>
      </c>
      <c r="O22" s="19">
        <f t="shared" si="9"/>
        <v>324</v>
      </c>
      <c r="P22" s="19">
        <f t="shared" si="9"/>
        <v>415</v>
      </c>
      <c r="Q22" s="19">
        <f t="shared" si="9"/>
        <v>428</v>
      </c>
      <c r="R22" s="19">
        <f t="shared" si="9"/>
        <v>143</v>
      </c>
      <c r="S22" s="19">
        <f t="shared" si="9"/>
        <v>459</v>
      </c>
      <c r="T22" s="19">
        <f t="shared" si="9"/>
        <v>121</v>
      </c>
      <c r="U22" s="19">
        <f t="shared" si="9"/>
        <v>259</v>
      </c>
      <c r="V22" s="19">
        <f t="shared" si="9"/>
        <v>433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432</v>
      </c>
      <c r="D23" s="19">
        <f>MAX(SUM(D$9:D$11),SUM(D$12:D$14))+$I$5*3</f>
        <v>559</v>
      </c>
      <c r="E23" s="19">
        <f t="shared" ref="E23:X23" si="10">MAX(SUM(E$9:E$11),SUM(E$12:E$14))+D18*3</f>
        <v>539</v>
      </c>
      <c r="F23" s="19">
        <f t="shared" si="10"/>
        <v>210</v>
      </c>
      <c r="G23" s="19">
        <f t="shared" si="10"/>
        <v>662</v>
      </c>
      <c r="H23" s="19">
        <f t="shared" si="10"/>
        <v>189</v>
      </c>
      <c r="I23" s="19">
        <f t="shared" si="10"/>
        <v>657</v>
      </c>
      <c r="J23" s="19">
        <f t="shared" si="10"/>
        <v>600</v>
      </c>
      <c r="K23" s="19">
        <f t="shared" si="10"/>
        <v>651</v>
      </c>
      <c r="L23" s="19">
        <f t="shared" si="10"/>
        <v>645</v>
      </c>
      <c r="M23" s="19">
        <f t="shared" si="10"/>
        <v>571</v>
      </c>
      <c r="N23" s="19">
        <f t="shared" si="10"/>
        <v>476</v>
      </c>
      <c r="O23" s="19">
        <f t="shared" si="10"/>
        <v>495</v>
      </c>
      <c r="P23" s="19">
        <f t="shared" si="10"/>
        <v>580</v>
      </c>
      <c r="Q23" s="19">
        <f t="shared" si="10"/>
        <v>596</v>
      </c>
      <c r="R23" s="19">
        <f t="shared" si="10"/>
        <v>311</v>
      </c>
      <c r="S23" s="19">
        <f t="shared" si="10"/>
        <v>627</v>
      </c>
      <c r="T23" s="19">
        <f t="shared" si="10"/>
        <v>286</v>
      </c>
      <c r="U23" s="19">
        <f t="shared" si="10"/>
        <v>424</v>
      </c>
      <c r="V23" s="19">
        <f t="shared" si="10"/>
        <v>601</v>
      </c>
      <c r="W23" s="19">
        <f t="shared" si="10"/>
        <v>168</v>
      </c>
      <c r="X23" s="19">
        <f t="shared" si="10"/>
        <v>168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136</v>
      </c>
      <c r="D27" s="107">
        <f>MAX($C20:D20)</f>
        <v>147</v>
      </c>
      <c r="E27" s="107">
        <f>MAX($C20:E20)</f>
        <v>147</v>
      </c>
      <c r="F27" s="107">
        <f>MAX($C20:F20)</f>
        <v>147</v>
      </c>
      <c r="G27" s="107">
        <f>MAX($C20:G20)</f>
        <v>166</v>
      </c>
      <c r="H27" s="107">
        <f>MAX($C20:H20)</f>
        <v>166</v>
      </c>
      <c r="I27" s="107">
        <f>MAX($C20:I20)</f>
        <v>201</v>
      </c>
      <c r="J27" s="107">
        <f>MAX($C20:J20)</f>
        <v>201</v>
      </c>
      <c r="K27" s="107">
        <f>MAX($C20:K20)</f>
        <v>201</v>
      </c>
      <c r="L27" s="107">
        <f>MAX($C20:L20)</f>
        <v>201</v>
      </c>
      <c r="M27" s="107">
        <f>MAX($C20:M20)</f>
        <v>201</v>
      </c>
      <c r="N27" s="107">
        <f>MAX($C20:N20)</f>
        <v>201</v>
      </c>
      <c r="O27" s="107">
        <f>MAX($C20:O20)</f>
        <v>201</v>
      </c>
      <c r="P27" s="107">
        <f>MAX($C20:P20)</f>
        <v>201</v>
      </c>
      <c r="Q27" s="107">
        <f>MAX($C20:Q20)</f>
        <v>201</v>
      </c>
      <c r="R27" s="107">
        <f>MAX($C20:R20)</f>
        <v>201</v>
      </c>
      <c r="S27" s="107">
        <f>MAX($C20:S20)</f>
        <v>201</v>
      </c>
      <c r="T27" s="107">
        <f>MAX($C20:T20)</f>
        <v>201</v>
      </c>
      <c r="U27" s="107">
        <f>MAX($C20:U20)</f>
        <v>201</v>
      </c>
      <c r="V27" s="107">
        <f>MAX($C20:V20)</f>
        <v>201</v>
      </c>
      <c r="W27" s="107">
        <f>MAX($C20:W20)</f>
        <v>201</v>
      </c>
      <c r="X27" s="107">
        <f>MAX($C20:X20)</f>
        <v>201</v>
      </c>
    </row>
    <row r="28" spans="1:25" ht="13.15" x14ac:dyDescent="0.4">
      <c r="A28">
        <v>22</v>
      </c>
      <c r="B28" s="151" t="s">
        <v>78</v>
      </c>
      <c r="C28" s="19">
        <f>MAX(C21)</f>
        <v>195</v>
      </c>
      <c r="D28" s="107">
        <f>MAX($C21:D21)</f>
        <v>206</v>
      </c>
      <c r="E28" s="107">
        <f>MAX($C21:E21)</f>
        <v>206</v>
      </c>
      <c r="F28" s="107">
        <f>MAX($C21:F21)</f>
        <v>206</v>
      </c>
      <c r="G28" s="107">
        <f>MAX($C21:G21)</f>
        <v>236</v>
      </c>
      <c r="H28" s="107">
        <f>MAX($C21:H21)</f>
        <v>236</v>
      </c>
      <c r="I28" s="107">
        <f>MAX($C21:I21)</f>
        <v>264</v>
      </c>
      <c r="J28" s="107">
        <f>MAX($C21:J21)</f>
        <v>264</v>
      </c>
      <c r="K28" s="107">
        <f>MAX($C21:K21)</f>
        <v>264</v>
      </c>
      <c r="L28" s="107">
        <f>MAX($C21:L21)</f>
        <v>264</v>
      </c>
      <c r="M28" s="107">
        <f>MAX($C21:M21)</f>
        <v>264</v>
      </c>
      <c r="N28" s="107">
        <f>MAX($C21:N21)</f>
        <v>264</v>
      </c>
      <c r="O28" s="107">
        <f>MAX($C21:O21)</f>
        <v>264</v>
      </c>
      <c r="P28" s="107">
        <f>MAX($C21:P21)</f>
        <v>264</v>
      </c>
      <c r="Q28" s="107">
        <f>MAX($C21:Q21)</f>
        <v>264</v>
      </c>
      <c r="R28" s="107">
        <f>MAX($C21:R21)</f>
        <v>264</v>
      </c>
      <c r="S28" s="107">
        <f>MAX($C21:S21)</f>
        <v>264</v>
      </c>
      <c r="T28" s="107">
        <f>MAX($C21:T21)</f>
        <v>264</v>
      </c>
      <c r="U28" s="107">
        <f>MAX($C21:U21)</f>
        <v>264</v>
      </c>
      <c r="V28" s="107">
        <f>MAX($C21:V21)</f>
        <v>264</v>
      </c>
      <c r="W28" s="107">
        <f>MAX($C21:W21)</f>
        <v>264</v>
      </c>
      <c r="X28" s="107">
        <f>MAX($C21:X21)</f>
        <v>264</v>
      </c>
    </row>
    <row r="29" spans="1:25" ht="26.25" x14ac:dyDescent="0.4">
      <c r="A29">
        <v>23</v>
      </c>
      <c r="B29" s="151" t="s">
        <v>79</v>
      </c>
      <c r="C29" s="19">
        <f>MAX(C22)</f>
        <v>255</v>
      </c>
      <c r="D29" s="107">
        <f>MAX($C22:D22)</f>
        <v>382</v>
      </c>
      <c r="E29" s="107">
        <f>MAX($C22:E22)</f>
        <v>382</v>
      </c>
      <c r="F29" s="107">
        <f>MAX($C22:F22)</f>
        <v>382</v>
      </c>
      <c r="G29" s="107">
        <f>MAX($C22:G22)</f>
        <v>452</v>
      </c>
      <c r="H29" s="107">
        <f>MAX($C22:H22)</f>
        <v>452</v>
      </c>
      <c r="I29" s="107">
        <f>MAX($C22:I22)</f>
        <v>468</v>
      </c>
      <c r="J29" s="107">
        <f>MAX($C22:J22)</f>
        <v>468</v>
      </c>
      <c r="K29" s="107">
        <f>MAX($C22:K22)</f>
        <v>468</v>
      </c>
      <c r="L29" s="107">
        <f>MAX($C22:L22)</f>
        <v>468</v>
      </c>
      <c r="M29" s="107">
        <f>MAX($C22:M22)</f>
        <v>468</v>
      </c>
      <c r="N29" s="107">
        <f>MAX($C22:N22)</f>
        <v>468</v>
      </c>
      <c r="O29" s="107">
        <f>MAX($C22:O22)</f>
        <v>468</v>
      </c>
      <c r="P29" s="107">
        <f>MAX($C22:P22)</f>
        <v>468</v>
      </c>
      <c r="Q29" s="107">
        <f>MAX($C22:Q22)</f>
        <v>468</v>
      </c>
      <c r="R29" s="107">
        <f>MAX($C22:R22)</f>
        <v>468</v>
      </c>
      <c r="S29" s="107">
        <f>MAX($C22:S22)</f>
        <v>468</v>
      </c>
      <c r="T29" s="107">
        <f>MAX($C22:T22)</f>
        <v>468</v>
      </c>
      <c r="U29" s="107">
        <f>MAX($C22:U22)</f>
        <v>468</v>
      </c>
      <c r="V29" s="107">
        <f>MAX($C22:V22)</f>
        <v>468</v>
      </c>
      <c r="W29" s="107">
        <f>MAX($C22:W22)</f>
        <v>468</v>
      </c>
      <c r="X29" s="107">
        <f>MAX($C22:X22)</f>
        <v>468</v>
      </c>
    </row>
    <row r="30" spans="1:25" ht="13.15" x14ac:dyDescent="0.4">
      <c r="A30">
        <v>24</v>
      </c>
      <c r="B30" s="151" t="s">
        <v>80</v>
      </c>
      <c r="C30" s="19">
        <f>MAX(C23)</f>
        <v>432</v>
      </c>
      <c r="D30" s="107">
        <f>MAX($C23:D23)</f>
        <v>559</v>
      </c>
      <c r="E30" s="107">
        <f>MAX($C23:E23)</f>
        <v>559</v>
      </c>
      <c r="F30" s="107">
        <f>MAX($C23:F23)</f>
        <v>559</v>
      </c>
      <c r="G30" s="107">
        <f>MAX($C23:G23)</f>
        <v>662</v>
      </c>
      <c r="H30" s="107">
        <f>MAX($C23:H23)</f>
        <v>662</v>
      </c>
      <c r="I30" s="107">
        <f>MAX($C23:I23)</f>
        <v>662</v>
      </c>
      <c r="J30" s="107">
        <f>MAX($C23:J23)</f>
        <v>662</v>
      </c>
      <c r="K30" s="107">
        <f>MAX($C23:K23)</f>
        <v>662</v>
      </c>
      <c r="L30" s="107">
        <f>MAX($C23:L23)</f>
        <v>662</v>
      </c>
      <c r="M30" s="107">
        <f>MAX($C23:M23)</f>
        <v>662</v>
      </c>
      <c r="N30" s="107">
        <f>MAX($C23:N23)</f>
        <v>662</v>
      </c>
      <c r="O30" s="107">
        <f>MAX($C23:O23)</f>
        <v>662</v>
      </c>
      <c r="P30" s="107">
        <f>MAX($C23:P23)</f>
        <v>662</v>
      </c>
      <c r="Q30" s="107">
        <f>MAX($C23:Q23)</f>
        <v>662</v>
      </c>
      <c r="R30" s="107">
        <f>MAX($C23:R23)</f>
        <v>662</v>
      </c>
      <c r="S30" s="107">
        <f>MAX($C23:S23)</f>
        <v>662</v>
      </c>
      <c r="T30" s="107">
        <f>MAX($C23:T23)</f>
        <v>662</v>
      </c>
      <c r="U30" s="107">
        <f>MAX($C23:U23)</f>
        <v>662</v>
      </c>
      <c r="V30" s="107">
        <f>MAX($C23:V23)</f>
        <v>662</v>
      </c>
      <c r="W30" s="107">
        <f>MAX($C23:W23)</f>
        <v>662</v>
      </c>
      <c r="X30" s="107">
        <f>MAX($C23:X23)</f>
        <v>662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281</v>
      </c>
      <c r="G2" s="203" t="s">
        <v>255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75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75</v>
      </c>
      <c r="D21" s="19">
        <f t="shared" si="8"/>
        <v>75</v>
      </c>
      <c r="E21" s="19">
        <f t="shared" si="8"/>
        <v>75</v>
      </c>
      <c r="F21" s="19">
        <f t="shared" si="8"/>
        <v>75</v>
      </c>
      <c r="G21" s="19">
        <f t="shared" si="8"/>
        <v>75</v>
      </c>
      <c r="H21" s="19">
        <f t="shared" si="8"/>
        <v>75</v>
      </c>
      <c r="I21" s="19">
        <f t="shared" si="8"/>
        <v>75</v>
      </c>
      <c r="J21" s="19">
        <f t="shared" si="8"/>
        <v>75</v>
      </c>
      <c r="K21" s="19">
        <f t="shared" si="8"/>
        <v>75</v>
      </c>
      <c r="L21" s="19">
        <f t="shared" si="8"/>
        <v>75</v>
      </c>
      <c r="M21" s="19">
        <f t="shared" si="8"/>
        <v>75</v>
      </c>
      <c r="N21" s="19">
        <f t="shared" si="8"/>
        <v>75</v>
      </c>
      <c r="O21" s="19">
        <f t="shared" si="8"/>
        <v>75</v>
      </c>
      <c r="P21" s="19">
        <f t="shared" si="8"/>
        <v>75</v>
      </c>
      <c r="Q21" s="19">
        <f t="shared" si="8"/>
        <v>75</v>
      </c>
      <c r="R21" s="19">
        <f t="shared" si="8"/>
        <v>75</v>
      </c>
      <c r="S21" s="19">
        <f t="shared" si="8"/>
        <v>75</v>
      </c>
      <c r="T21" s="19">
        <f t="shared" si="8"/>
        <v>75</v>
      </c>
      <c r="U21" s="19">
        <f t="shared" si="8"/>
        <v>75</v>
      </c>
      <c r="V21" s="19">
        <f t="shared" si="8"/>
        <v>75</v>
      </c>
      <c r="W21" s="19">
        <f t="shared" si="8"/>
        <v>75</v>
      </c>
      <c r="X21" s="19">
        <f t="shared" si="8"/>
        <v>75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225</v>
      </c>
      <c r="D23" s="19">
        <f t="shared" ref="D23:X23" si="10">MAX(SUM(D$9:D$11),SUM(D$12:D$14))+$I$5*3</f>
        <v>225</v>
      </c>
      <c r="E23" s="19">
        <f t="shared" si="10"/>
        <v>225</v>
      </c>
      <c r="F23" s="19">
        <f t="shared" si="10"/>
        <v>225</v>
      </c>
      <c r="G23" s="19">
        <f t="shared" si="10"/>
        <v>225</v>
      </c>
      <c r="H23" s="19">
        <f t="shared" si="10"/>
        <v>225</v>
      </c>
      <c r="I23" s="19">
        <f t="shared" si="10"/>
        <v>225</v>
      </c>
      <c r="J23" s="19">
        <f t="shared" si="10"/>
        <v>225</v>
      </c>
      <c r="K23" s="19">
        <f t="shared" si="10"/>
        <v>225</v>
      </c>
      <c r="L23" s="19">
        <f t="shared" si="10"/>
        <v>225</v>
      </c>
      <c r="M23" s="19">
        <f t="shared" si="10"/>
        <v>225</v>
      </c>
      <c r="N23" s="19">
        <f t="shared" si="10"/>
        <v>225</v>
      </c>
      <c r="O23" s="19">
        <f t="shared" si="10"/>
        <v>225</v>
      </c>
      <c r="P23" s="19">
        <f t="shared" si="10"/>
        <v>225</v>
      </c>
      <c r="Q23" s="19">
        <f t="shared" si="10"/>
        <v>225</v>
      </c>
      <c r="R23" s="19">
        <f t="shared" si="10"/>
        <v>225</v>
      </c>
      <c r="S23" s="19">
        <f t="shared" si="10"/>
        <v>225</v>
      </c>
      <c r="T23" s="19">
        <f t="shared" si="10"/>
        <v>225</v>
      </c>
      <c r="U23" s="19">
        <f t="shared" si="10"/>
        <v>225</v>
      </c>
      <c r="V23" s="19">
        <f t="shared" si="10"/>
        <v>225</v>
      </c>
      <c r="W23" s="19">
        <f t="shared" si="10"/>
        <v>225</v>
      </c>
      <c r="X23" s="19">
        <f t="shared" si="10"/>
        <v>225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75</v>
      </c>
      <c r="D28" s="107">
        <f>MAX($C21:D21)</f>
        <v>75</v>
      </c>
      <c r="E28" s="107">
        <f>MAX($C21:E21)</f>
        <v>75</v>
      </c>
      <c r="F28" s="107">
        <f>MAX($C21:F21)</f>
        <v>75</v>
      </c>
      <c r="G28" s="107">
        <f>MAX($C21:G21)</f>
        <v>75</v>
      </c>
      <c r="H28" s="107">
        <f>MAX($C21:H21)</f>
        <v>75</v>
      </c>
      <c r="I28" s="107">
        <f>MAX($C21:I21)</f>
        <v>75</v>
      </c>
      <c r="J28" s="107">
        <f>MAX($C21:J21)</f>
        <v>75</v>
      </c>
      <c r="K28" s="107">
        <f>MAX($C21:K21)</f>
        <v>75</v>
      </c>
      <c r="L28" s="107">
        <f>MAX($C21:L21)</f>
        <v>75</v>
      </c>
      <c r="M28" s="107">
        <f>MAX($C21:M21)</f>
        <v>75</v>
      </c>
      <c r="N28" s="107">
        <f>MAX($C21:N21)</f>
        <v>75</v>
      </c>
      <c r="O28" s="107">
        <f>MAX($C21:O21)</f>
        <v>75</v>
      </c>
      <c r="P28" s="107">
        <f>MAX($C21:P21)</f>
        <v>75</v>
      </c>
      <c r="Q28" s="107">
        <f>MAX($C21:Q21)</f>
        <v>75</v>
      </c>
      <c r="R28" s="107">
        <f>MAX($C21:R21)</f>
        <v>75</v>
      </c>
      <c r="S28" s="107">
        <f>MAX($C21:S21)</f>
        <v>75</v>
      </c>
      <c r="T28" s="107">
        <f>MAX($C21:T21)</f>
        <v>75</v>
      </c>
      <c r="U28" s="107">
        <f>MAX($C21:U21)</f>
        <v>75</v>
      </c>
      <c r="V28" s="107">
        <f>MAX($C21:V21)</f>
        <v>75</v>
      </c>
      <c r="W28" s="107">
        <f>MAX($C21:W21)</f>
        <v>75</v>
      </c>
      <c r="X28" s="107">
        <f>MAX($C21:X21)</f>
        <v>75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225</v>
      </c>
      <c r="D30" s="107">
        <f>MAX($C23:D23)</f>
        <v>225</v>
      </c>
      <c r="E30" s="107">
        <f>MAX($C23:E23)</f>
        <v>225</v>
      </c>
      <c r="F30" s="107">
        <f>MAX($C23:F23)</f>
        <v>225</v>
      </c>
      <c r="G30" s="107">
        <f>MAX($C23:G23)</f>
        <v>225</v>
      </c>
      <c r="H30" s="107">
        <f>MAX($C23:H23)</f>
        <v>225</v>
      </c>
      <c r="I30" s="107">
        <f>MAX($C23:I23)</f>
        <v>225</v>
      </c>
      <c r="J30" s="107">
        <f>MAX($C23:J23)</f>
        <v>225</v>
      </c>
      <c r="K30" s="107">
        <f>MAX($C23:K23)</f>
        <v>225</v>
      </c>
      <c r="L30" s="107">
        <f>MAX($C23:L23)</f>
        <v>225</v>
      </c>
      <c r="M30" s="107">
        <f>MAX($C23:M23)</f>
        <v>225</v>
      </c>
      <c r="N30" s="107">
        <f>MAX($C23:N23)</f>
        <v>225</v>
      </c>
      <c r="O30" s="107">
        <f>MAX($C23:O23)</f>
        <v>225</v>
      </c>
      <c r="P30" s="107">
        <f>MAX($C23:P23)</f>
        <v>225</v>
      </c>
      <c r="Q30" s="107">
        <f>MAX($C23:Q23)</f>
        <v>225</v>
      </c>
      <c r="R30" s="107">
        <f>MAX($C23:R23)</f>
        <v>225</v>
      </c>
      <c r="S30" s="107">
        <f>MAX($C23:S23)</f>
        <v>225</v>
      </c>
      <c r="T30" s="107">
        <f>MAX($C23:T23)</f>
        <v>225</v>
      </c>
      <c r="U30" s="107">
        <f>MAX($C23:U23)</f>
        <v>225</v>
      </c>
      <c r="V30" s="107">
        <f>MAX($C23:V23)</f>
        <v>225</v>
      </c>
      <c r="W30" s="107">
        <f>MAX($C23:W23)</f>
        <v>225</v>
      </c>
      <c r="X30" s="107">
        <f>MAX($C23:X23)</f>
        <v>225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253</v>
      </c>
      <c r="G2" s="203" t="s">
        <v>254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59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63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I9">
        <v>152</v>
      </c>
      <c r="J9">
        <v>131</v>
      </c>
    </row>
    <row r="10" spans="1:24" ht="13.15" x14ac:dyDescent="0.4">
      <c r="A10">
        <v>4</v>
      </c>
      <c r="B10" s="3" t="s">
        <v>15</v>
      </c>
      <c r="J10">
        <v>119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152</v>
      </c>
      <c r="J15" s="18">
        <f t="shared" si="2"/>
        <v>250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152</v>
      </c>
      <c r="J16" s="19">
        <f t="shared" si="3"/>
        <v>402</v>
      </c>
      <c r="K16" s="19">
        <f t="shared" si="3"/>
        <v>402</v>
      </c>
      <c r="L16" s="19">
        <f t="shared" si="3"/>
        <v>402</v>
      </c>
      <c r="M16" s="19">
        <f t="shared" si="3"/>
        <v>402</v>
      </c>
      <c r="N16" s="19">
        <f t="shared" si="3"/>
        <v>402</v>
      </c>
      <c r="O16" s="19">
        <f t="shared" si="3"/>
        <v>402</v>
      </c>
      <c r="P16" s="19">
        <f t="shared" si="3"/>
        <v>402</v>
      </c>
      <c r="Q16" s="19">
        <f t="shared" si="3"/>
        <v>402</v>
      </c>
      <c r="R16" s="19">
        <f t="shared" si="3"/>
        <v>402</v>
      </c>
      <c r="S16" s="19">
        <f t="shared" si="3"/>
        <v>402</v>
      </c>
      <c r="T16" s="19">
        <f t="shared" si="3"/>
        <v>402</v>
      </c>
      <c r="U16" s="19">
        <f t="shared" si="3"/>
        <v>402</v>
      </c>
      <c r="V16" s="19">
        <f t="shared" si="3"/>
        <v>402</v>
      </c>
      <c r="W16" s="19">
        <f t="shared" si="3"/>
        <v>402</v>
      </c>
      <c r="X16" s="19">
        <f t="shared" si="3"/>
        <v>402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>
        <f t="shared" si="4"/>
        <v>152</v>
      </c>
      <c r="J17" s="20">
        <f t="shared" si="4"/>
        <v>134</v>
      </c>
      <c r="K17" s="20">
        <f t="shared" si="4"/>
        <v>134</v>
      </c>
      <c r="L17" s="20">
        <f t="shared" si="4"/>
        <v>134</v>
      </c>
      <c r="M17" s="20">
        <f t="shared" si="4"/>
        <v>134</v>
      </c>
      <c r="N17" s="20">
        <f t="shared" si="4"/>
        <v>134</v>
      </c>
      <c r="O17" s="20">
        <f t="shared" si="4"/>
        <v>134</v>
      </c>
      <c r="P17" s="20">
        <f t="shared" si="4"/>
        <v>134</v>
      </c>
      <c r="Q17" s="20">
        <f t="shared" si="4"/>
        <v>134</v>
      </c>
      <c r="R17" s="20">
        <f t="shared" si="4"/>
        <v>134</v>
      </c>
      <c r="S17" s="20">
        <f t="shared" si="4"/>
        <v>134</v>
      </c>
      <c r="T17" s="20">
        <f t="shared" si="4"/>
        <v>134</v>
      </c>
      <c r="U17" s="20">
        <f t="shared" si="4"/>
        <v>134</v>
      </c>
      <c r="V17" s="20">
        <f t="shared" si="4"/>
        <v>134</v>
      </c>
      <c r="W17" s="20">
        <f t="shared" si="4"/>
        <v>134</v>
      </c>
      <c r="X17" s="20">
        <f t="shared" si="4"/>
        <v>134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>
        <f t="shared" si="5"/>
        <v>43</v>
      </c>
      <c r="J18" s="19">
        <f t="shared" si="5"/>
        <v>59</v>
      </c>
      <c r="K18" s="19">
        <f t="shared" si="5"/>
        <v>59</v>
      </c>
      <c r="L18" s="19">
        <f t="shared" si="5"/>
        <v>59</v>
      </c>
      <c r="M18" s="19">
        <f t="shared" si="5"/>
        <v>59</v>
      </c>
      <c r="N18" s="19">
        <f t="shared" si="5"/>
        <v>59</v>
      </c>
      <c r="O18" s="19">
        <f t="shared" si="5"/>
        <v>59</v>
      </c>
      <c r="P18" s="19">
        <f t="shared" si="5"/>
        <v>59</v>
      </c>
      <c r="Q18" s="19">
        <f t="shared" si="5"/>
        <v>59</v>
      </c>
      <c r="R18" s="19">
        <f t="shared" si="5"/>
        <v>59</v>
      </c>
      <c r="S18" s="19">
        <f t="shared" si="5"/>
        <v>59</v>
      </c>
      <c r="T18" s="19">
        <f t="shared" si="5"/>
        <v>59</v>
      </c>
      <c r="U18" s="19">
        <f t="shared" si="5"/>
        <v>59</v>
      </c>
      <c r="V18" s="19">
        <f t="shared" si="5"/>
        <v>59</v>
      </c>
      <c r="W18" s="19">
        <f t="shared" si="5"/>
        <v>59</v>
      </c>
      <c r="X18" s="19">
        <f t="shared" si="5"/>
        <v>59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1</v>
      </c>
      <c r="J19" s="19">
        <f t="shared" si="6"/>
        <v>3</v>
      </c>
      <c r="K19" s="19">
        <f t="shared" si="6"/>
        <v>3</v>
      </c>
      <c r="L19" s="19">
        <f t="shared" si="6"/>
        <v>3</v>
      </c>
      <c r="M19" s="19">
        <f t="shared" si="6"/>
        <v>3</v>
      </c>
      <c r="N19" s="19">
        <f t="shared" si="6"/>
        <v>3</v>
      </c>
      <c r="O19" s="19">
        <f t="shared" si="6"/>
        <v>3</v>
      </c>
      <c r="P19" s="19">
        <f t="shared" si="6"/>
        <v>3</v>
      </c>
      <c r="Q19" s="19">
        <f t="shared" si="6"/>
        <v>3</v>
      </c>
      <c r="R19" s="19">
        <f t="shared" si="6"/>
        <v>3</v>
      </c>
      <c r="S19" s="19">
        <f t="shared" si="6"/>
        <v>3</v>
      </c>
      <c r="T19" s="19">
        <f t="shared" si="6"/>
        <v>3</v>
      </c>
      <c r="U19" s="19">
        <f t="shared" si="6"/>
        <v>3</v>
      </c>
      <c r="V19" s="19">
        <f t="shared" si="6"/>
        <v>3</v>
      </c>
      <c r="W19" s="19">
        <f t="shared" si="6"/>
        <v>3</v>
      </c>
      <c r="X19" s="19">
        <f t="shared" si="6"/>
        <v>3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152</v>
      </c>
      <c r="J20" s="19">
        <f t="shared" si="7"/>
        <v>131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V21" si="8">MAX(C$9:C$14)+$I$5</f>
        <v>63</v>
      </c>
      <c r="D21" s="19">
        <f t="shared" si="8"/>
        <v>63</v>
      </c>
      <c r="E21" s="19">
        <f t="shared" si="8"/>
        <v>63</v>
      </c>
      <c r="F21" s="19">
        <f t="shared" si="8"/>
        <v>63</v>
      </c>
      <c r="G21" s="19">
        <f t="shared" si="8"/>
        <v>63</v>
      </c>
      <c r="H21" s="19">
        <f t="shared" si="8"/>
        <v>63</v>
      </c>
      <c r="I21" s="19">
        <f t="shared" si="8"/>
        <v>215</v>
      </c>
      <c r="J21" s="19">
        <f t="shared" si="8"/>
        <v>194</v>
      </c>
      <c r="K21" s="19">
        <f t="shared" si="8"/>
        <v>63</v>
      </c>
      <c r="L21" s="19">
        <f t="shared" si="8"/>
        <v>63</v>
      </c>
      <c r="M21" s="19">
        <f t="shared" si="8"/>
        <v>63</v>
      </c>
      <c r="N21" s="19">
        <f t="shared" si="8"/>
        <v>63</v>
      </c>
      <c r="O21" s="19">
        <f t="shared" si="8"/>
        <v>63</v>
      </c>
      <c r="P21" s="19">
        <f t="shared" si="8"/>
        <v>63</v>
      </c>
      <c r="Q21" s="19">
        <f t="shared" si="8"/>
        <v>63</v>
      </c>
      <c r="R21" s="19">
        <f t="shared" si="8"/>
        <v>63</v>
      </c>
      <c r="S21" s="19">
        <f t="shared" si="8"/>
        <v>63</v>
      </c>
      <c r="T21" s="19">
        <f t="shared" si="8"/>
        <v>63</v>
      </c>
      <c r="U21" s="19">
        <f t="shared" si="8"/>
        <v>63</v>
      </c>
      <c r="V21" s="19">
        <f t="shared" si="8"/>
        <v>63</v>
      </c>
      <c r="W21" s="19">
        <f t="shared" ref="W21:X21" si="9">MAX(W$9:W$14)+V18</f>
        <v>59</v>
      </c>
      <c r="X21" s="19">
        <f t="shared" si="9"/>
        <v>59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0</v>
      </c>
      <c r="F22" s="19">
        <f t="shared" si="10"/>
        <v>0</v>
      </c>
      <c r="G22" s="19">
        <f t="shared" si="10"/>
        <v>0</v>
      </c>
      <c r="H22" s="19">
        <f t="shared" si="10"/>
        <v>0</v>
      </c>
      <c r="I22" s="19">
        <f t="shared" si="10"/>
        <v>152</v>
      </c>
      <c r="J22" s="19">
        <f t="shared" si="10"/>
        <v>250</v>
      </c>
      <c r="K22" s="19">
        <f t="shared" si="10"/>
        <v>0</v>
      </c>
      <c r="L22" s="19">
        <f t="shared" si="10"/>
        <v>0</v>
      </c>
      <c r="M22" s="19">
        <f t="shared" si="10"/>
        <v>0</v>
      </c>
      <c r="N22" s="19">
        <f t="shared" si="10"/>
        <v>0</v>
      </c>
      <c r="O22" s="19">
        <f t="shared" si="10"/>
        <v>0</v>
      </c>
      <c r="P22" s="19">
        <f t="shared" si="10"/>
        <v>0</v>
      </c>
      <c r="Q22" s="19">
        <f t="shared" si="10"/>
        <v>0</v>
      </c>
      <c r="R22" s="19">
        <f t="shared" si="10"/>
        <v>0</v>
      </c>
      <c r="S22" s="19">
        <f t="shared" si="10"/>
        <v>0</v>
      </c>
      <c r="T22" s="19">
        <f t="shared" si="10"/>
        <v>0</v>
      </c>
      <c r="U22" s="19">
        <f t="shared" si="10"/>
        <v>0</v>
      </c>
      <c r="V22" s="19">
        <f t="shared" si="10"/>
        <v>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189</v>
      </c>
      <c r="D23" s="19">
        <f t="shared" ref="D23:V23" si="11">MAX(SUM(D$9:D$11),SUM(D$12:D$14))+$I$5*3</f>
        <v>189</v>
      </c>
      <c r="E23" s="19">
        <f t="shared" si="11"/>
        <v>189</v>
      </c>
      <c r="F23" s="19">
        <f t="shared" si="11"/>
        <v>189</v>
      </c>
      <c r="G23" s="19">
        <f t="shared" si="11"/>
        <v>189</v>
      </c>
      <c r="H23" s="19">
        <f t="shared" si="11"/>
        <v>189</v>
      </c>
      <c r="I23" s="19">
        <f t="shared" si="11"/>
        <v>341</v>
      </c>
      <c r="J23" s="19">
        <f t="shared" si="11"/>
        <v>439</v>
      </c>
      <c r="K23" s="19">
        <f t="shared" si="11"/>
        <v>189</v>
      </c>
      <c r="L23" s="19">
        <f t="shared" si="11"/>
        <v>189</v>
      </c>
      <c r="M23" s="19">
        <f t="shared" si="11"/>
        <v>189</v>
      </c>
      <c r="N23" s="19">
        <f t="shared" si="11"/>
        <v>189</v>
      </c>
      <c r="O23" s="19">
        <f t="shared" si="11"/>
        <v>189</v>
      </c>
      <c r="P23" s="19">
        <f t="shared" si="11"/>
        <v>189</v>
      </c>
      <c r="Q23" s="19">
        <f t="shared" si="11"/>
        <v>189</v>
      </c>
      <c r="R23" s="19">
        <f t="shared" si="11"/>
        <v>189</v>
      </c>
      <c r="S23" s="19">
        <f t="shared" si="11"/>
        <v>189</v>
      </c>
      <c r="T23" s="19">
        <f t="shared" si="11"/>
        <v>189</v>
      </c>
      <c r="U23" s="19">
        <f t="shared" si="11"/>
        <v>189</v>
      </c>
      <c r="V23" s="19">
        <f t="shared" si="11"/>
        <v>189</v>
      </c>
      <c r="W23" s="19">
        <f t="shared" ref="W23:X23" si="12">MAX(SUM(W$9:W$11),SUM(W$12:W$14))+V18*3</f>
        <v>177</v>
      </c>
      <c r="X23" s="19">
        <f t="shared" si="12"/>
        <v>177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152</v>
      </c>
      <c r="J27" s="107">
        <f>MAX($C20:J20)</f>
        <v>152</v>
      </c>
      <c r="K27" s="107">
        <f>MAX($C20:K20)</f>
        <v>152</v>
      </c>
      <c r="L27" s="107">
        <f>MAX($C20:L20)</f>
        <v>152</v>
      </c>
      <c r="M27" s="107">
        <f>MAX($C20:M20)</f>
        <v>152</v>
      </c>
      <c r="N27" s="107">
        <f>MAX($C20:N20)</f>
        <v>152</v>
      </c>
      <c r="O27" s="107">
        <f>MAX($C20:O20)</f>
        <v>152</v>
      </c>
      <c r="P27" s="107">
        <f>MAX($C20:P20)</f>
        <v>152</v>
      </c>
      <c r="Q27" s="107">
        <f>MAX($C20:Q20)</f>
        <v>152</v>
      </c>
      <c r="R27" s="107">
        <f>MAX($C20:R20)</f>
        <v>152</v>
      </c>
      <c r="S27" s="107">
        <f>MAX($C20:S20)</f>
        <v>152</v>
      </c>
      <c r="T27" s="107">
        <f>MAX($C20:T20)</f>
        <v>152</v>
      </c>
      <c r="U27" s="107">
        <f>MAX($C20:U20)</f>
        <v>152</v>
      </c>
      <c r="V27" s="107">
        <f>MAX($C20:V20)</f>
        <v>152</v>
      </c>
      <c r="W27" s="107">
        <f>MAX($C20:W20)</f>
        <v>152</v>
      </c>
      <c r="X27" s="107">
        <f>MAX($C20:X20)</f>
        <v>152</v>
      </c>
    </row>
    <row r="28" spans="1:25" ht="13.15" x14ac:dyDescent="0.4">
      <c r="A28">
        <v>22</v>
      </c>
      <c r="B28" s="151" t="s">
        <v>78</v>
      </c>
      <c r="C28" s="19">
        <f>MAX(C21)</f>
        <v>63</v>
      </c>
      <c r="D28" s="107">
        <f>MAX($C21:D21)</f>
        <v>63</v>
      </c>
      <c r="E28" s="107">
        <f>MAX($C21:E21)</f>
        <v>63</v>
      </c>
      <c r="F28" s="107">
        <f>MAX($C21:F21)</f>
        <v>63</v>
      </c>
      <c r="G28" s="107">
        <f>MAX($C21:G21)</f>
        <v>63</v>
      </c>
      <c r="H28" s="107">
        <f>MAX($C21:H21)</f>
        <v>63</v>
      </c>
      <c r="I28" s="107">
        <f>MAX($C21:I21)</f>
        <v>215</v>
      </c>
      <c r="J28" s="107">
        <f>MAX($C21:J21)</f>
        <v>215</v>
      </c>
      <c r="K28" s="107">
        <f>MAX($C21:K21)</f>
        <v>215</v>
      </c>
      <c r="L28" s="107">
        <f>MAX($C21:L21)</f>
        <v>215</v>
      </c>
      <c r="M28" s="107">
        <f>MAX($C21:M21)</f>
        <v>215</v>
      </c>
      <c r="N28" s="107">
        <f>MAX($C21:N21)</f>
        <v>215</v>
      </c>
      <c r="O28" s="107">
        <f>MAX($C21:O21)</f>
        <v>215</v>
      </c>
      <c r="P28" s="107">
        <f>MAX($C21:P21)</f>
        <v>215</v>
      </c>
      <c r="Q28" s="107">
        <f>MAX($C21:Q21)</f>
        <v>215</v>
      </c>
      <c r="R28" s="107">
        <f>MAX($C21:R21)</f>
        <v>215</v>
      </c>
      <c r="S28" s="107">
        <f>MAX($C21:S21)</f>
        <v>215</v>
      </c>
      <c r="T28" s="107">
        <f>MAX($C21:T21)</f>
        <v>215</v>
      </c>
      <c r="U28" s="107">
        <f>MAX($C21:U21)</f>
        <v>215</v>
      </c>
      <c r="V28" s="107">
        <f>MAX($C21:V21)</f>
        <v>215</v>
      </c>
      <c r="W28" s="107">
        <f>MAX($C21:W21)</f>
        <v>215</v>
      </c>
      <c r="X28" s="107">
        <f>MAX($C21:X21)</f>
        <v>215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152</v>
      </c>
      <c r="J29" s="107">
        <f>MAX($C22:J22)</f>
        <v>250</v>
      </c>
      <c r="K29" s="107">
        <f>MAX($C22:K22)</f>
        <v>250</v>
      </c>
      <c r="L29" s="107">
        <f>MAX($C22:L22)</f>
        <v>250</v>
      </c>
      <c r="M29" s="107">
        <f>MAX($C22:M22)</f>
        <v>250</v>
      </c>
      <c r="N29" s="107">
        <f>MAX($C22:N22)</f>
        <v>250</v>
      </c>
      <c r="O29" s="107">
        <f>MAX($C22:O22)</f>
        <v>250</v>
      </c>
      <c r="P29" s="107">
        <f>MAX($C22:P22)</f>
        <v>250</v>
      </c>
      <c r="Q29" s="107">
        <f>MAX($C22:Q22)</f>
        <v>250</v>
      </c>
      <c r="R29" s="107">
        <f>MAX($C22:R22)</f>
        <v>250</v>
      </c>
      <c r="S29" s="107">
        <f>MAX($C22:S22)</f>
        <v>250</v>
      </c>
      <c r="T29" s="107">
        <f>MAX($C22:T22)</f>
        <v>250</v>
      </c>
      <c r="U29" s="107">
        <f>MAX($C22:U22)</f>
        <v>250</v>
      </c>
      <c r="V29" s="107">
        <f>MAX($C22:V22)</f>
        <v>250</v>
      </c>
      <c r="W29" s="107">
        <f>MAX($C22:W22)</f>
        <v>250</v>
      </c>
      <c r="X29" s="107">
        <f>MAX($C22:X22)</f>
        <v>250</v>
      </c>
    </row>
    <row r="30" spans="1:25" ht="13.15" x14ac:dyDescent="0.4">
      <c r="A30">
        <v>24</v>
      </c>
      <c r="B30" s="151" t="s">
        <v>80</v>
      </c>
      <c r="C30" s="19">
        <f>MAX(C23)</f>
        <v>189</v>
      </c>
      <c r="D30" s="107">
        <f>MAX($C23:D23)</f>
        <v>189</v>
      </c>
      <c r="E30" s="107">
        <f>MAX($C23:E23)</f>
        <v>189</v>
      </c>
      <c r="F30" s="107">
        <f>MAX($C23:F23)</f>
        <v>189</v>
      </c>
      <c r="G30" s="107">
        <f>MAX($C23:G23)</f>
        <v>189</v>
      </c>
      <c r="H30" s="107">
        <f>MAX($C23:H23)</f>
        <v>189</v>
      </c>
      <c r="I30" s="107">
        <f>MAX($C23:I23)</f>
        <v>341</v>
      </c>
      <c r="J30" s="107">
        <f>MAX($C23:J23)</f>
        <v>439</v>
      </c>
      <c r="K30" s="107">
        <f>MAX($C23:K23)</f>
        <v>439</v>
      </c>
      <c r="L30" s="107">
        <f>MAX($C23:L23)</f>
        <v>439</v>
      </c>
      <c r="M30" s="107">
        <f>MAX($C23:M23)</f>
        <v>439</v>
      </c>
      <c r="N30" s="107">
        <f>MAX($C23:N23)</f>
        <v>439</v>
      </c>
      <c r="O30" s="107">
        <f>MAX($C23:O23)</f>
        <v>439</v>
      </c>
      <c r="P30" s="107">
        <f>MAX($C23:P23)</f>
        <v>439</v>
      </c>
      <c r="Q30" s="107">
        <f>MAX($C23:Q23)</f>
        <v>439</v>
      </c>
      <c r="R30" s="107">
        <f>MAX($C23:R23)</f>
        <v>439</v>
      </c>
      <c r="S30" s="107">
        <f>MAX($C23:S23)</f>
        <v>439</v>
      </c>
      <c r="T30" s="107">
        <f>MAX($C23:T23)</f>
        <v>439</v>
      </c>
      <c r="U30" s="107">
        <f>MAX($C23:U23)</f>
        <v>439</v>
      </c>
      <c r="V30" s="107">
        <f>MAX($C23:V23)</f>
        <v>439</v>
      </c>
      <c r="W30" s="107">
        <f>MAX($C23:W23)</f>
        <v>439</v>
      </c>
      <c r="X30" s="107">
        <f>MAX($C23:X23)</f>
        <v>439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313</v>
      </c>
      <c r="G2" s="203" t="s">
        <v>83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63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106</v>
      </c>
      <c r="D9">
        <v>107</v>
      </c>
      <c r="E9">
        <v>117</v>
      </c>
      <c r="G9">
        <v>99</v>
      </c>
      <c r="H9">
        <v>143</v>
      </c>
      <c r="I9">
        <v>111</v>
      </c>
      <c r="K9">
        <v>140</v>
      </c>
      <c r="L9">
        <v>135</v>
      </c>
      <c r="P9">
        <v>117</v>
      </c>
      <c r="Q9">
        <v>173</v>
      </c>
      <c r="S9">
        <v>167</v>
      </c>
      <c r="T9">
        <v>128</v>
      </c>
      <c r="U9">
        <v>132</v>
      </c>
    </row>
    <row r="10" spans="1:24" ht="13.15" x14ac:dyDescent="0.4">
      <c r="A10">
        <v>4</v>
      </c>
      <c r="B10" s="3" t="s">
        <v>15</v>
      </c>
      <c r="C10">
        <v>107</v>
      </c>
      <c r="D10">
        <v>125</v>
      </c>
      <c r="E10">
        <v>137</v>
      </c>
      <c r="G10">
        <v>128</v>
      </c>
      <c r="H10">
        <v>155</v>
      </c>
      <c r="I10">
        <v>136</v>
      </c>
      <c r="K10">
        <v>129</v>
      </c>
      <c r="L10">
        <v>130</v>
      </c>
      <c r="P10">
        <v>117</v>
      </c>
      <c r="Q10">
        <v>138</v>
      </c>
      <c r="S10">
        <v>170</v>
      </c>
      <c r="T10">
        <v>148</v>
      </c>
      <c r="U10">
        <v>128</v>
      </c>
    </row>
    <row r="11" spans="1:24" ht="13.15" x14ac:dyDescent="0.4">
      <c r="A11">
        <v>5</v>
      </c>
      <c r="B11" s="3" t="s">
        <v>16</v>
      </c>
      <c r="D11">
        <v>119</v>
      </c>
      <c r="E11">
        <v>122</v>
      </c>
      <c r="G11">
        <v>114</v>
      </c>
      <c r="H11">
        <v>123</v>
      </c>
      <c r="I11">
        <v>141</v>
      </c>
      <c r="K11">
        <v>102</v>
      </c>
      <c r="L11">
        <v>153</v>
      </c>
      <c r="P11">
        <v>148</v>
      </c>
      <c r="Q11">
        <v>120</v>
      </c>
      <c r="S11">
        <v>122</v>
      </c>
      <c r="T11">
        <v>145</v>
      </c>
      <c r="U11">
        <v>124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213</v>
      </c>
      <c r="D15" s="18">
        <f t="shared" si="2"/>
        <v>351</v>
      </c>
      <c r="E15" s="18">
        <f t="shared" si="2"/>
        <v>376</v>
      </c>
      <c r="F15" s="18">
        <f t="shared" si="2"/>
        <v>0</v>
      </c>
      <c r="G15" s="18">
        <f t="shared" si="2"/>
        <v>341</v>
      </c>
      <c r="H15" s="18">
        <f t="shared" si="2"/>
        <v>421</v>
      </c>
      <c r="I15" s="18">
        <f t="shared" si="2"/>
        <v>388</v>
      </c>
      <c r="J15" s="18">
        <f t="shared" si="2"/>
        <v>0</v>
      </c>
      <c r="K15" s="18">
        <f t="shared" si="2"/>
        <v>371</v>
      </c>
      <c r="L15" s="18">
        <f t="shared" si="2"/>
        <v>418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382</v>
      </c>
      <c r="Q15" s="18">
        <f t="shared" si="2"/>
        <v>431</v>
      </c>
      <c r="R15" s="18">
        <f t="shared" si="2"/>
        <v>0</v>
      </c>
      <c r="S15" s="18">
        <f t="shared" si="2"/>
        <v>459</v>
      </c>
      <c r="T15" s="18">
        <f t="shared" si="2"/>
        <v>421</v>
      </c>
      <c r="U15" s="18">
        <f t="shared" si="2"/>
        <v>384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213</v>
      </c>
      <c r="D16" s="19">
        <f t="shared" ref="D16:X16" si="3">+D15+C16</f>
        <v>564</v>
      </c>
      <c r="E16" s="19">
        <f t="shared" si="3"/>
        <v>940</v>
      </c>
      <c r="F16" s="19">
        <f t="shared" si="3"/>
        <v>940</v>
      </c>
      <c r="G16" s="19">
        <f t="shared" si="3"/>
        <v>1281</v>
      </c>
      <c r="H16" s="19">
        <f t="shared" si="3"/>
        <v>1702</v>
      </c>
      <c r="I16" s="19">
        <f t="shared" si="3"/>
        <v>2090</v>
      </c>
      <c r="J16" s="19">
        <f t="shared" si="3"/>
        <v>2090</v>
      </c>
      <c r="K16" s="19">
        <f t="shared" si="3"/>
        <v>2461</v>
      </c>
      <c r="L16" s="19">
        <f t="shared" si="3"/>
        <v>2879</v>
      </c>
      <c r="M16" s="19">
        <f t="shared" si="3"/>
        <v>2879</v>
      </c>
      <c r="N16" s="19">
        <f t="shared" si="3"/>
        <v>2879</v>
      </c>
      <c r="O16" s="19">
        <f t="shared" si="3"/>
        <v>2879</v>
      </c>
      <c r="P16" s="19">
        <f t="shared" si="3"/>
        <v>3261</v>
      </c>
      <c r="Q16" s="19">
        <f t="shared" si="3"/>
        <v>3692</v>
      </c>
      <c r="R16" s="19">
        <f t="shared" si="3"/>
        <v>3692</v>
      </c>
      <c r="S16" s="19">
        <f t="shared" si="3"/>
        <v>4151</v>
      </c>
      <c r="T16" s="19">
        <f t="shared" si="3"/>
        <v>4572</v>
      </c>
      <c r="U16" s="19">
        <f t="shared" si="3"/>
        <v>4956</v>
      </c>
      <c r="V16" s="19">
        <f t="shared" si="3"/>
        <v>4956</v>
      </c>
      <c r="W16" s="19">
        <f t="shared" si="3"/>
        <v>4956</v>
      </c>
      <c r="X16" s="19">
        <f t="shared" si="3"/>
        <v>4956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106.5</v>
      </c>
      <c r="D17" s="20">
        <f t="shared" si="4"/>
        <v>112.8</v>
      </c>
      <c r="E17" s="20">
        <f t="shared" si="4"/>
        <v>117.5</v>
      </c>
      <c r="F17" s="20">
        <f t="shared" si="4"/>
        <v>117.5</v>
      </c>
      <c r="G17" s="20">
        <f t="shared" si="4"/>
        <v>116.45454545454545</v>
      </c>
      <c r="H17" s="20">
        <f t="shared" si="4"/>
        <v>121.57142857142857</v>
      </c>
      <c r="I17" s="20">
        <f t="shared" si="4"/>
        <v>122.94117647058823</v>
      </c>
      <c r="J17" s="20">
        <f t="shared" si="4"/>
        <v>122.94117647058823</v>
      </c>
      <c r="K17" s="20">
        <f t="shared" si="4"/>
        <v>123.05</v>
      </c>
      <c r="L17" s="20">
        <f t="shared" si="4"/>
        <v>125.17391304347827</v>
      </c>
      <c r="M17" s="20">
        <f t="shared" si="4"/>
        <v>125.17391304347827</v>
      </c>
      <c r="N17" s="20">
        <f t="shared" si="4"/>
        <v>125.17391304347827</v>
      </c>
      <c r="O17" s="20">
        <f t="shared" si="4"/>
        <v>125.17391304347827</v>
      </c>
      <c r="P17" s="20">
        <f t="shared" si="4"/>
        <v>125.42307692307692</v>
      </c>
      <c r="Q17" s="20">
        <f t="shared" si="4"/>
        <v>127.31034482758621</v>
      </c>
      <c r="R17" s="20">
        <f t="shared" si="4"/>
        <v>127.31034482758621</v>
      </c>
      <c r="S17" s="20">
        <f t="shared" si="4"/>
        <v>129.71875</v>
      </c>
      <c r="T17" s="20">
        <f t="shared" si="4"/>
        <v>130.62857142857143</v>
      </c>
      <c r="U17" s="20">
        <f t="shared" si="4"/>
        <v>130.42105263157896</v>
      </c>
      <c r="V17" s="20">
        <f t="shared" si="4"/>
        <v>130.42105263157896</v>
      </c>
      <c r="W17" s="20">
        <f t="shared" si="4"/>
        <v>130.42105263157896</v>
      </c>
      <c r="X17" s="20">
        <f t="shared" si="4"/>
        <v>130.42105263157896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84</v>
      </c>
      <c r="D18" s="19">
        <f t="shared" si="5"/>
        <v>78</v>
      </c>
      <c r="E18" s="19">
        <f t="shared" si="5"/>
        <v>74</v>
      </c>
      <c r="F18" s="19">
        <f t="shared" si="5"/>
        <v>74</v>
      </c>
      <c r="G18" s="19">
        <f t="shared" si="5"/>
        <v>75</v>
      </c>
      <c r="H18" s="19">
        <f t="shared" si="5"/>
        <v>71</v>
      </c>
      <c r="I18" s="19">
        <f t="shared" si="5"/>
        <v>69</v>
      </c>
      <c r="J18" s="19">
        <f t="shared" si="5"/>
        <v>69</v>
      </c>
      <c r="K18" s="19">
        <f t="shared" si="5"/>
        <v>69</v>
      </c>
      <c r="L18" s="19">
        <f t="shared" si="5"/>
        <v>67</v>
      </c>
      <c r="M18" s="19">
        <f t="shared" si="5"/>
        <v>67</v>
      </c>
      <c r="N18" s="19">
        <f t="shared" si="5"/>
        <v>67</v>
      </c>
      <c r="O18" s="19">
        <f t="shared" si="5"/>
        <v>67</v>
      </c>
      <c r="P18" s="19">
        <f t="shared" si="5"/>
        <v>67</v>
      </c>
      <c r="Q18" s="19">
        <f t="shared" si="5"/>
        <v>65</v>
      </c>
      <c r="R18" s="19">
        <f t="shared" si="5"/>
        <v>65</v>
      </c>
      <c r="S18" s="19">
        <f t="shared" si="5"/>
        <v>63</v>
      </c>
      <c r="T18" s="19">
        <f t="shared" si="5"/>
        <v>62</v>
      </c>
      <c r="U18" s="19">
        <f t="shared" si="5"/>
        <v>63</v>
      </c>
      <c r="V18" s="19">
        <f t="shared" si="5"/>
        <v>63</v>
      </c>
      <c r="W18" s="19">
        <f t="shared" si="5"/>
        <v>63</v>
      </c>
      <c r="X18" s="19">
        <f t="shared" si="5"/>
        <v>63</v>
      </c>
    </row>
    <row r="19" spans="1:25" ht="13.15" x14ac:dyDescent="0.4">
      <c r="A19">
        <v>13</v>
      </c>
      <c r="B19" s="4" t="s">
        <v>9</v>
      </c>
      <c r="C19" s="19">
        <f>COUNT(C9:C14)</f>
        <v>2</v>
      </c>
      <c r="D19" s="19">
        <f t="shared" ref="D19:X19" si="6">COUNT(D9:D14)+C19</f>
        <v>5</v>
      </c>
      <c r="E19" s="19">
        <f t="shared" si="6"/>
        <v>8</v>
      </c>
      <c r="F19" s="19">
        <f t="shared" si="6"/>
        <v>8</v>
      </c>
      <c r="G19" s="19">
        <f t="shared" si="6"/>
        <v>11</v>
      </c>
      <c r="H19" s="19">
        <f t="shared" si="6"/>
        <v>14</v>
      </c>
      <c r="I19" s="19">
        <f t="shared" si="6"/>
        <v>17</v>
      </c>
      <c r="J19" s="19">
        <f t="shared" si="6"/>
        <v>17</v>
      </c>
      <c r="K19" s="19">
        <f t="shared" si="6"/>
        <v>20</v>
      </c>
      <c r="L19" s="19">
        <f t="shared" si="6"/>
        <v>23</v>
      </c>
      <c r="M19" s="19">
        <f t="shared" si="6"/>
        <v>23</v>
      </c>
      <c r="N19" s="19">
        <f t="shared" si="6"/>
        <v>23</v>
      </c>
      <c r="O19" s="19">
        <f t="shared" si="6"/>
        <v>23</v>
      </c>
      <c r="P19" s="19">
        <f t="shared" si="6"/>
        <v>26</v>
      </c>
      <c r="Q19" s="19">
        <f t="shared" si="6"/>
        <v>29</v>
      </c>
      <c r="R19" s="19">
        <f t="shared" si="6"/>
        <v>29</v>
      </c>
      <c r="S19" s="19">
        <f t="shared" si="6"/>
        <v>32</v>
      </c>
      <c r="T19" s="19">
        <f t="shared" si="6"/>
        <v>35</v>
      </c>
      <c r="U19" s="19">
        <f t="shared" si="6"/>
        <v>38</v>
      </c>
      <c r="V19" s="19">
        <f t="shared" si="6"/>
        <v>38</v>
      </c>
      <c r="W19" s="19">
        <f t="shared" si="6"/>
        <v>38</v>
      </c>
      <c r="X19" s="19">
        <f t="shared" si="6"/>
        <v>38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107</v>
      </c>
      <c r="D20" s="19">
        <f t="shared" si="7"/>
        <v>125</v>
      </c>
      <c r="E20" s="19">
        <f t="shared" si="7"/>
        <v>137</v>
      </c>
      <c r="F20" s="19">
        <f t="shared" si="7"/>
        <v>0</v>
      </c>
      <c r="G20" s="19">
        <f t="shared" si="7"/>
        <v>128</v>
      </c>
      <c r="H20" s="19">
        <f t="shared" si="7"/>
        <v>155</v>
      </c>
      <c r="I20" s="19">
        <f t="shared" si="7"/>
        <v>141</v>
      </c>
      <c r="J20" s="19">
        <f t="shared" si="7"/>
        <v>0</v>
      </c>
      <c r="K20" s="19">
        <f t="shared" si="7"/>
        <v>140</v>
      </c>
      <c r="L20" s="19">
        <f t="shared" si="7"/>
        <v>153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148</v>
      </c>
      <c r="Q20" s="19">
        <f t="shared" si="7"/>
        <v>173</v>
      </c>
      <c r="R20" s="19">
        <f t="shared" si="7"/>
        <v>0</v>
      </c>
      <c r="S20" s="19">
        <f t="shared" si="7"/>
        <v>170</v>
      </c>
      <c r="T20" s="19">
        <f t="shared" si="7"/>
        <v>148</v>
      </c>
      <c r="U20" s="19">
        <f t="shared" si="7"/>
        <v>132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MAX(C$9:C$14)+C18</f>
        <v>191</v>
      </c>
      <c r="D21" s="19">
        <f t="shared" ref="D21" si="8">MAX(D$9:D$14)+C18</f>
        <v>209</v>
      </c>
      <c r="E21" s="19">
        <f t="shared" ref="E21:X21" si="9">MAX(E$9:E$14)+D18</f>
        <v>215</v>
      </c>
      <c r="F21" s="19">
        <f t="shared" si="9"/>
        <v>74</v>
      </c>
      <c r="G21" s="19">
        <f t="shared" si="9"/>
        <v>202</v>
      </c>
      <c r="H21" s="19">
        <f t="shared" si="9"/>
        <v>230</v>
      </c>
      <c r="I21" s="19">
        <f t="shared" si="9"/>
        <v>212</v>
      </c>
      <c r="J21" s="19">
        <f t="shared" si="9"/>
        <v>69</v>
      </c>
      <c r="K21" s="19">
        <f t="shared" si="9"/>
        <v>209</v>
      </c>
      <c r="L21" s="19">
        <f t="shared" si="9"/>
        <v>222</v>
      </c>
      <c r="M21" s="19">
        <f t="shared" si="9"/>
        <v>67</v>
      </c>
      <c r="N21" s="19">
        <f t="shared" si="9"/>
        <v>67</v>
      </c>
      <c r="O21" s="19">
        <f t="shared" si="9"/>
        <v>67</v>
      </c>
      <c r="P21" s="19">
        <f t="shared" si="9"/>
        <v>215</v>
      </c>
      <c r="Q21" s="19">
        <f t="shared" si="9"/>
        <v>240</v>
      </c>
      <c r="R21" s="19">
        <f t="shared" si="9"/>
        <v>65</v>
      </c>
      <c r="S21" s="19">
        <f t="shared" si="9"/>
        <v>235</v>
      </c>
      <c r="T21" s="19">
        <f t="shared" si="9"/>
        <v>211</v>
      </c>
      <c r="U21" s="19">
        <f t="shared" si="9"/>
        <v>194</v>
      </c>
      <c r="V21" s="19">
        <f t="shared" si="9"/>
        <v>63</v>
      </c>
      <c r="W21" s="19">
        <f t="shared" si="9"/>
        <v>63</v>
      </c>
      <c r="X21" s="19">
        <f t="shared" si="9"/>
        <v>63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213</v>
      </c>
      <c r="D22" s="19">
        <f t="shared" ref="D22:X22" si="10">MAX(SUM(D$9:D$11),SUM(D$12:D$14))</f>
        <v>351</v>
      </c>
      <c r="E22" s="19">
        <f t="shared" si="10"/>
        <v>376</v>
      </c>
      <c r="F22" s="19">
        <f t="shared" si="10"/>
        <v>0</v>
      </c>
      <c r="G22" s="19">
        <f t="shared" si="10"/>
        <v>341</v>
      </c>
      <c r="H22" s="19">
        <f t="shared" si="10"/>
        <v>421</v>
      </c>
      <c r="I22" s="19">
        <f t="shared" si="10"/>
        <v>388</v>
      </c>
      <c r="J22" s="19">
        <f t="shared" si="10"/>
        <v>0</v>
      </c>
      <c r="K22" s="19">
        <f t="shared" si="10"/>
        <v>371</v>
      </c>
      <c r="L22" s="19">
        <f t="shared" si="10"/>
        <v>418</v>
      </c>
      <c r="M22" s="19">
        <f t="shared" si="10"/>
        <v>0</v>
      </c>
      <c r="N22" s="19">
        <f t="shared" si="10"/>
        <v>0</v>
      </c>
      <c r="O22" s="19">
        <f t="shared" si="10"/>
        <v>0</v>
      </c>
      <c r="P22" s="19">
        <f t="shared" si="10"/>
        <v>382</v>
      </c>
      <c r="Q22" s="19">
        <f t="shared" si="10"/>
        <v>431</v>
      </c>
      <c r="R22" s="19">
        <f t="shared" si="10"/>
        <v>0</v>
      </c>
      <c r="S22" s="19">
        <f t="shared" si="10"/>
        <v>459</v>
      </c>
      <c r="T22" s="19">
        <f t="shared" si="10"/>
        <v>421</v>
      </c>
      <c r="U22" s="19">
        <f t="shared" si="10"/>
        <v>384</v>
      </c>
      <c r="V22" s="19">
        <f t="shared" si="10"/>
        <v>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308">
        <f>MAX(SUM(C$9:C$11),SUM(C$12:C$14))+C18*3</f>
        <v>465</v>
      </c>
      <c r="D23" s="19">
        <f t="shared" ref="D23" si="11">MAX(SUM(D$9:D$11),SUM(D$12:D$14))+C18*3</f>
        <v>603</v>
      </c>
      <c r="E23" s="19">
        <f t="shared" ref="E23:X23" si="12">MAX(SUM(E$9:E$11),SUM(E$12:E$14))+D18*3</f>
        <v>610</v>
      </c>
      <c r="F23" s="19">
        <f t="shared" si="12"/>
        <v>222</v>
      </c>
      <c r="G23" s="19">
        <f t="shared" si="12"/>
        <v>563</v>
      </c>
      <c r="H23" s="19">
        <f t="shared" si="12"/>
        <v>646</v>
      </c>
      <c r="I23" s="19">
        <f t="shared" si="12"/>
        <v>601</v>
      </c>
      <c r="J23" s="19">
        <f t="shared" si="12"/>
        <v>207</v>
      </c>
      <c r="K23" s="19">
        <f t="shared" si="12"/>
        <v>578</v>
      </c>
      <c r="L23" s="19">
        <f t="shared" si="12"/>
        <v>625</v>
      </c>
      <c r="M23" s="19">
        <f t="shared" si="12"/>
        <v>201</v>
      </c>
      <c r="N23" s="19">
        <f t="shared" si="12"/>
        <v>201</v>
      </c>
      <c r="O23" s="19">
        <f t="shared" si="12"/>
        <v>201</v>
      </c>
      <c r="P23" s="19">
        <f t="shared" si="12"/>
        <v>583</v>
      </c>
      <c r="Q23" s="19">
        <f t="shared" si="12"/>
        <v>632</v>
      </c>
      <c r="R23" s="19">
        <f t="shared" si="12"/>
        <v>195</v>
      </c>
      <c r="S23" s="19">
        <f t="shared" si="12"/>
        <v>654</v>
      </c>
      <c r="T23" s="19">
        <f t="shared" si="12"/>
        <v>610</v>
      </c>
      <c r="U23" s="19">
        <f t="shared" si="12"/>
        <v>570</v>
      </c>
      <c r="V23" s="19">
        <f t="shared" si="12"/>
        <v>189</v>
      </c>
      <c r="W23" s="19">
        <f t="shared" si="12"/>
        <v>189</v>
      </c>
      <c r="X23" s="19">
        <f t="shared" si="12"/>
        <v>189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107</v>
      </c>
      <c r="D27" s="107">
        <f>MAX($C20:D20)</f>
        <v>125</v>
      </c>
      <c r="E27" s="107">
        <f>MAX($C20:E20)</f>
        <v>137</v>
      </c>
      <c r="F27" s="107">
        <f>MAX($C20:F20)</f>
        <v>137</v>
      </c>
      <c r="G27" s="107">
        <f>MAX($C20:G20)</f>
        <v>137</v>
      </c>
      <c r="H27" s="107">
        <f>MAX($C20:H20)</f>
        <v>155</v>
      </c>
      <c r="I27" s="107">
        <f>MAX($C20:I20)</f>
        <v>155</v>
      </c>
      <c r="J27" s="107">
        <f>MAX($C20:J20)</f>
        <v>155</v>
      </c>
      <c r="K27" s="107">
        <f>MAX($C20:K20)</f>
        <v>155</v>
      </c>
      <c r="L27" s="107">
        <f>MAX($C20:L20)</f>
        <v>155</v>
      </c>
      <c r="M27" s="107">
        <f>MAX($C20:M20)</f>
        <v>155</v>
      </c>
      <c r="N27" s="107">
        <f>MAX($C20:N20)</f>
        <v>155</v>
      </c>
      <c r="O27" s="107">
        <f>MAX($C20:O20)</f>
        <v>155</v>
      </c>
      <c r="P27" s="107">
        <f>MAX($C20:P20)</f>
        <v>155</v>
      </c>
      <c r="Q27" s="107">
        <f>MAX($C20:Q20)</f>
        <v>173</v>
      </c>
      <c r="R27" s="107">
        <f>MAX($C20:R20)</f>
        <v>173</v>
      </c>
      <c r="S27" s="107">
        <f>MAX($C20:S20)</f>
        <v>173</v>
      </c>
      <c r="T27" s="107">
        <f>MAX($C20:T20)</f>
        <v>173</v>
      </c>
      <c r="U27" s="107">
        <f>MAX($C20:U20)</f>
        <v>173</v>
      </c>
      <c r="V27" s="107">
        <f>MAX($C20:V20)</f>
        <v>173</v>
      </c>
      <c r="W27" s="107">
        <f>MAX($C20:W20)</f>
        <v>173</v>
      </c>
      <c r="X27" s="107">
        <f>MAX($C20:X20)</f>
        <v>173</v>
      </c>
    </row>
    <row r="28" spans="1:25" ht="13.15" x14ac:dyDescent="0.4">
      <c r="A28">
        <v>22</v>
      </c>
      <c r="B28" s="151" t="s">
        <v>78</v>
      </c>
      <c r="C28" s="19">
        <f>MAX(C21)</f>
        <v>191</v>
      </c>
      <c r="D28" s="107">
        <f>MAX($C21:D21)</f>
        <v>209</v>
      </c>
      <c r="E28" s="107">
        <f>MAX($C21:E21)</f>
        <v>215</v>
      </c>
      <c r="F28" s="107">
        <f>MAX($C21:F21)</f>
        <v>215</v>
      </c>
      <c r="G28" s="107">
        <f>MAX($C21:G21)</f>
        <v>215</v>
      </c>
      <c r="H28" s="107">
        <f>MAX($C21:H21)</f>
        <v>230</v>
      </c>
      <c r="I28" s="107">
        <f>MAX($C21:I21)</f>
        <v>230</v>
      </c>
      <c r="J28" s="107">
        <f>MAX($C21:J21)</f>
        <v>230</v>
      </c>
      <c r="K28" s="107">
        <f>MAX($C21:K21)</f>
        <v>230</v>
      </c>
      <c r="L28" s="107">
        <f>MAX($C21:L21)</f>
        <v>230</v>
      </c>
      <c r="M28" s="107">
        <f>MAX($C21:M21)</f>
        <v>230</v>
      </c>
      <c r="N28" s="107">
        <f>MAX($C21:N21)</f>
        <v>230</v>
      </c>
      <c r="O28" s="107">
        <f>MAX($C21:O21)</f>
        <v>230</v>
      </c>
      <c r="P28" s="107">
        <f>MAX($C21:P21)</f>
        <v>230</v>
      </c>
      <c r="Q28" s="107">
        <f>MAX($C21:Q21)</f>
        <v>240</v>
      </c>
      <c r="R28" s="107">
        <f>MAX($C21:R21)</f>
        <v>240</v>
      </c>
      <c r="S28" s="107">
        <f>MAX($C21:S21)</f>
        <v>240</v>
      </c>
      <c r="T28" s="107">
        <f>MAX($C21:T21)</f>
        <v>240</v>
      </c>
      <c r="U28" s="107">
        <f>MAX($C21:U21)</f>
        <v>240</v>
      </c>
      <c r="V28" s="107">
        <f>MAX($C21:V21)</f>
        <v>240</v>
      </c>
      <c r="W28" s="107">
        <f>MAX($C21:W21)</f>
        <v>240</v>
      </c>
      <c r="X28" s="107">
        <f>MAX($C21:X21)</f>
        <v>240</v>
      </c>
    </row>
    <row r="29" spans="1:25" ht="26.25" x14ac:dyDescent="0.4">
      <c r="A29">
        <v>23</v>
      </c>
      <c r="B29" s="151" t="s">
        <v>79</v>
      </c>
      <c r="C29" s="19">
        <f>MAX(C22)</f>
        <v>213</v>
      </c>
      <c r="D29" s="107">
        <f>MAX($C22:D22)</f>
        <v>351</v>
      </c>
      <c r="E29" s="107">
        <f>MAX($C22:E22)</f>
        <v>376</v>
      </c>
      <c r="F29" s="107">
        <f>MAX($C22:F22)</f>
        <v>376</v>
      </c>
      <c r="G29" s="107">
        <f>MAX($C22:G22)</f>
        <v>376</v>
      </c>
      <c r="H29" s="107">
        <f>MAX($C22:H22)</f>
        <v>421</v>
      </c>
      <c r="I29" s="107">
        <f>MAX($C22:I22)</f>
        <v>421</v>
      </c>
      <c r="J29" s="107">
        <f>MAX($C22:J22)</f>
        <v>421</v>
      </c>
      <c r="K29" s="107">
        <f>MAX($C22:K22)</f>
        <v>421</v>
      </c>
      <c r="L29" s="107">
        <f>MAX($C22:L22)</f>
        <v>421</v>
      </c>
      <c r="M29" s="107">
        <f>MAX($C22:M22)</f>
        <v>421</v>
      </c>
      <c r="N29" s="107">
        <f>MAX($C22:N22)</f>
        <v>421</v>
      </c>
      <c r="O29" s="107">
        <f>MAX($C22:O22)</f>
        <v>421</v>
      </c>
      <c r="P29" s="107">
        <f>MAX($C22:P22)</f>
        <v>421</v>
      </c>
      <c r="Q29" s="107">
        <f>MAX($C22:Q22)</f>
        <v>431</v>
      </c>
      <c r="R29" s="107">
        <f>MAX($C22:R22)</f>
        <v>431</v>
      </c>
      <c r="S29" s="107">
        <f>MAX($C22:S22)</f>
        <v>459</v>
      </c>
      <c r="T29" s="107">
        <f>MAX($C22:T22)</f>
        <v>459</v>
      </c>
      <c r="U29" s="107">
        <f>MAX($C22:U22)</f>
        <v>459</v>
      </c>
      <c r="V29" s="107">
        <f>MAX($C22:V22)</f>
        <v>459</v>
      </c>
      <c r="W29" s="107">
        <f>MAX($C22:W22)</f>
        <v>459</v>
      </c>
      <c r="X29" s="107">
        <f>MAX($C22:X22)</f>
        <v>459</v>
      </c>
    </row>
    <row r="30" spans="1:25" ht="13.15" x14ac:dyDescent="0.4">
      <c r="A30">
        <v>24</v>
      </c>
      <c r="B30" s="151" t="s">
        <v>80</v>
      </c>
      <c r="C30" s="19">
        <f>MAX(C23)</f>
        <v>465</v>
      </c>
      <c r="D30" s="107">
        <f>MAX($C23:D23)</f>
        <v>603</v>
      </c>
      <c r="E30" s="107">
        <f>MAX($C23:E23)</f>
        <v>610</v>
      </c>
      <c r="F30" s="107">
        <f>MAX($C23:F23)</f>
        <v>610</v>
      </c>
      <c r="G30" s="107">
        <f>MAX($C23:G23)</f>
        <v>610</v>
      </c>
      <c r="H30" s="107">
        <f>MAX($C23:H23)</f>
        <v>646</v>
      </c>
      <c r="I30" s="107">
        <f>MAX($C23:I23)</f>
        <v>646</v>
      </c>
      <c r="J30" s="107">
        <f>MAX($C23:J23)</f>
        <v>646</v>
      </c>
      <c r="K30" s="107">
        <f>MAX($C23:K23)</f>
        <v>646</v>
      </c>
      <c r="L30" s="107">
        <f>MAX($C23:L23)</f>
        <v>646</v>
      </c>
      <c r="M30" s="107">
        <f>MAX($C23:M23)</f>
        <v>646</v>
      </c>
      <c r="N30" s="107">
        <f>MAX($C23:N23)</f>
        <v>646</v>
      </c>
      <c r="O30" s="107">
        <f>MAX($C23:O23)</f>
        <v>646</v>
      </c>
      <c r="P30" s="107">
        <f>MAX($C23:P23)</f>
        <v>646</v>
      </c>
      <c r="Q30" s="107">
        <f>MAX($C23:Q23)</f>
        <v>646</v>
      </c>
      <c r="R30" s="107">
        <f>MAX($C23:R23)</f>
        <v>646</v>
      </c>
      <c r="S30" s="107">
        <f>MAX($C23:S23)</f>
        <v>654</v>
      </c>
      <c r="T30" s="107">
        <f>MAX($C23:T23)</f>
        <v>654</v>
      </c>
      <c r="U30" s="107">
        <f>MAX($C23:U23)</f>
        <v>654</v>
      </c>
      <c r="V30" s="107">
        <f>MAX($C23:V23)</f>
        <v>654</v>
      </c>
      <c r="W30" s="107">
        <f>MAX($C23:W23)</f>
        <v>654</v>
      </c>
      <c r="X30" s="107">
        <f>MAX($C23:X23)</f>
        <v>654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184</v>
      </c>
      <c r="G2" s="203" t="s">
        <v>185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60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60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P9">
        <v>97</v>
      </c>
      <c r="Q9">
        <v>154</v>
      </c>
      <c r="V9">
        <v>95</v>
      </c>
    </row>
    <row r="10" spans="1:24" ht="13.15" x14ac:dyDescent="0.4">
      <c r="A10">
        <v>4</v>
      </c>
      <c r="B10" s="3" t="s">
        <v>15</v>
      </c>
      <c r="P10">
        <v>182</v>
      </c>
      <c r="Q10">
        <v>121</v>
      </c>
      <c r="V10">
        <v>115</v>
      </c>
    </row>
    <row r="11" spans="1:24" ht="13.15" x14ac:dyDescent="0.4">
      <c r="A11">
        <v>5</v>
      </c>
      <c r="B11" s="3" t="s">
        <v>16</v>
      </c>
      <c r="P11">
        <v>167</v>
      </c>
      <c r="Q11">
        <v>126</v>
      </c>
      <c r="V11">
        <v>140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446</v>
      </c>
      <c r="Q15" s="18">
        <f t="shared" si="2"/>
        <v>401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350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446</v>
      </c>
      <c r="Q16" s="19">
        <f t="shared" si="3"/>
        <v>847</v>
      </c>
      <c r="R16" s="19">
        <f t="shared" si="3"/>
        <v>847</v>
      </c>
      <c r="S16" s="19">
        <f t="shared" si="3"/>
        <v>847</v>
      </c>
      <c r="T16" s="19">
        <f t="shared" si="3"/>
        <v>847</v>
      </c>
      <c r="U16" s="19">
        <f t="shared" si="3"/>
        <v>847</v>
      </c>
      <c r="V16" s="19">
        <f t="shared" si="3"/>
        <v>1197</v>
      </c>
      <c r="W16" s="19">
        <f t="shared" si="3"/>
        <v>1197</v>
      </c>
      <c r="X16" s="19">
        <f t="shared" si="3"/>
        <v>1197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>
        <f t="shared" si="4"/>
        <v>148.66666666666666</v>
      </c>
      <c r="Q17" s="20">
        <f t="shared" si="4"/>
        <v>141.16666666666666</v>
      </c>
      <c r="R17" s="20">
        <f t="shared" si="4"/>
        <v>141.16666666666666</v>
      </c>
      <c r="S17" s="20">
        <f t="shared" si="4"/>
        <v>141.16666666666666</v>
      </c>
      <c r="T17" s="20">
        <f t="shared" si="4"/>
        <v>141.16666666666666</v>
      </c>
      <c r="U17" s="20">
        <f t="shared" si="4"/>
        <v>141.16666666666666</v>
      </c>
      <c r="V17" s="20">
        <f t="shared" si="4"/>
        <v>133</v>
      </c>
      <c r="W17" s="20">
        <f t="shared" si="4"/>
        <v>133</v>
      </c>
      <c r="X17" s="20">
        <f t="shared" si="4"/>
        <v>133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>
        <f t="shared" si="5"/>
        <v>46</v>
      </c>
      <c r="Q18" s="19">
        <f t="shared" si="5"/>
        <v>53</v>
      </c>
      <c r="R18" s="19">
        <f t="shared" si="5"/>
        <v>53</v>
      </c>
      <c r="S18" s="19">
        <f t="shared" si="5"/>
        <v>53</v>
      </c>
      <c r="T18" s="19">
        <f t="shared" si="5"/>
        <v>53</v>
      </c>
      <c r="U18" s="19">
        <f t="shared" si="5"/>
        <v>53</v>
      </c>
      <c r="V18" s="19">
        <f t="shared" si="5"/>
        <v>60</v>
      </c>
      <c r="W18" s="19">
        <f t="shared" si="5"/>
        <v>60</v>
      </c>
      <c r="X18" s="19">
        <f t="shared" si="5"/>
        <v>60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3</v>
      </c>
      <c r="Q19" s="19">
        <f t="shared" si="6"/>
        <v>6</v>
      </c>
      <c r="R19" s="19">
        <f t="shared" si="6"/>
        <v>6</v>
      </c>
      <c r="S19" s="19">
        <f t="shared" si="6"/>
        <v>6</v>
      </c>
      <c r="T19" s="19">
        <f t="shared" si="6"/>
        <v>6</v>
      </c>
      <c r="U19" s="19">
        <f t="shared" si="6"/>
        <v>6</v>
      </c>
      <c r="V19" s="19">
        <f t="shared" si="6"/>
        <v>9</v>
      </c>
      <c r="W19" s="19">
        <f t="shared" si="6"/>
        <v>9</v>
      </c>
      <c r="X19" s="19">
        <f t="shared" si="6"/>
        <v>9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182</v>
      </c>
      <c r="Q20" s="19">
        <f t="shared" si="7"/>
        <v>154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140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Q21" si="8">MAX(C$9:C$14)+$I$5</f>
        <v>60</v>
      </c>
      <c r="D21" s="19">
        <f t="shared" si="8"/>
        <v>60</v>
      </c>
      <c r="E21" s="19">
        <f t="shared" si="8"/>
        <v>60</v>
      </c>
      <c r="F21" s="19">
        <f t="shared" si="8"/>
        <v>60</v>
      </c>
      <c r="G21" s="19">
        <f t="shared" si="8"/>
        <v>60</v>
      </c>
      <c r="H21" s="19">
        <f t="shared" si="8"/>
        <v>60</v>
      </c>
      <c r="I21" s="19">
        <f t="shared" si="8"/>
        <v>60</v>
      </c>
      <c r="J21" s="19">
        <f t="shared" si="8"/>
        <v>60</v>
      </c>
      <c r="K21" s="19">
        <f t="shared" si="8"/>
        <v>60</v>
      </c>
      <c r="L21" s="19">
        <f t="shared" si="8"/>
        <v>60</v>
      </c>
      <c r="M21" s="19">
        <f t="shared" si="8"/>
        <v>60</v>
      </c>
      <c r="N21" s="19">
        <f t="shared" si="8"/>
        <v>60</v>
      </c>
      <c r="O21" s="19">
        <f t="shared" si="8"/>
        <v>60</v>
      </c>
      <c r="P21" s="19">
        <f t="shared" si="8"/>
        <v>242</v>
      </c>
      <c r="Q21" s="19">
        <f t="shared" si="8"/>
        <v>214</v>
      </c>
      <c r="R21" s="19">
        <f t="shared" ref="R21:X21" si="9">MAX(R$9:R$14)+Q18</f>
        <v>53</v>
      </c>
      <c r="S21" s="19">
        <f t="shared" si="9"/>
        <v>53</v>
      </c>
      <c r="T21" s="19">
        <f t="shared" si="9"/>
        <v>53</v>
      </c>
      <c r="U21" s="19">
        <f t="shared" si="9"/>
        <v>53</v>
      </c>
      <c r="V21" s="19">
        <f t="shared" si="9"/>
        <v>193</v>
      </c>
      <c r="W21" s="19">
        <f t="shared" si="9"/>
        <v>60</v>
      </c>
      <c r="X21" s="19">
        <f t="shared" si="9"/>
        <v>60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0</v>
      </c>
      <c r="F22" s="19">
        <f t="shared" si="10"/>
        <v>0</v>
      </c>
      <c r="G22" s="19">
        <f t="shared" si="10"/>
        <v>0</v>
      </c>
      <c r="H22" s="19">
        <f t="shared" si="10"/>
        <v>0</v>
      </c>
      <c r="I22" s="19">
        <f t="shared" si="10"/>
        <v>0</v>
      </c>
      <c r="J22" s="19">
        <f t="shared" si="10"/>
        <v>0</v>
      </c>
      <c r="K22" s="19">
        <f t="shared" si="10"/>
        <v>0</v>
      </c>
      <c r="L22" s="19">
        <f t="shared" si="10"/>
        <v>0</v>
      </c>
      <c r="M22" s="19">
        <f t="shared" si="10"/>
        <v>0</v>
      </c>
      <c r="N22" s="19">
        <f t="shared" si="10"/>
        <v>0</v>
      </c>
      <c r="O22" s="19">
        <f t="shared" si="10"/>
        <v>0</v>
      </c>
      <c r="P22" s="19">
        <f t="shared" si="10"/>
        <v>446</v>
      </c>
      <c r="Q22" s="19">
        <f t="shared" si="10"/>
        <v>401</v>
      </c>
      <c r="R22" s="19">
        <f t="shared" si="10"/>
        <v>0</v>
      </c>
      <c r="S22" s="19">
        <f t="shared" si="10"/>
        <v>0</v>
      </c>
      <c r="T22" s="19">
        <f t="shared" si="10"/>
        <v>0</v>
      </c>
      <c r="U22" s="19">
        <f t="shared" si="10"/>
        <v>0</v>
      </c>
      <c r="V22" s="19">
        <f t="shared" si="10"/>
        <v>350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180</v>
      </c>
      <c r="D23" s="19">
        <f t="shared" ref="D23:Q23" si="11">MAX(SUM(D$9:D$11),SUM(D$12:D$14))+$I$5*3</f>
        <v>180</v>
      </c>
      <c r="E23" s="19">
        <f t="shared" si="11"/>
        <v>180</v>
      </c>
      <c r="F23" s="19">
        <f t="shared" si="11"/>
        <v>180</v>
      </c>
      <c r="G23" s="19">
        <f t="shared" si="11"/>
        <v>180</v>
      </c>
      <c r="H23" s="19">
        <f t="shared" si="11"/>
        <v>180</v>
      </c>
      <c r="I23" s="19">
        <f t="shared" si="11"/>
        <v>180</v>
      </c>
      <c r="J23" s="19">
        <f t="shared" si="11"/>
        <v>180</v>
      </c>
      <c r="K23" s="19">
        <f t="shared" si="11"/>
        <v>180</v>
      </c>
      <c r="L23" s="19">
        <f t="shared" si="11"/>
        <v>180</v>
      </c>
      <c r="M23" s="19">
        <f t="shared" si="11"/>
        <v>180</v>
      </c>
      <c r="N23" s="19">
        <f t="shared" si="11"/>
        <v>180</v>
      </c>
      <c r="O23" s="19">
        <f t="shared" si="11"/>
        <v>180</v>
      </c>
      <c r="P23" s="19">
        <f t="shared" si="11"/>
        <v>626</v>
      </c>
      <c r="Q23" s="19">
        <f t="shared" si="11"/>
        <v>581</v>
      </c>
      <c r="R23" s="19">
        <f t="shared" ref="R23:X23" si="12">MAX(SUM(R$9:R$11),SUM(R$12:R$14))+Q18*3</f>
        <v>159</v>
      </c>
      <c r="S23" s="19">
        <f t="shared" si="12"/>
        <v>159</v>
      </c>
      <c r="T23" s="19">
        <f t="shared" si="12"/>
        <v>159</v>
      </c>
      <c r="U23" s="19">
        <f t="shared" si="12"/>
        <v>159</v>
      </c>
      <c r="V23" s="19">
        <f t="shared" si="12"/>
        <v>509</v>
      </c>
      <c r="W23" s="19">
        <f t="shared" si="12"/>
        <v>180</v>
      </c>
      <c r="X23" s="19">
        <f t="shared" si="12"/>
        <v>180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182</v>
      </c>
      <c r="Q27" s="107">
        <f>MAX($C20:Q20)</f>
        <v>182</v>
      </c>
      <c r="R27" s="107">
        <f>MAX($C20:R20)</f>
        <v>182</v>
      </c>
      <c r="S27" s="107">
        <f>MAX($C20:S20)</f>
        <v>182</v>
      </c>
      <c r="T27" s="107">
        <f>MAX($C20:T20)</f>
        <v>182</v>
      </c>
      <c r="U27" s="107">
        <f>MAX($C20:U20)</f>
        <v>182</v>
      </c>
      <c r="V27" s="107">
        <f>MAX($C20:V20)</f>
        <v>182</v>
      </c>
      <c r="W27" s="107">
        <f>MAX($C20:W20)</f>
        <v>182</v>
      </c>
      <c r="X27" s="107">
        <f>MAX($C20:X20)</f>
        <v>182</v>
      </c>
    </row>
    <row r="28" spans="1:25" ht="13.15" x14ac:dyDescent="0.4">
      <c r="A28">
        <v>22</v>
      </c>
      <c r="B28" s="151" t="s">
        <v>78</v>
      </c>
      <c r="C28" s="19">
        <f>MAX(C21)</f>
        <v>60</v>
      </c>
      <c r="D28" s="107">
        <f>MAX($C21:D21)</f>
        <v>60</v>
      </c>
      <c r="E28" s="107">
        <f>MAX($C21:E21)</f>
        <v>60</v>
      </c>
      <c r="F28" s="107">
        <f>MAX($C21:F21)</f>
        <v>60</v>
      </c>
      <c r="G28" s="107">
        <f>MAX($C21:G21)</f>
        <v>60</v>
      </c>
      <c r="H28" s="107">
        <f>MAX($C21:H21)</f>
        <v>60</v>
      </c>
      <c r="I28" s="107">
        <f>MAX($C21:I21)</f>
        <v>60</v>
      </c>
      <c r="J28" s="107">
        <f>MAX($C21:J21)</f>
        <v>60</v>
      </c>
      <c r="K28" s="107">
        <f>MAX($C21:K21)</f>
        <v>60</v>
      </c>
      <c r="L28" s="107">
        <f>MAX($C21:L21)</f>
        <v>60</v>
      </c>
      <c r="M28" s="107">
        <f>MAX($C21:M21)</f>
        <v>60</v>
      </c>
      <c r="N28" s="107">
        <f>MAX($C21:N21)</f>
        <v>60</v>
      </c>
      <c r="O28" s="107">
        <f>MAX($C21:O21)</f>
        <v>60</v>
      </c>
      <c r="P28" s="107">
        <f>MAX($C21:P21)</f>
        <v>242</v>
      </c>
      <c r="Q28" s="107">
        <f>MAX($C21:Q21)</f>
        <v>242</v>
      </c>
      <c r="R28" s="107">
        <f>MAX($C21:R21)</f>
        <v>242</v>
      </c>
      <c r="S28" s="107">
        <f>MAX($C21:S21)</f>
        <v>242</v>
      </c>
      <c r="T28" s="107">
        <f>MAX($C21:T21)</f>
        <v>242</v>
      </c>
      <c r="U28" s="107">
        <f>MAX($C21:U21)</f>
        <v>242</v>
      </c>
      <c r="V28" s="107">
        <f>MAX($C21:V21)</f>
        <v>242</v>
      </c>
      <c r="W28" s="107">
        <f>MAX($C21:W21)</f>
        <v>242</v>
      </c>
      <c r="X28" s="107">
        <f>MAX($C21:X21)</f>
        <v>242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446</v>
      </c>
      <c r="Q29" s="107">
        <f>MAX($C22:Q22)</f>
        <v>446</v>
      </c>
      <c r="R29" s="107">
        <f>MAX($C22:R22)</f>
        <v>446</v>
      </c>
      <c r="S29" s="107">
        <f>MAX($C22:S22)</f>
        <v>446</v>
      </c>
      <c r="T29" s="107">
        <f>MAX($C22:T22)</f>
        <v>446</v>
      </c>
      <c r="U29" s="107">
        <f>MAX($C22:U22)</f>
        <v>446</v>
      </c>
      <c r="V29" s="107">
        <f>MAX($C22:V22)</f>
        <v>446</v>
      </c>
      <c r="W29" s="107">
        <f>MAX($C22:W22)</f>
        <v>446</v>
      </c>
      <c r="X29" s="107">
        <f>MAX($C22:X22)</f>
        <v>446</v>
      </c>
    </row>
    <row r="30" spans="1:25" ht="13.15" x14ac:dyDescent="0.4">
      <c r="A30">
        <v>24</v>
      </c>
      <c r="B30" s="151" t="s">
        <v>80</v>
      </c>
      <c r="C30" s="19">
        <f>MAX(C23)</f>
        <v>180</v>
      </c>
      <c r="D30" s="107">
        <f>MAX($C23:D23)</f>
        <v>180</v>
      </c>
      <c r="E30" s="107">
        <f>MAX($C23:E23)</f>
        <v>180</v>
      </c>
      <c r="F30" s="107">
        <f>MAX($C23:F23)</f>
        <v>180</v>
      </c>
      <c r="G30" s="107">
        <f>MAX($C23:G23)</f>
        <v>180</v>
      </c>
      <c r="H30" s="107">
        <f>MAX($C23:H23)</f>
        <v>180</v>
      </c>
      <c r="I30" s="107">
        <f>MAX($C23:I23)</f>
        <v>180</v>
      </c>
      <c r="J30" s="107">
        <f>MAX($C23:J23)</f>
        <v>180</v>
      </c>
      <c r="K30" s="107">
        <f>MAX($C23:K23)</f>
        <v>180</v>
      </c>
      <c r="L30" s="107">
        <f>MAX($C23:L23)</f>
        <v>180</v>
      </c>
      <c r="M30" s="107">
        <f>MAX($C23:M23)</f>
        <v>180</v>
      </c>
      <c r="N30" s="107">
        <f>MAX($C23:N23)</f>
        <v>180</v>
      </c>
      <c r="O30" s="107">
        <f>MAX($C23:O23)</f>
        <v>180</v>
      </c>
      <c r="P30" s="107">
        <f>MAX($C23:P23)</f>
        <v>626</v>
      </c>
      <c r="Q30" s="107">
        <f>MAX($C23:Q23)</f>
        <v>626</v>
      </c>
      <c r="R30" s="107">
        <f>MAX($C23:R23)</f>
        <v>626</v>
      </c>
      <c r="S30" s="107">
        <f>MAX($C23:S23)</f>
        <v>626</v>
      </c>
      <c r="T30" s="107">
        <f>MAX($C23:T23)</f>
        <v>626</v>
      </c>
      <c r="U30" s="107">
        <f>MAX($C23:U23)</f>
        <v>626</v>
      </c>
      <c r="V30" s="107">
        <f>MAX($C23:V23)</f>
        <v>626</v>
      </c>
      <c r="W30" s="107">
        <f>MAX($C23:W23)</f>
        <v>626</v>
      </c>
      <c r="X30" s="107">
        <f>MAX($C23:X23)</f>
        <v>626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15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218</v>
      </c>
      <c r="G2" s="203" t="s">
        <v>219</v>
      </c>
      <c r="H2" s="224">
        <v>3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53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53</v>
      </c>
      <c r="D21" s="19">
        <f t="shared" si="8"/>
        <v>53</v>
      </c>
      <c r="E21" s="19">
        <f t="shared" si="8"/>
        <v>53</v>
      </c>
      <c r="F21" s="19">
        <f t="shared" si="8"/>
        <v>53</v>
      </c>
      <c r="G21" s="19">
        <f t="shared" si="8"/>
        <v>53</v>
      </c>
      <c r="H21" s="19">
        <f t="shared" si="8"/>
        <v>53</v>
      </c>
      <c r="I21" s="19">
        <f t="shared" si="8"/>
        <v>53</v>
      </c>
      <c r="J21" s="19">
        <f t="shared" si="8"/>
        <v>53</v>
      </c>
      <c r="K21" s="19">
        <f t="shared" si="8"/>
        <v>53</v>
      </c>
      <c r="L21" s="19">
        <f t="shared" si="8"/>
        <v>53</v>
      </c>
      <c r="M21" s="19">
        <f t="shared" si="8"/>
        <v>53</v>
      </c>
      <c r="N21" s="19">
        <f t="shared" si="8"/>
        <v>53</v>
      </c>
      <c r="O21" s="19">
        <f t="shared" si="8"/>
        <v>53</v>
      </c>
      <c r="P21" s="19">
        <f t="shared" si="8"/>
        <v>53</v>
      </c>
      <c r="Q21" s="19">
        <f t="shared" si="8"/>
        <v>53</v>
      </c>
      <c r="R21" s="19">
        <f t="shared" si="8"/>
        <v>53</v>
      </c>
      <c r="S21" s="19">
        <f t="shared" si="8"/>
        <v>53</v>
      </c>
      <c r="T21" s="19">
        <f t="shared" si="8"/>
        <v>53</v>
      </c>
      <c r="U21" s="19">
        <f t="shared" si="8"/>
        <v>53</v>
      </c>
      <c r="V21" s="19">
        <f t="shared" si="8"/>
        <v>53</v>
      </c>
      <c r="W21" s="19">
        <f t="shared" si="8"/>
        <v>53</v>
      </c>
      <c r="X21" s="19">
        <f t="shared" si="8"/>
        <v>53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159</v>
      </c>
      <c r="D23" s="19">
        <f t="shared" ref="D23:X23" si="10">MAX(SUM(D$9:D$11),SUM(D$12:D$14))+$I$5*3</f>
        <v>159</v>
      </c>
      <c r="E23" s="19">
        <f t="shared" si="10"/>
        <v>159</v>
      </c>
      <c r="F23" s="19">
        <f t="shared" si="10"/>
        <v>159</v>
      </c>
      <c r="G23" s="19">
        <f t="shared" si="10"/>
        <v>159</v>
      </c>
      <c r="H23" s="19">
        <f t="shared" si="10"/>
        <v>159</v>
      </c>
      <c r="I23" s="19">
        <f t="shared" si="10"/>
        <v>159</v>
      </c>
      <c r="J23" s="19">
        <f t="shared" si="10"/>
        <v>159</v>
      </c>
      <c r="K23" s="19">
        <f t="shared" si="10"/>
        <v>159</v>
      </c>
      <c r="L23" s="19">
        <f t="shared" si="10"/>
        <v>159</v>
      </c>
      <c r="M23" s="19">
        <f t="shared" si="10"/>
        <v>159</v>
      </c>
      <c r="N23" s="19">
        <f t="shared" si="10"/>
        <v>159</v>
      </c>
      <c r="O23" s="19">
        <f t="shared" si="10"/>
        <v>159</v>
      </c>
      <c r="P23" s="19">
        <f t="shared" si="10"/>
        <v>159</v>
      </c>
      <c r="Q23" s="19">
        <f t="shared" si="10"/>
        <v>159</v>
      </c>
      <c r="R23" s="19">
        <f t="shared" si="10"/>
        <v>159</v>
      </c>
      <c r="S23" s="19">
        <f t="shared" si="10"/>
        <v>159</v>
      </c>
      <c r="T23" s="19">
        <f t="shared" si="10"/>
        <v>159</v>
      </c>
      <c r="U23" s="19">
        <f t="shared" si="10"/>
        <v>159</v>
      </c>
      <c r="V23" s="19">
        <f t="shared" si="10"/>
        <v>159</v>
      </c>
      <c r="W23" s="19">
        <f t="shared" si="10"/>
        <v>159</v>
      </c>
      <c r="X23" s="19">
        <f t="shared" si="10"/>
        <v>159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53</v>
      </c>
      <c r="D28" s="107">
        <f>MAX($C21:D21)</f>
        <v>53</v>
      </c>
      <c r="E28" s="107">
        <f>MAX($C21:E21)</f>
        <v>53</v>
      </c>
      <c r="F28" s="107">
        <f>MAX($C21:F21)</f>
        <v>53</v>
      </c>
      <c r="G28" s="107">
        <f>MAX($C21:G21)</f>
        <v>53</v>
      </c>
      <c r="H28" s="107">
        <f>MAX($C21:H21)</f>
        <v>53</v>
      </c>
      <c r="I28" s="107">
        <f>MAX($C21:I21)</f>
        <v>53</v>
      </c>
      <c r="J28" s="107">
        <f>MAX($C21:J21)</f>
        <v>53</v>
      </c>
      <c r="K28" s="107">
        <f>MAX($C21:K21)</f>
        <v>53</v>
      </c>
      <c r="L28" s="107">
        <f>MAX($C21:L21)</f>
        <v>53</v>
      </c>
      <c r="M28" s="107">
        <f>MAX($C21:M21)</f>
        <v>53</v>
      </c>
      <c r="N28" s="107">
        <f>MAX($C21:N21)</f>
        <v>53</v>
      </c>
      <c r="O28" s="107">
        <f>MAX($C21:O21)</f>
        <v>53</v>
      </c>
      <c r="P28" s="107">
        <f>MAX($C21:P21)</f>
        <v>53</v>
      </c>
      <c r="Q28" s="107">
        <f>MAX($C21:Q21)</f>
        <v>53</v>
      </c>
      <c r="R28" s="107">
        <f>MAX($C21:R21)</f>
        <v>53</v>
      </c>
      <c r="S28" s="107">
        <f>MAX($C21:S21)</f>
        <v>53</v>
      </c>
      <c r="T28" s="107">
        <f>MAX($C21:T21)</f>
        <v>53</v>
      </c>
      <c r="U28" s="107">
        <f>MAX($C21:U21)</f>
        <v>53</v>
      </c>
      <c r="V28" s="107">
        <f>MAX($C21:V21)</f>
        <v>53</v>
      </c>
      <c r="W28" s="107">
        <f>MAX($C21:W21)</f>
        <v>53</v>
      </c>
      <c r="X28" s="107">
        <f>MAX($C21:X21)</f>
        <v>53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159</v>
      </c>
      <c r="D30" s="107">
        <f>MAX($C23:D23)</f>
        <v>159</v>
      </c>
      <c r="E30" s="107">
        <f>MAX($C23:E23)</f>
        <v>159</v>
      </c>
      <c r="F30" s="107">
        <f>MAX($C23:F23)</f>
        <v>159</v>
      </c>
      <c r="G30" s="107">
        <f>MAX($C23:G23)</f>
        <v>159</v>
      </c>
      <c r="H30" s="107">
        <f>MAX($C23:H23)</f>
        <v>159</v>
      </c>
      <c r="I30" s="107">
        <f>MAX($C23:I23)</f>
        <v>159</v>
      </c>
      <c r="J30" s="107">
        <f>MAX($C23:J23)</f>
        <v>159</v>
      </c>
      <c r="K30" s="107">
        <f>MAX($C23:K23)</f>
        <v>159</v>
      </c>
      <c r="L30" s="107">
        <f>MAX($C23:L23)</f>
        <v>159</v>
      </c>
      <c r="M30" s="107">
        <f>MAX($C23:M23)</f>
        <v>159</v>
      </c>
      <c r="N30" s="107">
        <f>MAX($C23:N23)</f>
        <v>159</v>
      </c>
      <c r="O30" s="107">
        <f>MAX($C23:O23)</f>
        <v>159</v>
      </c>
      <c r="P30" s="107">
        <f>MAX($C23:P23)</f>
        <v>159</v>
      </c>
      <c r="Q30" s="107">
        <f>MAX($C23:Q23)</f>
        <v>159</v>
      </c>
      <c r="R30" s="107">
        <f>MAX($C23:R23)</f>
        <v>159</v>
      </c>
      <c r="S30" s="107">
        <f>MAX($C23:S23)</f>
        <v>159</v>
      </c>
      <c r="T30" s="107">
        <f>MAX($C23:T23)</f>
        <v>159</v>
      </c>
      <c r="U30" s="107">
        <f>MAX($C23:U23)</f>
        <v>159</v>
      </c>
      <c r="V30" s="107">
        <f>MAX($C23:V23)</f>
        <v>159</v>
      </c>
      <c r="W30" s="107">
        <f>MAX($C23:W23)</f>
        <v>159</v>
      </c>
      <c r="X30" s="107">
        <f>MAX($C23:X23)</f>
        <v>159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212</v>
      </c>
      <c r="G2" s="203" t="s">
        <v>122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74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50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I9">
        <v>107</v>
      </c>
      <c r="M9">
        <v>127</v>
      </c>
      <c r="N9">
        <v>115</v>
      </c>
      <c r="P9">
        <v>119</v>
      </c>
      <c r="S9">
        <v>104</v>
      </c>
      <c r="U9">
        <v>136</v>
      </c>
    </row>
    <row r="10" spans="1:24" ht="13.15" x14ac:dyDescent="0.4">
      <c r="A10">
        <v>4</v>
      </c>
      <c r="B10" s="3" t="s">
        <v>15</v>
      </c>
      <c r="I10">
        <v>91</v>
      </c>
      <c r="M10">
        <v>160</v>
      </c>
      <c r="N10">
        <v>98</v>
      </c>
      <c r="P10">
        <v>121</v>
      </c>
      <c r="S10">
        <v>132</v>
      </c>
      <c r="U10">
        <v>93</v>
      </c>
    </row>
    <row r="11" spans="1:24" ht="13.15" x14ac:dyDescent="0.4">
      <c r="A11">
        <v>5</v>
      </c>
      <c r="B11" s="3" t="s">
        <v>16</v>
      </c>
      <c r="I11">
        <v>119</v>
      </c>
      <c r="M11">
        <v>122</v>
      </c>
      <c r="N11">
        <v>93</v>
      </c>
      <c r="P11">
        <v>159</v>
      </c>
      <c r="S11">
        <v>97</v>
      </c>
      <c r="U11">
        <v>133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317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409</v>
      </c>
      <c r="N15" s="18">
        <f t="shared" si="2"/>
        <v>306</v>
      </c>
      <c r="O15" s="18">
        <f t="shared" si="2"/>
        <v>0</v>
      </c>
      <c r="P15" s="18">
        <f t="shared" si="2"/>
        <v>399</v>
      </c>
      <c r="Q15" s="18">
        <f t="shared" si="2"/>
        <v>0</v>
      </c>
      <c r="R15" s="18">
        <f t="shared" si="2"/>
        <v>0</v>
      </c>
      <c r="S15" s="18">
        <f t="shared" si="2"/>
        <v>333</v>
      </c>
      <c r="T15" s="18">
        <f t="shared" si="2"/>
        <v>0</v>
      </c>
      <c r="U15" s="18">
        <f t="shared" si="2"/>
        <v>362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317</v>
      </c>
      <c r="J16" s="19">
        <f t="shared" si="3"/>
        <v>317</v>
      </c>
      <c r="K16" s="19">
        <f t="shared" si="3"/>
        <v>317</v>
      </c>
      <c r="L16" s="19">
        <f t="shared" si="3"/>
        <v>317</v>
      </c>
      <c r="M16" s="19">
        <f t="shared" si="3"/>
        <v>726</v>
      </c>
      <c r="N16" s="19">
        <f t="shared" si="3"/>
        <v>1032</v>
      </c>
      <c r="O16" s="19">
        <f t="shared" si="3"/>
        <v>1032</v>
      </c>
      <c r="P16" s="19">
        <f t="shared" si="3"/>
        <v>1431</v>
      </c>
      <c r="Q16" s="19">
        <f t="shared" si="3"/>
        <v>1431</v>
      </c>
      <c r="R16" s="19">
        <f t="shared" si="3"/>
        <v>1431</v>
      </c>
      <c r="S16" s="19">
        <f t="shared" si="3"/>
        <v>1764</v>
      </c>
      <c r="T16" s="19">
        <f t="shared" si="3"/>
        <v>1764</v>
      </c>
      <c r="U16" s="19">
        <f t="shared" si="3"/>
        <v>2126</v>
      </c>
      <c r="V16" s="19">
        <f t="shared" si="3"/>
        <v>2126</v>
      </c>
      <c r="W16" s="19">
        <f t="shared" si="3"/>
        <v>2126</v>
      </c>
      <c r="X16" s="19">
        <f t="shared" si="3"/>
        <v>2126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>
        <f t="shared" si="4"/>
        <v>105.66666666666667</v>
      </c>
      <c r="J17" s="20">
        <f t="shared" si="4"/>
        <v>105.66666666666667</v>
      </c>
      <c r="K17" s="20">
        <f t="shared" si="4"/>
        <v>105.66666666666667</v>
      </c>
      <c r="L17" s="20">
        <f t="shared" si="4"/>
        <v>105.66666666666667</v>
      </c>
      <c r="M17" s="20">
        <f t="shared" si="4"/>
        <v>121</v>
      </c>
      <c r="N17" s="20">
        <f t="shared" si="4"/>
        <v>114.66666666666667</v>
      </c>
      <c r="O17" s="20">
        <f t="shared" si="4"/>
        <v>114.66666666666667</v>
      </c>
      <c r="P17" s="20">
        <f t="shared" si="4"/>
        <v>119.25</v>
      </c>
      <c r="Q17" s="20">
        <f t="shared" si="4"/>
        <v>119.25</v>
      </c>
      <c r="R17" s="20">
        <f t="shared" si="4"/>
        <v>119.25</v>
      </c>
      <c r="S17" s="20">
        <f t="shared" si="4"/>
        <v>117.6</v>
      </c>
      <c r="T17" s="20">
        <f t="shared" si="4"/>
        <v>117.6</v>
      </c>
      <c r="U17" s="20">
        <f t="shared" si="4"/>
        <v>118.11111111111111</v>
      </c>
      <c r="V17" s="20">
        <f t="shared" si="4"/>
        <v>118.11111111111111</v>
      </c>
      <c r="W17" s="20">
        <f t="shared" si="4"/>
        <v>118.11111111111111</v>
      </c>
      <c r="X17" s="20">
        <f t="shared" si="4"/>
        <v>118.11111111111111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>
        <f t="shared" si="5"/>
        <v>85</v>
      </c>
      <c r="J18" s="19">
        <f t="shared" si="5"/>
        <v>85</v>
      </c>
      <c r="K18" s="19">
        <f t="shared" si="5"/>
        <v>85</v>
      </c>
      <c r="L18" s="19">
        <f t="shared" si="5"/>
        <v>85</v>
      </c>
      <c r="M18" s="19">
        <f t="shared" si="5"/>
        <v>71</v>
      </c>
      <c r="N18" s="19">
        <f t="shared" si="5"/>
        <v>77</v>
      </c>
      <c r="O18" s="19">
        <f t="shared" si="5"/>
        <v>77</v>
      </c>
      <c r="P18" s="19">
        <f t="shared" si="5"/>
        <v>73</v>
      </c>
      <c r="Q18" s="19">
        <f t="shared" si="5"/>
        <v>73</v>
      </c>
      <c r="R18" s="19">
        <f t="shared" si="5"/>
        <v>73</v>
      </c>
      <c r="S18" s="19">
        <f t="shared" si="5"/>
        <v>74</v>
      </c>
      <c r="T18" s="19">
        <f t="shared" si="5"/>
        <v>74</v>
      </c>
      <c r="U18" s="19">
        <f t="shared" si="5"/>
        <v>74</v>
      </c>
      <c r="V18" s="19">
        <f t="shared" si="5"/>
        <v>74</v>
      </c>
      <c r="W18" s="19">
        <f t="shared" si="5"/>
        <v>74</v>
      </c>
      <c r="X18" s="19">
        <f t="shared" si="5"/>
        <v>74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3</v>
      </c>
      <c r="J19" s="19">
        <f t="shared" si="6"/>
        <v>3</v>
      </c>
      <c r="K19" s="19">
        <f t="shared" si="6"/>
        <v>3</v>
      </c>
      <c r="L19" s="19">
        <f t="shared" si="6"/>
        <v>3</v>
      </c>
      <c r="M19" s="19">
        <f t="shared" si="6"/>
        <v>6</v>
      </c>
      <c r="N19" s="19">
        <f t="shared" si="6"/>
        <v>9</v>
      </c>
      <c r="O19" s="19">
        <f t="shared" si="6"/>
        <v>9</v>
      </c>
      <c r="P19" s="19">
        <f t="shared" si="6"/>
        <v>12</v>
      </c>
      <c r="Q19" s="19">
        <f t="shared" si="6"/>
        <v>12</v>
      </c>
      <c r="R19" s="19">
        <f t="shared" si="6"/>
        <v>12</v>
      </c>
      <c r="S19" s="19">
        <f t="shared" si="6"/>
        <v>15</v>
      </c>
      <c r="T19" s="19">
        <f t="shared" si="6"/>
        <v>15</v>
      </c>
      <c r="U19" s="19">
        <f t="shared" si="6"/>
        <v>18</v>
      </c>
      <c r="V19" s="19">
        <f t="shared" si="6"/>
        <v>18</v>
      </c>
      <c r="W19" s="19">
        <f t="shared" si="6"/>
        <v>18</v>
      </c>
      <c r="X19" s="19">
        <f t="shared" si="6"/>
        <v>18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119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160</v>
      </c>
      <c r="N20" s="19">
        <f t="shared" si="7"/>
        <v>115</v>
      </c>
      <c r="O20" s="19">
        <f t="shared" si="7"/>
        <v>0</v>
      </c>
      <c r="P20" s="19">
        <f t="shared" si="7"/>
        <v>159</v>
      </c>
      <c r="Q20" s="19">
        <f t="shared" si="7"/>
        <v>0</v>
      </c>
      <c r="R20" s="19">
        <f t="shared" si="7"/>
        <v>0</v>
      </c>
      <c r="S20" s="19">
        <f t="shared" si="7"/>
        <v>132</v>
      </c>
      <c r="T20" s="19">
        <f t="shared" si="7"/>
        <v>0</v>
      </c>
      <c r="U20" s="19">
        <f t="shared" si="7"/>
        <v>136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M21" si="8">MAX(C$9:C$14)+$I$5</f>
        <v>50</v>
      </c>
      <c r="D21" s="19">
        <f t="shared" si="8"/>
        <v>50</v>
      </c>
      <c r="E21" s="19">
        <f t="shared" si="8"/>
        <v>50</v>
      </c>
      <c r="F21" s="19">
        <f t="shared" si="8"/>
        <v>50</v>
      </c>
      <c r="G21" s="19">
        <f t="shared" si="8"/>
        <v>50</v>
      </c>
      <c r="H21" s="19">
        <f t="shared" si="8"/>
        <v>50</v>
      </c>
      <c r="I21" s="19">
        <f t="shared" si="8"/>
        <v>169</v>
      </c>
      <c r="J21" s="19">
        <f t="shared" si="8"/>
        <v>50</v>
      </c>
      <c r="K21" s="19">
        <f t="shared" si="8"/>
        <v>50</v>
      </c>
      <c r="L21" s="19">
        <f t="shared" si="8"/>
        <v>50</v>
      </c>
      <c r="M21" s="19">
        <f t="shared" si="8"/>
        <v>210</v>
      </c>
      <c r="N21" s="19">
        <f t="shared" ref="N21:X21" si="9">MAX(N$9:N$14)+M18</f>
        <v>186</v>
      </c>
      <c r="O21" s="19">
        <f t="shared" si="9"/>
        <v>77</v>
      </c>
      <c r="P21" s="19">
        <f t="shared" si="9"/>
        <v>236</v>
      </c>
      <c r="Q21" s="19">
        <f t="shared" si="9"/>
        <v>73</v>
      </c>
      <c r="R21" s="19">
        <f t="shared" si="9"/>
        <v>73</v>
      </c>
      <c r="S21" s="19">
        <f t="shared" si="9"/>
        <v>205</v>
      </c>
      <c r="T21" s="19">
        <f t="shared" si="9"/>
        <v>74</v>
      </c>
      <c r="U21" s="19">
        <f t="shared" si="9"/>
        <v>210</v>
      </c>
      <c r="V21" s="19">
        <f t="shared" si="9"/>
        <v>74</v>
      </c>
      <c r="W21" s="19">
        <f t="shared" si="9"/>
        <v>74</v>
      </c>
      <c r="X21" s="19">
        <f t="shared" si="9"/>
        <v>74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0</v>
      </c>
      <c r="F22" s="19">
        <f t="shared" si="10"/>
        <v>0</v>
      </c>
      <c r="G22" s="19">
        <f t="shared" si="10"/>
        <v>0</v>
      </c>
      <c r="H22" s="19">
        <f t="shared" si="10"/>
        <v>0</v>
      </c>
      <c r="I22" s="19">
        <f t="shared" si="10"/>
        <v>317</v>
      </c>
      <c r="J22" s="19">
        <f t="shared" si="10"/>
        <v>0</v>
      </c>
      <c r="K22" s="19">
        <f t="shared" si="10"/>
        <v>0</v>
      </c>
      <c r="L22" s="19">
        <f t="shared" si="10"/>
        <v>0</v>
      </c>
      <c r="M22" s="19">
        <f t="shared" si="10"/>
        <v>409</v>
      </c>
      <c r="N22" s="19">
        <f t="shared" si="10"/>
        <v>306</v>
      </c>
      <c r="O22" s="19">
        <f t="shared" si="10"/>
        <v>0</v>
      </c>
      <c r="P22" s="19">
        <f t="shared" si="10"/>
        <v>399</v>
      </c>
      <c r="Q22" s="19">
        <f t="shared" si="10"/>
        <v>0</v>
      </c>
      <c r="R22" s="19">
        <f t="shared" si="10"/>
        <v>0</v>
      </c>
      <c r="S22" s="19">
        <f t="shared" si="10"/>
        <v>333</v>
      </c>
      <c r="T22" s="19">
        <f t="shared" si="10"/>
        <v>0</v>
      </c>
      <c r="U22" s="19">
        <f t="shared" si="10"/>
        <v>362</v>
      </c>
      <c r="V22" s="19">
        <f t="shared" si="10"/>
        <v>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150</v>
      </c>
      <c r="D23" s="19">
        <f t="shared" ref="D23:M23" si="11">MAX(SUM(D$9:D$11),SUM(D$12:D$14))+$I$5*3</f>
        <v>150</v>
      </c>
      <c r="E23" s="19">
        <f t="shared" si="11"/>
        <v>150</v>
      </c>
      <c r="F23" s="19">
        <f t="shared" si="11"/>
        <v>150</v>
      </c>
      <c r="G23" s="19">
        <f t="shared" si="11"/>
        <v>150</v>
      </c>
      <c r="H23" s="19">
        <f t="shared" si="11"/>
        <v>150</v>
      </c>
      <c r="I23" s="19">
        <f t="shared" si="11"/>
        <v>467</v>
      </c>
      <c r="J23" s="19">
        <f t="shared" si="11"/>
        <v>150</v>
      </c>
      <c r="K23" s="19">
        <f t="shared" si="11"/>
        <v>150</v>
      </c>
      <c r="L23" s="19">
        <f t="shared" si="11"/>
        <v>150</v>
      </c>
      <c r="M23" s="19">
        <f t="shared" si="11"/>
        <v>559</v>
      </c>
      <c r="N23" s="19">
        <f t="shared" ref="N23:X23" si="12">MAX(SUM(N$9:N$11),SUM(N$12:N$14))+M18*3</f>
        <v>519</v>
      </c>
      <c r="O23" s="19">
        <f t="shared" si="12"/>
        <v>231</v>
      </c>
      <c r="P23" s="19">
        <f t="shared" si="12"/>
        <v>630</v>
      </c>
      <c r="Q23" s="19">
        <f t="shared" si="12"/>
        <v>219</v>
      </c>
      <c r="R23" s="19">
        <f t="shared" si="12"/>
        <v>219</v>
      </c>
      <c r="S23" s="19">
        <f t="shared" si="12"/>
        <v>552</v>
      </c>
      <c r="T23" s="19">
        <f t="shared" si="12"/>
        <v>222</v>
      </c>
      <c r="U23" s="19">
        <f t="shared" si="12"/>
        <v>584</v>
      </c>
      <c r="V23" s="19">
        <f t="shared" si="12"/>
        <v>222</v>
      </c>
      <c r="W23" s="19">
        <f t="shared" si="12"/>
        <v>222</v>
      </c>
      <c r="X23" s="19">
        <f t="shared" si="12"/>
        <v>222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119</v>
      </c>
      <c r="J27" s="107">
        <f>MAX($C20:J20)</f>
        <v>119</v>
      </c>
      <c r="K27" s="107">
        <f>MAX($C20:K20)</f>
        <v>119</v>
      </c>
      <c r="L27" s="107">
        <f>MAX($C20:L20)</f>
        <v>119</v>
      </c>
      <c r="M27" s="107">
        <f>MAX($C20:M20)</f>
        <v>160</v>
      </c>
      <c r="N27" s="107">
        <f>MAX($C20:N20)</f>
        <v>160</v>
      </c>
      <c r="O27" s="107">
        <f>MAX($C20:O20)</f>
        <v>160</v>
      </c>
      <c r="P27" s="107">
        <f>MAX($C20:P20)</f>
        <v>160</v>
      </c>
      <c r="Q27" s="107">
        <f>MAX($C20:Q20)</f>
        <v>160</v>
      </c>
      <c r="R27" s="107">
        <f>MAX($C20:R20)</f>
        <v>160</v>
      </c>
      <c r="S27" s="107">
        <f>MAX($C20:S20)</f>
        <v>160</v>
      </c>
      <c r="T27" s="107">
        <f>MAX($C20:T20)</f>
        <v>160</v>
      </c>
      <c r="U27" s="107">
        <f>MAX($C20:U20)</f>
        <v>160</v>
      </c>
      <c r="V27" s="107">
        <f>MAX($C20:V20)</f>
        <v>160</v>
      </c>
      <c r="W27" s="107">
        <f>MAX($C20:W20)</f>
        <v>160</v>
      </c>
      <c r="X27" s="107">
        <f>MAX($C20:X20)</f>
        <v>160</v>
      </c>
    </row>
    <row r="28" spans="1:25" ht="13.15" x14ac:dyDescent="0.4">
      <c r="A28">
        <v>22</v>
      </c>
      <c r="B28" s="151" t="s">
        <v>78</v>
      </c>
      <c r="C28" s="19">
        <f>MAX(C21)</f>
        <v>50</v>
      </c>
      <c r="D28" s="107">
        <f>MAX($C21:D21)</f>
        <v>50</v>
      </c>
      <c r="E28" s="107">
        <f>MAX($C21:E21)</f>
        <v>50</v>
      </c>
      <c r="F28" s="107">
        <f>MAX($C21:F21)</f>
        <v>50</v>
      </c>
      <c r="G28" s="107">
        <f>MAX($C21:G21)</f>
        <v>50</v>
      </c>
      <c r="H28" s="107">
        <f>MAX($C21:H21)</f>
        <v>50</v>
      </c>
      <c r="I28" s="107">
        <f>MAX($C21:I21)</f>
        <v>169</v>
      </c>
      <c r="J28" s="107">
        <f>MAX($C21:J21)</f>
        <v>169</v>
      </c>
      <c r="K28" s="107">
        <f>MAX($C21:K21)</f>
        <v>169</v>
      </c>
      <c r="L28" s="107">
        <f>MAX($C21:L21)</f>
        <v>169</v>
      </c>
      <c r="M28" s="107">
        <f>MAX($C21:M21)</f>
        <v>210</v>
      </c>
      <c r="N28" s="107">
        <f>MAX($C21:N21)</f>
        <v>210</v>
      </c>
      <c r="O28" s="107">
        <f>MAX($C21:O21)</f>
        <v>210</v>
      </c>
      <c r="P28" s="107">
        <f>MAX($C21:P21)</f>
        <v>236</v>
      </c>
      <c r="Q28" s="107">
        <f>MAX($C21:Q21)</f>
        <v>236</v>
      </c>
      <c r="R28" s="107">
        <f>MAX($C21:R21)</f>
        <v>236</v>
      </c>
      <c r="S28" s="107">
        <f>MAX($C21:S21)</f>
        <v>236</v>
      </c>
      <c r="T28" s="107">
        <f>MAX($C21:T21)</f>
        <v>236</v>
      </c>
      <c r="U28" s="107">
        <f>MAX($C21:U21)</f>
        <v>236</v>
      </c>
      <c r="V28" s="107">
        <f>MAX($C21:V21)</f>
        <v>236</v>
      </c>
      <c r="W28" s="107">
        <f>MAX($C21:W21)</f>
        <v>236</v>
      </c>
      <c r="X28" s="107">
        <f>MAX($C21:X21)</f>
        <v>236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317</v>
      </c>
      <c r="J29" s="107">
        <f>MAX($C22:J22)</f>
        <v>317</v>
      </c>
      <c r="K29" s="107">
        <f>MAX($C22:K22)</f>
        <v>317</v>
      </c>
      <c r="L29" s="107">
        <f>MAX($C22:L22)</f>
        <v>317</v>
      </c>
      <c r="M29" s="107">
        <f>MAX($C22:M22)</f>
        <v>409</v>
      </c>
      <c r="N29" s="107">
        <f>MAX($C22:N22)</f>
        <v>409</v>
      </c>
      <c r="O29" s="107">
        <f>MAX($C22:O22)</f>
        <v>409</v>
      </c>
      <c r="P29" s="107">
        <f>MAX($C22:P22)</f>
        <v>409</v>
      </c>
      <c r="Q29" s="107">
        <f>MAX($C22:Q22)</f>
        <v>409</v>
      </c>
      <c r="R29" s="107">
        <f>MAX($C22:R22)</f>
        <v>409</v>
      </c>
      <c r="S29" s="107">
        <f>MAX($C22:S22)</f>
        <v>409</v>
      </c>
      <c r="T29" s="107">
        <f>MAX($C22:T22)</f>
        <v>409</v>
      </c>
      <c r="U29" s="107">
        <f>MAX($C22:U22)</f>
        <v>409</v>
      </c>
      <c r="V29" s="107">
        <f>MAX($C22:V22)</f>
        <v>409</v>
      </c>
      <c r="W29" s="107">
        <f>MAX($C22:W22)</f>
        <v>409</v>
      </c>
      <c r="X29" s="107">
        <f>MAX($C22:X22)</f>
        <v>409</v>
      </c>
    </row>
    <row r="30" spans="1:25" ht="13.15" x14ac:dyDescent="0.4">
      <c r="A30">
        <v>24</v>
      </c>
      <c r="B30" s="151" t="s">
        <v>80</v>
      </c>
      <c r="C30" s="19">
        <f>MAX(C23)</f>
        <v>150</v>
      </c>
      <c r="D30" s="107">
        <f>MAX($C23:D23)</f>
        <v>150</v>
      </c>
      <c r="E30" s="107">
        <f>MAX($C23:E23)</f>
        <v>150</v>
      </c>
      <c r="F30" s="107">
        <f>MAX($C23:F23)</f>
        <v>150</v>
      </c>
      <c r="G30" s="107">
        <f>MAX($C23:G23)</f>
        <v>150</v>
      </c>
      <c r="H30" s="107">
        <f>MAX($C23:H23)</f>
        <v>150</v>
      </c>
      <c r="I30" s="107">
        <f>MAX($C23:I23)</f>
        <v>467</v>
      </c>
      <c r="J30" s="107">
        <f>MAX($C23:J23)</f>
        <v>467</v>
      </c>
      <c r="K30" s="107">
        <f>MAX($C23:K23)</f>
        <v>467</v>
      </c>
      <c r="L30" s="107">
        <f>MAX($C23:L23)</f>
        <v>467</v>
      </c>
      <c r="M30" s="107">
        <f>MAX($C23:M23)</f>
        <v>559</v>
      </c>
      <c r="N30" s="107">
        <f>MAX($C23:N23)</f>
        <v>559</v>
      </c>
      <c r="O30" s="107">
        <f>MAX($C23:O23)</f>
        <v>559</v>
      </c>
      <c r="P30" s="107">
        <f>MAX($C23:P23)</f>
        <v>630</v>
      </c>
      <c r="Q30" s="107">
        <f>MAX($C23:Q23)</f>
        <v>630</v>
      </c>
      <c r="R30" s="107">
        <f>MAX($C23:R23)</f>
        <v>630</v>
      </c>
      <c r="S30" s="107">
        <f>MAX($C23:S23)</f>
        <v>630</v>
      </c>
      <c r="T30" s="107">
        <f>MAX($C23:T23)</f>
        <v>630</v>
      </c>
      <c r="U30" s="107">
        <f>MAX($C23:U23)</f>
        <v>630</v>
      </c>
      <c r="V30" s="107">
        <f>MAX($C23:V23)</f>
        <v>630</v>
      </c>
      <c r="W30" s="107">
        <f>MAX($C23:W23)</f>
        <v>630</v>
      </c>
      <c r="X30" s="107">
        <f>MAX($C23:X23)</f>
        <v>630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174</v>
      </c>
      <c r="G2" s="203" t="s">
        <v>173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39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36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139</v>
      </c>
      <c r="F9">
        <v>185</v>
      </c>
      <c r="G9">
        <v>154</v>
      </c>
      <c r="H9">
        <v>161</v>
      </c>
      <c r="I9">
        <v>148</v>
      </c>
      <c r="K9">
        <v>144</v>
      </c>
      <c r="M9">
        <v>121</v>
      </c>
      <c r="O9">
        <v>156</v>
      </c>
      <c r="R9">
        <v>137</v>
      </c>
      <c r="S9">
        <v>167</v>
      </c>
      <c r="U9">
        <v>174</v>
      </c>
    </row>
    <row r="10" spans="1:24" ht="13.15" x14ac:dyDescent="0.4">
      <c r="A10">
        <v>4</v>
      </c>
      <c r="B10" s="3" t="s">
        <v>15</v>
      </c>
      <c r="C10">
        <v>140</v>
      </c>
      <c r="F10">
        <v>123</v>
      </c>
      <c r="G10">
        <v>104</v>
      </c>
      <c r="H10">
        <v>181</v>
      </c>
      <c r="I10">
        <v>145</v>
      </c>
      <c r="K10">
        <v>146</v>
      </c>
      <c r="M10">
        <v>150</v>
      </c>
      <c r="O10">
        <v>193</v>
      </c>
      <c r="R10">
        <v>129</v>
      </c>
      <c r="S10">
        <v>188</v>
      </c>
      <c r="U10">
        <v>169</v>
      </c>
    </row>
    <row r="11" spans="1:24" ht="13.15" x14ac:dyDescent="0.4">
      <c r="A11">
        <v>5</v>
      </c>
      <c r="B11" s="3" t="s">
        <v>16</v>
      </c>
      <c r="C11">
        <v>166</v>
      </c>
      <c r="F11">
        <v>179</v>
      </c>
      <c r="G11">
        <v>181</v>
      </c>
      <c r="H11">
        <v>154</v>
      </c>
      <c r="I11">
        <v>159</v>
      </c>
      <c r="K11">
        <v>160</v>
      </c>
      <c r="M11">
        <v>152</v>
      </c>
      <c r="O11">
        <v>126</v>
      </c>
      <c r="R11">
        <v>168</v>
      </c>
      <c r="S11">
        <v>172</v>
      </c>
      <c r="U11">
        <v>210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445</v>
      </c>
      <c r="D15" s="18">
        <f t="shared" si="2"/>
        <v>0</v>
      </c>
      <c r="E15" s="18">
        <f t="shared" si="2"/>
        <v>0</v>
      </c>
      <c r="F15" s="18">
        <f t="shared" si="2"/>
        <v>487</v>
      </c>
      <c r="G15" s="18">
        <f t="shared" si="2"/>
        <v>439</v>
      </c>
      <c r="H15" s="18">
        <f t="shared" si="2"/>
        <v>496</v>
      </c>
      <c r="I15" s="18">
        <f t="shared" si="2"/>
        <v>452</v>
      </c>
      <c r="J15" s="18">
        <f t="shared" si="2"/>
        <v>0</v>
      </c>
      <c r="K15" s="18">
        <f t="shared" si="2"/>
        <v>450</v>
      </c>
      <c r="L15" s="18">
        <f t="shared" si="2"/>
        <v>0</v>
      </c>
      <c r="M15" s="18">
        <f t="shared" si="2"/>
        <v>423</v>
      </c>
      <c r="N15" s="18">
        <f t="shared" si="2"/>
        <v>0</v>
      </c>
      <c r="O15" s="18">
        <f t="shared" si="2"/>
        <v>475</v>
      </c>
      <c r="P15" s="18">
        <f t="shared" si="2"/>
        <v>0</v>
      </c>
      <c r="Q15" s="18">
        <f t="shared" si="2"/>
        <v>0</v>
      </c>
      <c r="R15" s="18">
        <f t="shared" si="2"/>
        <v>434</v>
      </c>
      <c r="S15" s="18">
        <f t="shared" si="2"/>
        <v>527</v>
      </c>
      <c r="T15" s="18">
        <f t="shared" si="2"/>
        <v>0</v>
      </c>
      <c r="U15" s="18">
        <f t="shared" si="2"/>
        <v>553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445</v>
      </c>
      <c r="D16" s="19">
        <f t="shared" ref="D16:X16" si="3">+D15+C16</f>
        <v>445</v>
      </c>
      <c r="E16" s="19">
        <f t="shared" si="3"/>
        <v>445</v>
      </c>
      <c r="F16" s="19">
        <f t="shared" si="3"/>
        <v>932</v>
      </c>
      <c r="G16" s="19">
        <f t="shared" si="3"/>
        <v>1371</v>
      </c>
      <c r="H16" s="19">
        <f t="shared" si="3"/>
        <v>1867</v>
      </c>
      <c r="I16" s="19">
        <f t="shared" si="3"/>
        <v>2319</v>
      </c>
      <c r="J16" s="19">
        <f t="shared" si="3"/>
        <v>2319</v>
      </c>
      <c r="K16" s="19">
        <f t="shared" si="3"/>
        <v>2769</v>
      </c>
      <c r="L16" s="19">
        <f t="shared" si="3"/>
        <v>2769</v>
      </c>
      <c r="M16" s="19">
        <f t="shared" si="3"/>
        <v>3192</v>
      </c>
      <c r="N16" s="19">
        <f t="shared" si="3"/>
        <v>3192</v>
      </c>
      <c r="O16" s="19">
        <f t="shared" si="3"/>
        <v>3667</v>
      </c>
      <c r="P16" s="19">
        <f t="shared" si="3"/>
        <v>3667</v>
      </c>
      <c r="Q16" s="19">
        <f t="shared" si="3"/>
        <v>3667</v>
      </c>
      <c r="R16" s="19">
        <f t="shared" si="3"/>
        <v>4101</v>
      </c>
      <c r="S16" s="19">
        <f t="shared" si="3"/>
        <v>4628</v>
      </c>
      <c r="T16" s="19">
        <f t="shared" si="3"/>
        <v>4628</v>
      </c>
      <c r="U16" s="19">
        <f t="shared" si="3"/>
        <v>5181</v>
      </c>
      <c r="V16" s="19">
        <f t="shared" si="3"/>
        <v>5181</v>
      </c>
      <c r="W16" s="19">
        <f t="shared" si="3"/>
        <v>5181</v>
      </c>
      <c r="X16" s="19">
        <f t="shared" si="3"/>
        <v>5181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148.33333333333334</v>
      </c>
      <c r="D17" s="20">
        <f t="shared" si="4"/>
        <v>148.33333333333334</v>
      </c>
      <c r="E17" s="20">
        <f t="shared" si="4"/>
        <v>148.33333333333334</v>
      </c>
      <c r="F17" s="20">
        <f t="shared" si="4"/>
        <v>155.33333333333334</v>
      </c>
      <c r="G17" s="20">
        <f t="shared" si="4"/>
        <v>152.33333333333334</v>
      </c>
      <c r="H17" s="20">
        <f t="shared" si="4"/>
        <v>155.58333333333334</v>
      </c>
      <c r="I17" s="20">
        <f t="shared" si="4"/>
        <v>154.6</v>
      </c>
      <c r="J17" s="20">
        <f t="shared" si="4"/>
        <v>154.6</v>
      </c>
      <c r="K17" s="20">
        <f t="shared" si="4"/>
        <v>153.83333333333334</v>
      </c>
      <c r="L17" s="20">
        <f t="shared" si="4"/>
        <v>153.83333333333334</v>
      </c>
      <c r="M17" s="20">
        <f t="shared" si="4"/>
        <v>152</v>
      </c>
      <c r="N17" s="20">
        <f t="shared" si="4"/>
        <v>152</v>
      </c>
      <c r="O17" s="20">
        <f t="shared" si="4"/>
        <v>152.79166666666666</v>
      </c>
      <c r="P17" s="20">
        <f t="shared" si="4"/>
        <v>152.79166666666666</v>
      </c>
      <c r="Q17" s="20">
        <f t="shared" si="4"/>
        <v>152.79166666666666</v>
      </c>
      <c r="R17" s="20">
        <f t="shared" si="4"/>
        <v>151.88888888888889</v>
      </c>
      <c r="S17" s="20">
        <f t="shared" si="4"/>
        <v>154.26666666666668</v>
      </c>
      <c r="T17" s="20">
        <f t="shared" si="4"/>
        <v>154.26666666666668</v>
      </c>
      <c r="U17" s="20">
        <f t="shared" si="4"/>
        <v>157</v>
      </c>
      <c r="V17" s="20">
        <f t="shared" si="4"/>
        <v>157</v>
      </c>
      <c r="W17" s="20">
        <f t="shared" si="4"/>
        <v>157</v>
      </c>
      <c r="X17" s="20">
        <f t="shared" si="4"/>
        <v>157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47</v>
      </c>
      <c r="D18" s="19">
        <f t="shared" si="5"/>
        <v>47</v>
      </c>
      <c r="E18" s="19">
        <f t="shared" si="5"/>
        <v>47</v>
      </c>
      <c r="F18" s="19">
        <f t="shared" si="5"/>
        <v>40</v>
      </c>
      <c r="G18" s="19">
        <f t="shared" si="5"/>
        <v>43</v>
      </c>
      <c r="H18" s="19">
        <f t="shared" si="5"/>
        <v>40</v>
      </c>
      <c r="I18" s="19">
        <f t="shared" si="5"/>
        <v>41</v>
      </c>
      <c r="J18" s="19">
        <f t="shared" si="5"/>
        <v>41</v>
      </c>
      <c r="K18" s="19">
        <f t="shared" si="5"/>
        <v>42</v>
      </c>
      <c r="L18" s="19">
        <f t="shared" si="5"/>
        <v>42</v>
      </c>
      <c r="M18" s="19">
        <f t="shared" si="5"/>
        <v>43</v>
      </c>
      <c r="N18" s="19">
        <f t="shared" si="5"/>
        <v>43</v>
      </c>
      <c r="O18" s="19">
        <f t="shared" si="5"/>
        <v>42</v>
      </c>
      <c r="P18" s="19">
        <f t="shared" si="5"/>
        <v>42</v>
      </c>
      <c r="Q18" s="19">
        <f t="shared" si="5"/>
        <v>42</v>
      </c>
      <c r="R18" s="19">
        <f t="shared" si="5"/>
        <v>43</v>
      </c>
      <c r="S18" s="19">
        <f t="shared" si="5"/>
        <v>41</v>
      </c>
      <c r="T18" s="19">
        <f t="shared" si="5"/>
        <v>41</v>
      </c>
      <c r="U18" s="19">
        <f t="shared" si="5"/>
        <v>39</v>
      </c>
      <c r="V18" s="19">
        <f t="shared" si="5"/>
        <v>39</v>
      </c>
      <c r="W18" s="19">
        <f t="shared" si="5"/>
        <v>39</v>
      </c>
      <c r="X18" s="19">
        <f t="shared" si="5"/>
        <v>39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3</v>
      </c>
      <c r="E19" s="19">
        <f t="shared" si="6"/>
        <v>3</v>
      </c>
      <c r="F19" s="19">
        <f t="shared" si="6"/>
        <v>6</v>
      </c>
      <c r="G19" s="19">
        <f t="shared" si="6"/>
        <v>9</v>
      </c>
      <c r="H19" s="19">
        <f t="shared" si="6"/>
        <v>12</v>
      </c>
      <c r="I19" s="19">
        <f t="shared" si="6"/>
        <v>15</v>
      </c>
      <c r="J19" s="19">
        <f t="shared" si="6"/>
        <v>15</v>
      </c>
      <c r="K19" s="19">
        <f t="shared" si="6"/>
        <v>18</v>
      </c>
      <c r="L19" s="19">
        <f t="shared" si="6"/>
        <v>18</v>
      </c>
      <c r="M19" s="19">
        <f t="shared" si="6"/>
        <v>21</v>
      </c>
      <c r="N19" s="19">
        <f t="shared" si="6"/>
        <v>21</v>
      </c>
      <c r="O19" s="19">
        <f t="shared" si="6"/>
        <v>24</v>
      </c>
      <c r="P19" s="19">
        <f t="shared" si="6"/>
        <v>24</v>
      </c>
      <c r="Q19" s="19">
        <f t="shared" si="6"/>
        <v>24</v>
      </c>
      <c r="R19" s="19">
        <f t="shared" si="6"/>
        <v>27</v>
      </c>
      <c r="S19" s="19">
        <f t="shared" si="6"/>
        <v>30</v>
      </c>
      <c r="T19" s="19">
        <f t="shared" si="6"/>
        <v>30</v>
      </c>
      <c r="U19" s="19">
        <f t="shared" si="6"/>
        <v>33</v>
      </c>
      <c r="V19" s="19">
        <f t="shared" si="6"/>
        <v>33</v>
      </c>
      <c r="W19" s="19">
        <f t="shared" si="6"/>
        <v>33</v>
      </c>
      <c r="X19" s="19">
        <f t="shared" si="6"/>
        <v>33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166</v>
      </c>
      <c r="D20" s="19">
        <f t="shared" si="7"/>
        <v>0</v>
      </c>
      <c r="E20" s="19">
        <f t="shared" si="7"/>
        <v>0</v>
      </c>
      <c r="F20" s="19">
        <f t="shared" si="7"/>
        <v>185</v>
      </c>
      <c r="G20" s="19">
        <f t="shared" si="7"/>
        <v>181</v>
      </c>
      <c r="H20" s="19">
        <f t="shared" si="7"/>
        <v>181</v>
      </c>
      <c r="I20" s="19">
        <f t="shared" si="7"/>
        <v>159</v>
      </c>
      <c r="J20" s="19">
        <f t="shared" si="7"/>
        <v>0</v>
      </c>
      <c r="K20" s="19">
        <f t="shared" si="7"/>
        <v>160</v>
      </c>
      <c r="L20" s="19">
        <f t="shared" si="7"/>
        <v>0</v>
      </c>
      <c r="M20" s="19">
        <f t="shared" si="7"/>
        <v>152</v>
      </c>
      <c r="N20" s="19">
        <f t="shared" si="7"/>
        <v>0</v>
      </c>
      <c r="O20" s="19">
        <f t="shared" si="7"/>
        <v>193</v>
      </c>
      <c r="P20" s="19">
        <f t="shared" si="7"/>
        <v>0</v>
      </c>
      <c r="Q20" s="19">
        <f t="shared" si="7"/>
        <v>0</v>
      </c>
      <c r="R20" s="19">
        <f t="shared" si="7"/>
        <v>168</v>
      </c>
      <c r="S20" s="19">
        <f t="shared" si="7"/>
        <v>188</v>
      </c>
      <c r="T20" s="19">
        <f t="shared" si="7"/>
        <v>0</v>
      </c>
      <c r="U20" s="19">
        <f t="shared" si="7"/>
        <v>210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202</v>
      </c>
      <c r="D21" s="19">
        <f>MAX(D$9:D$14)+$I$5</f>
        <v>36</v>
      </c>
      <c r="E21" s="19">
        <f>MAX(E$9:E$14)+$I$5</f>
        <v>36</v>
      </c>
      <c r="F21" s="19">
        <f>MAX(F$9:F$14)+$I$5</f>
        <v>221</v>
      </c>
      <c r="G21" s="19">
        <f t="shared" ref="G21:X21" si="8">MAX(G$9:G$14)+F18</f>
        <v>221</v>
      </c>
      <c r="H21" s="19">
        <f t="shared" si="8"/>
        <v>224</v>
      </c>
      <c r="I21" s="19">
        <f t="shared" si="8"/>
        <v>199</v>
      </c>
      <c r="J21" s="19">
        <f t="shared" si="8"/>
        <v>41</v>
      </c>
      <c r="K21" s="19">
        <f t="shared" si="8"/>
        <v>201</v>
      </c>
      <c r="L21" s="19">
        <f t="shared" si="8"/>
        <v>42</v>
      </c>
      <c r="M21" s="19">
        <f t="shared" si="8"/>
        <v>194</v>
      </c>
      <c r="N21" s="19">
        <f t="shared" si="8"/>
        <v>43</v>
      </c>
      <c r="O21" s="19">
        <f t="shared" si="8"/>
        <v>236</v>
      </c>
      <c r="P21" s="19">
        <f t="shared" si="8"/>
        <v>42</v>
      </c>
      <c r="Q21" s="19">
        <f t="shared" si="8"/>
        <v>42</v>
      </c>
      <c r="R21" s="19">
        <f t="shared" si="8"/>
        <v>210</v>
      </c>
      <c r="S21" s="19">
        <f t="shared" si="8"/>
        <v>231</v>
      </c>
      <c r="T21" s="19">
        <f t="shared" si="8"/>
        <v>41</v>
      </c>
      <c r="U21" s="19">
        <f t="shared" si="8"/>
        <v>251</v>
      </c>
      <c r="V21" s="19">
        <f t="shared" si="8"/>
        <v>39</v>
      </c>
      <c r="W21" s="19">
        <f t="shared" si="8"/>
        <v>39</v>
      </c>
      <c r="X21" s="19">
        <f t="shared" si="8"/>
        <v>39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445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487</v>
      </c>
      <c r="G22" s="19">
        <f t="shared" si="9"/>
        <v>439</v>
      </c>
      <c r="H22" s="19">
        <f t="shared" si="9"/>
        <v>496</v>
      </c>
      <c r="I22" s="19">
        <f t="shared" si="9"/>
        <v>452</v>
      </c>
      <c r="J22" s="19">
        <f t="shared" si="9"/>
        <v>0</v>
      </c>
      <c r="K22" s="19">
        <f t="shared" si="9"/>
        <v>450</v>
      </c>
      <c r="L22" s="19">
        <f t="shared" si="9"/>
        <v>0</v>
      </c>
      <c r="M22" s="19">
        <f t="shared" si="9"/>
        <v>423</v>
      </c>
      <c r="N22" s="19">
        <f t="shared" si="9"/>
        <v>0</v>
      </c>
      <c r="O22" s="19">
        <f t="shared" si="9"/>
        <v>475</v>
      </c>
      <c r="P22" s="19">
        <f t="shared" si="9"/>
        <v>0</v>
      </c>
      <c r="Q22" s="19">
        <f t="shared" si="9"/>
        <v>0</v>
      </c>
      <c r="R22" s="19">
        <f t="shared" si="9"/>
        <v>434</v>
      </c>
      <c r="S22" s="19">
        <f t="shared" si="9"/>
        <v>527</v>
      </c>
      <c r="T22" s="19">
        <f t="shared" si="9"/>
        <v>0</v>
      </c>
      <c r="U22" s="19">
        <f t="shared" si="9"/>
        <v>553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553</v>
      </c>
      <c r="D23" s="19">
        <f>MAX(SUM(D$9:D$11),SUM(D$12:D$14))+$I$5*3</f>
        <v>108</v>
      </c>
      <c r="E23" s="19">
        <f>MAX(SUM(E$9:E$11),SUM(E$12:E$14))+$I$5*3</f>
        <v>108</v>
      </c>
      <c r="F23" s="19">
        <f>MAX(SUM(F$9:F$11),SUM(F$12:F$14))+$I$5*3</f>
        <v>595</v>
      </c>
      <c r="G23" s="19">
        <f t="shared" ref="G23:X23" si="10">MAX(SUM(G$9:G$11),SUM(G$12:G$14))+F18*3</f>
        <v>559</v>
      </c>
      <c r="H23" s="19">
        <f t="shared" si="10"/>
        <v>625</v>
      </c>
      <c r="I23" s="19">
        <f t="shared" si="10"/>
        <v>572</v>
      </c>
      <c r="J23" s="19">
        <f t="shared" si="10"/>
        <v>123</v>
      </c>
      <c r="K23" s="19">
        <f t="shared" si="10"/>
        <v>573</v>
      </c>
      <c r="L23" s="19">
        <f t="shared" si="10"/>
        <v>126</v>
      </c>
      <c r="M23" s="19">
        <f t="shared" si="10"/>
        <v>549</v>
      </c>
      <c r="N23" s="19">
        <f t="shared" si="10"/>
        <v>129</v>
      </c>
      <c r="O23" s="19">
        <f t="shared" si="10"/>
        <v>604</v>
      </c>
      <c r="P23" s="19">
        <f t="shared" si="10"/>
        <v>126</v>
      </c>
      <c r="Q23" s="19">
        <f t="shared" si="10"/>
        <v>126</v>
      </c>
      <c r="R23" s="19">
        <f t="shared" si="10"/>
        <v>560</v>
      </c>
      <c r="S23" s="19">
        <f t="shared" si="10"/>
        <v>656</v>
      </c>
      <c r="T23" s="19">
        <f t="shared" si="10"/>
        <v>123</v>
      </c>
      <c r="U23" s="19">
        <f t="shared" si="10"/>
        <v>676</v>
      </c>
      <c r="V23" s="19">
        <f t="shared" si="10"/>
        <v>117</v>
      </c>
      <c r="W23" s="19">
        <f t="shared" si="10"/>
        <v>117</v>
      </c>
      <c r="X23" s="19">
        <f t="shared" si="10"/>
        <v>117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166</v>
      </c>
      <c r="D27" s="107">
        <f>MAX($C20:D20)</f>
        <v>166</v>
      </c>
      <c r="E27" s="107">
        <f>MAX($C20:E20)</f>
        <v>166</v>
      </c>
      <c r="F27" s="107">
        <f>MAX($C20:F20)</f>
        <v>185</v>
      </c>
      <c r="G27" s="107">
        <f>MAX($C20:G20)</f>
        <v>185</v>
      </c>
      <c r="H27" s="107">
        <f>MAX($C20:H20)</f>
        <v>185</v>
      </c>
      <c r="I27" s="107">
        <f>MAX($C20:I20)</f>
        <v>185</v>
      </c>
      <c r="J27" s="107">
        <f>MAX($C20:J20)</f>
        <v>185</v>
      </c>
      <c r="K27" s="107">
        <f>MAX($C20:K20)</f>
        <v>185</v>
      </c>
      <c r="L27" s="107">
        <f>MAX($C20:L20)</f>
        <v>185</v>
      </c>
      <c r="M27" s="107">
        <f>MAX($C20:M20)</f>
        <v>185</v>
      </c>
      <c r="N27" s="107">
        <f>MAX($C20:N20)</f>
        <v>185</v>
      </c>
      <c r="O27" s="107">
        <f>MAX($C20:O20)</f>
        <v>193</v>
      </c>
      <c r="P27" s="107">
        <f>MAX($C20:P20)</f>
        <v>193</v>
      </c>
      <c r="Q27" s="107">
        <f>MAX($C20:Q20)</f>
        <v>193</v>
      </c>
      <c r="R27" s="107">
        <f>MAX($C20:R20)</f>
        <v>193</v>
      </c>
      <c r="S27" s="107">
        <f>MAX($C20:S20)</f>
        <v>193</v>
      </c>
      <c r="T27" s="107">
        <f>MAX($C20:T20)</f>
        <v>193</v>
      </c>
      <c r="U27" s="107">
        <f>MAX($C20:U20)</f>
        <v>210</v>
      </c>
      <c r="V27" s="107">
        <f>MAX($C20:V20)</f>
        <v>210</v>
      </c>
      <c r="W27" s="107">
        <f>MAX($C20:W20)</f>
        <v>210</v>
      </c>
      <c r="X27" s="107">
        <f>MAX($C20:X20)</f>
        <v>210</v>
      </c>
    </row>
    <row r="28" spans="1:25" ht="13.15" x14ac:dyDescent="0.4">
      <c r="A28">
        <v>22</v>
      </c>
      <c r="B28" s="151" t="s">
        <v>78</v>
      </c>
      <c r="C28" s="19">
        <f>MAX(C21)</f>
        <v>202</v>
      </c>
      <c r="D28" s="107">
        <f>MAX($C21:D21)</f>
        <v>202</v>
      </c>
      <c r="E28" s="107">
        <f>MAX($C21:E21)</f>
        <v>202</v>
      </c>
      <c r="F28" s="107">
        <f>MAX($C21:F21)</f>
        <v>221</v>
      </c>
      <c r="G28" s="107">
        <f>MAX($C21:G21)</f>
        <v>221</v>
      </c>
      <c r="H28" s="107">
        <f>MAX($C21:H21)</f>
        <v>224</v>
      </c>
      <c r="I28" s="107">
        <f>MAX($C21:I21)</f>
        <v>224</v>
      </c>
      <c r="J28" s="107">
        <f>MAX($C21:J21)</f>
        <v>224</v>
      </c>
      <c r="K28" s="107">
        <f>MAX($C21:K21)</f>
        <v>224</v>
      </c>
      <c r="L28" s="107">
        <f>MAX($C21:L21)</f>
        <v>224</v>
      </c>
      <c r="M28" s="107">
        <f>MAX($C21:M21)</f>
        <v>224</v>
      </c>
      <c r="N28" s="107">
        <f>MAX($C21:N21)</f>
        <v>224</v>
      </c>
      <c r="O28" s="107">
        <f>MAX($C21:O21)</f>
        <v>236</v>
      </c>
      <c r="P28" s="107">
        <f>MAX($C21:P21)</f>
        <v>236</v>
      </c>
      <c r="Q28" s="107">
        <f>MAX($C21:Q21)</f>
        <v>236</v>
      </c>
      <c r="R28" s="107">
        <f>MAX($C21:R21)</f>
        <v>236</v>
      </c>
      <c r="S28" s="107">
        <f>MAX($C21:S21)</f>
        <v>236</v>
      </c>
      <c r="T28" s="107">
        <f>MAX($C21:T21)</f>
        <v>236</v>
      </c>
      <c r="U28" s="107">
        <f>MAX($C21:U21)</f>
        <v>251</v>
      </c>
      <c r="V28" s="107">
        <f>MAX($C21:V21)</f>
        <v>251</v>
      </c>
      <c r="W28" s="107">
        <f>MAX($C21:W21)</f>
        <v>251</v>
      </c>
      <c r="X28" s="107">
        <f>MAX($C21:X21)</f>
        <v>251</v>
      </c>
    </row>
    <row r="29" spans="1:25" ht="26.25" x14ac:dyDescent="0.4">
      <c r="A29">
        <v>23</v>
      </c>
      <c r="B29" s="151" t="s">
        <v>79</v>
      </c>
      <c r="C29" s="19">
        <f>MAX(C22)</f>
        <v>445</v>
      </c>
      <c r="D29" s="107">
        <f>MAX($C22:D22)</f>
        <v>445</v>
      </c>
      <c r="E29" s="107">
        <f>MAX($C22:E22)</f>
        <v>445</v>
      </c>
      <c r="F29" s="107">
        <f>MAX($C22:F22)</f>
        <v>487</v>
      </c>
      <c r="G29" s="107">
        <f>MAX($C22:G22)</f>
        <v>487</v>
      </c>
      <c r="H29" s="107">
        <f>MAX($C22:H22)</f>
        <v>496</v>
      </c>
      <c r="I29" s="107">
        <f>MAX($C22:I22)</f>
        <v>496</v>
      </c>
      <c r="J29" s="107">
        <f>MAX($C22:J22)</f>
        <v>496</v>
      </c>
      <c r="K29" s="107">
        <f>MAX($C22:K22)</f>
        <v>496</v>
      </c>
      <c r="L29" s="107">
        <f>MAX($C22:L22)</f>
        <v>496</v>
      </c>
      <c r="M29" s="107">
        <f>MAX($C22:M22)</f>
        <v>496</v>
      </c>
      <c r="N29" s="107">
        <f>MAX($C22:N22)</f>
        <v>496</v>
      </c>
      <c r="O29" s="107">
        <f>MAX($C22:O22)</f>
        <v>496</v>
      </c>
      <c r="P29" s="107">
        <f>MAX($C22:P22)</f>
        <v>496</v>
      </c>
      <c r="Q29" s="107">
        <f>MAX($C22:Q22)</f>
        <v>496</v>
      </c>
      <c r="R29" s="107">
        <f>MAX($C22:R22)</f>
        <v>496</v>
      </c>
      <c r="S29" s="107">
        <f>MAX($C22:S22)</f>
        <v>527</v>
      </c>
      <c r="T29" s="107">
        <f>MAX($C22:T22)</f>
        <v>527</v>
      </c>
      <c r="U29" s="107">
        <f>MAX($C22:U22)</f>
        <v>553</v>
      </c>
      <c r="V29" s="107">
        <f>MAX($C22:V22)</f>
        <v>553</v>
      </c>
      <c r="W29" s="107">
        <f>MAX($C22:W22)</f>
        <v>553</v>
      </c>
      <c r="X29" s="107">
        <f>MAX($C22:X22)</f>
        <v>553</v>
      </c>
    </row>
    <row r="30" spans="1:25" ht="13.15" x14ac:dyDescent="0.4">
      <c r="A30">
        <v>24</v>
      </c>
      <c r="B30" s="151" t="s">
        <v>80</v>
      </c>
      <c r="C30" s="19">
        <f>MAX(C23)</f>
        <v>553</v>
      </c>
      <c r="D30" s="107">
        <f>MAX($C23:D23)</f>
        <v>553</v>
      </c>
      <c r="E30" s="107">
        <f>MAX($C23:E23)</f>
        <v>553</v>
      </c>
      <c r="F30" s="107">
        <f>MAX($C23:F23)</f>
        <v>595</v>
      </c>
      <c r="G30" s="107">
        <f>MAX($C23:G23)</f>
        <v>595</v>
      </c>
      <c r="H30" s="107">
        <f>MAX($C23:H23)</f>
        <v>625</v>
      </c>
      <c r="I30" s="107">
        <f>MAX($C23:I23)</f>
        <v>625</v>
      </c>
      <c r="J30" s="107">
        <f>MAX($C23:J23)</f>
        <v>625</v>
      </c>
      <c r="K30" s="107">
        <f>MAX($C23:K23)</f>
        <v>625</v>
      </c>
      <c r="L30" s="107">
        <f>MAX($C23:L23)</f>
        <v>625</v>
      </c>
      <c r="M30" s="107">
        <f>MAX($C23:M23)</f>
        <v>625</v>
      </c>
      <c r="N30" s="107">
        <f>MAX($C23:N23)</f>
        <v>625</v>
      </c>
      <c r="O30" s="107">
        <f>MAX($C23:O23)</f>
        <v>625</v>
      </c>
      <c r="P30" s="107">
        <f>MAX($C23:P23)</f>
        <v>625</v>
      </c>
      <c r="Q30" s="107">
        <f>MAX($C23:Q23)</f>
        <v>625</v>
      </c>
      <c r="R30" s="107">
        <f>MAX($C23:R23)</f>
        <v>625</v>
      </c>
      <c r="S30" s="107">
        <f>MAX($C23:S23)</f>
        <v>656</v>
      </c>
      <c r="T30" s="107">
        <f>MAX($C23:T23)</f>
        <v>656</v>
      </c>
      <c r="U30" s="107">
        <f>MAX($C23:U23)</f>
        <v>676</v>
      </c>
      <c r="V30" s="107">
        <f>MAX($C23:V23)</f>
        <v>676</v>
      </c>
      <c r="W30" s="107">
        <f>MAX($C23:W23)</f>
        <v>676</v>
      </c>
      <c r="X30" s="107">
        <f>MAX($C23:X23)</f>
        <v>676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201"/>
    </row>
    <row r="2" spans="1:24" ht="13.15" x14ac:dyDescent="0.4">
      <c r="B2" s="1" t="s">
        <v>1</v>
      </c>
      <c r="F2" s="202" t="s">
        <v>26</v>
      </c>
      <c r="G2" s="203" t="s">
        <v>118</v>
      </c>
      <c r="H2" s="224">
        <v>1</v>
      </c>
      <c r="I2" s="204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69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62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97</v>
      </c>
      <c r="E9">
        <v>124</v>
      </c>
      <c r="F9">
        <v>141</v>
      </c>
      <c r="G9">
        <v>139</v>
      </c>
      <c r="I9">
        <v>90</v>
      </c>
      <c r="K9">
        <v>148</v>
      </c>
      <c r="L9">
        <v>119</v>
      </c>
      <c r="M9">
        <v>167</v>
      </c>
      <c r="O9">
        <v>136</v>
      </c>
      <c r="R9">
        <v>129</v>
      </c>
      <c r="S9">
        <v>111</v>
      </c>
      <c r="T9">
        <v>114</v>
      </c>
      <c r="V9">
        <v>114</v>
      </c>
    </row>
    <row r="10" spans="1:24" ht="13.15" x14ac:dyDescent="0.4">
      <c r="A10">
        <v>4</v>
      </c>
      <c r="B10" s="3" t="s">
        <v>15</v>
      </c>
      <c r="C10">
        <v>118</v>
      </c>
      <c r="E10">
        <v>108</v>
      </c>
      <c r="F10">
        <v>137</v>
      </c>
      <c r="G10">
        <v>97</v>
      </c>
      <c r="I10">
        <v>123</v>
      </c>
      <c r="K10">
        <v>151</v>
      </c>
      <c r="L10">
        <v>134</v>
      </c>
      <c r="M10">
        <v>165</v>
      </c>
      <c r="O10">
        <v>134</v>
      </c>
      <c r="R10">
        <v>96</v>
      </c>
      <c r="S10">
        <v>117</v>
      </c>
      <c r="T10">
        <v>134</v>
      </c>
      <c r="V10">
        <v>118</v>
      </c>
    </row>
    <row r="11" spans="1:24" ht="13.15" x14ac:dyDescent="0.4">
      <c r="A11">
        <v>5</v>
      </c>
      <c r="B11" s="3" t="s">
        <v>16</v>
      </c>
      <c r="C11">
        <v>124</v>
      </c>
      <c r="E11">
        <v>130</v>
      </c>
      <c r="F11">
        <v>106</v>
      </c>
      <c r="G11">
        <v>98</v>
      </c>
      <c r="I11">
        <v>103</v>
      </c>
      <c r="K11">
        <v>157</v>
      </c>
      <c r="L11">
        <v>101</v>
      </c>
      <c r="M11">
        <v>119</v>
      </c>
      <c r="O11">
        <v>106</v>
      </c>
      <c r="R11">
        <v>129</v>
      </c>
      <c r="S11">
        <v>99</v>
      </c>
      <c r="T11">
        <v>137</v>
      </c>
      <c r="V11">
        <v>158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339</v>
      </c>
      <c r="D15" s="18">
        <f t="shared" si="2"/>
        <v>0</v>
      </c>
      <c r="E15" s="18">
        <f t="shared" si="2"/>
        <v>362</v>
      </c>
      <c r="F15" s="18">
        <f t="shared" si="2"/>
        <v>384</v>
      </c>
      <c r="G15" s="18">
        <f t="shared" si="2"/>
        <v>334</v>
      </c>
      <c r="H15" s="18">
        <f t="shared" si="2"/>
        <v>0</v>
      </c>
      <c r="I15" s="18">
        <f t="shared" si="2"/>
        <v>316</v>
      </c>
      <c r="J15" s="18">
        <f t="shared" si="2"/>
        <v>0</v>
      </c>
      <c r="K15" s="18">
        <f t="shared" si="2"/>
        <v>456</v>
      </c>
      <c r="L15" s="18">
        <f t="shared" si="2"/>
        <v>354</v>
      </c>
      <c r="M15" s="18">
        <f t="shared" si="2"/>
        <v>451</v>
      </c>
      <c r="N15" s="18">
        <f t="shared" si="2"/>
        <v>0</v>
      </c>
      <c r="O15" s="18">
        <f t="shared" si="2"/>
        <v>376</v>
      </c>
      <c r="P15" s="18">
        <f t="shared" si="2"/>
        <v>0</v>
      </c>
      <c r="Q15" s="18">
        <f t="shared" si="2"/>
        <v>0</v>
      </c>
      <c r="R15" s="18">
        <f t="shared" si="2"/>
        <v>354</v>
      </c>
      <c r="S15" s="18">
        <f t="shared" si="2"/>
        <v>327</v>
      </c>
      <c r="T15" s="18">
        <f t="shared" si="2"/>
        <v>385</v>
      </c>
      <c r="U15" s="18">
        <f t="shared" si="2"/>
        <v>0</v>
      </c>
      <c r="V15" s="18">
        <f t="shared" si="2"/>
        <v>390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339</v>
      </c>
      <c r="D16" s="19">
        <f t="shared" ref="D16:X16" si="3">+D15+C16</f>
        <v>339</v>
      </c>
      <c r="E16" s="19">
        <f t="shared" si="3"/>
        <v>701</v>
      </c>
      <c r="F16" s="19">
        <f t="shared" si="3"/>
        <v>1085</v>
      </c>
      <c r="G16" s="19">
        <f t="shared" si="3"/>
        <v>1419</v>
      </c>
      <c r="H16" s="19">
        <f t="shared" si="3"/>
        <v>1419</v>
      </c>
      <c r="I16" s="19">
        <f t="shared" si="3"/>
        <v>1735</v>
      </c>
      <c r="J16" s="19">
        <f t="shared" si="3"/>
        <v>1735</v>
      </c>
      <c r="K16" s="19">
        <f t="shared" si="3"/>
        <v>2191</v>
      </c>
      <c r="L16" s="19">
        <f t="shared" si="3"/>
        <v>2545</v>
      </c>
      <c r="M16" s="19">
        <f t="shared" si="3"/>
        <v>2996</v>
      </c>
      <c r="N16" s="19">
        <f t="shared" si="3"/>
        <v>2996</v>
      </c>
      <c r="O16" s="19">
        <f t="shared" si="3"/>
        <v>3372</v>
      </c>
      <c r="P16" s="19">
        <f t="shared" si="3"/>
        <v>3372</v>
      </c>
      <c r="Q16" s="19">
        <f t="shared" si="3"/>
        <v>3372</v>
      </c>
      <c r="R16" s="19">
        <f t="shared" si="3"/>
        <v>3726</v>
      </c>
      <c r="S16" s="19">
        <f t="shared" si="3"/>
        <v>4053</v>
      </c>
      <c r="T16" s="19">
        <f t="shared" si="3"/>
        <v>4438</v>
      </c>
      <c r="U16" s="19">
        <f t="shared" si="3"/>
        <v>4438</v>
      </c>
      <c r="V16" s="19">
        <f t="shared" si="3"/>
        <v>4828</v>
      </c>
      <c r="W16" s="19">
        <f t="shared" si="3"/>
        <v>4828</v>
      </c>
      <c r="X16" s="19">
        <f t="shared" si="3"/>
        <v>4828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113</v>
      </c>
      <c r="D17" s="20">
        <f t="shared" si="4"/>
        <v>113</v>
      </c>
      <c r="E17" s="20">
        <f t="shared" si="4"/>
        <v>116.83333333333333</v>
      </c>
      <c r="F17" s="20">
        <f t="shared" si="4"/>
        <v>120.55555555555556</v>
      </c>
      <c r="G17" s="20">
        <f t="shared" si="4"/>
        <v>118.25</v>
      </c>
      <c r="H17" s="20">
        <f t="shared" si="4"/>
        <v>118.25</v>
      </c>
      <c r="I17" s="20">
        <f t="shared" si="4"/>
        <v>115.66666666666667</v>
      </c>
      <c r="J17" s="20">
        <f t="shared" si="4"/>
        <v>115.66666666666667</v>
      </c>
      <c r="K17" s="20">
        <f t="shared" si="4"/>
        <v>121.72222222222223</v>
      </c>
      <c r="L17" s="20">
        <f t="shared" si="4"/>
        <v>121.19047619047619</v>
      </c>
      <c r="M17" s="20">
        <f t="shared" si="4"/>
        <v>124.83333333333333</v>
      </c>
      <c r="N17" s="20">
        <f t="shared" si="4"/>
        <v>124.83333333333333</v>
      </c>
      <c r="O17" s="20">
        <f t="shared" si="4"/>
        <v>124.88888888888889</v>
      </c>
      <c r="P17" s="20">
        <f t="shared" si="4"/>
        <v>124.88888888888889</v>
      </c>
      <c r="Q17" s="20">
        <f t="shared" si="4"/>
        <v>124.88888888888889</v>
      </c>
      <c r="R17" s="20">
        <f t="shared" si="4"/>
        <v>124.2</v>
      </c>
      <c r="S17" s="20">
        <f t="shared" si="4"/>
        <v>122.81818181818181</v>
      </c>
      <c r="T17" s="20">
        <f t="shared" si="4"/>
        <v>123.27777777777777</v>
      </c>
      <c r="U17" s="20">
        <f t="shared" si="4"/>
        <v>123.27777777777777</v>
      </c>
      <c r="V17" s="20">
        <f t="shared" si="4"/>
        <v>123.7948717948718</v>
      </c>
      <c r="W17" s="20">
        <f t="shared" si="4"/>
        <v>123.7948717948718</v>
      </c>
      <c r="X17" s="20">
        <f t="shared" si="4"/>
        <v>123.7948717948718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78</v>
      </c>
      <c r="D18" s="19">
        <f t="shared" si="5"/>
        <v>78</v>
      </c>
      <c r="E18" s="19">
        <f t="shared" si="5"/>
        <v>75</v>
      </c>
      <c r="F18" s="19">
        <f t="shared" si="5"/>
        <v>72</v>
      </c>
      <c r="G18" s="19">
        <f t="shared" si="5"/>
        <v>74</v>
      </c>
      <c r="H18" s="19">
        <f t="shared" si="5"/>
        <v>74</v>
      </c>
      <c r="I18" s="19">
        <f t="shared" si="5"/>
        <v>76</v>
      </c>
      <c r="J18" s="19">
        <f t="shared" si="5"/>
        <v>76</v>
      </c>
      <c r="K18" s="19">
        <f t="shared" si="5"/>
        <v>70</v>
      </c>
      <c r="L18" s="19">
        <f t="shared" si="5"/>
        <v>71</v>
      </c>
      <c r="M18" s="19">
        <f t="shared" si="5"/>
        <v>68</v>
      </c>
      <c r="N18" s="19">
        <f t="shared" si="5"/>
        <v>68</v>
      </c>
      <c r="O18" s="19">
        <f t="shared" si="5"/>
        <v>68</v>
      </c>
      <c r="P18" s="19">
        <f t="shared" si="5"/>
        <v>68</v>
      </c>
      <c r="Q18" s="19">
        <f t="shared" si="5"/>
        <v>68</v>
      </c>
      <c r="R18" s="19">
        <f t="shared" si="5"/>
        <v>68</v>
      </c>
      <c r="S18" s="19">
        <f t="shared" si="5"/>
        <v>69</v>
      </c>
      <c r="T18" s="19">
        <f t="shared" si="5"/>
        <v>69</v>
      </c>
      <c r="U18" s="19">
        <f t="shared" si="5"/>
        <v>69</v>
      </c>
      <c r="V18" s="19">
        <f t="shared" si="5"/>
        <v>69</v>
      </c>
      <c r="W18" s="19">
        <f t="shared" si="5"/>
        <v>69</v>
      </c>
      <c r="X18" s="19">
        <f t="shared" si="5"/>
        <v>69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9</v>
      </c>
      <c r="G19" s="19">
        <f t="shared" si="6"/>
        <v>12</v>
      </c>
      <c r="H19" s="19">
        <f t="shared" si="6"/>
        <v>12</v>
      </c>
      <c r="I19" s="19">
        <f t="shared" si="6"/>
        <v>15</v>
      </c>
      <c r="J19" s="19">
        <f t="shared" si="6"/>
        <v>15</v>
      </c>
      <c r="K19" s="19">
        <f t="shared" si="6"/>
        <v>18</v>
      </c>
      <c r="L19" s="19">
        <f t="shared" si="6"/>
        <v>21</v>
      </c>
      <c r="M19" s="19">
        <f t="shared" si="6"/>
        <v>24</v>
      </c>
      <c r="N19" s="19">
        <f t="shared" si="6"/>
        <v>24</v>
      </c>
      <c r="O19" s="19">
        <f t="shared" si="6"/>
        <v>27</v>
      </c>
      <c r="P19" s="19">
        <f t="shared" si="6"/>
        <v>27</v>
      </c>
      <c r="Q19" s="19">
        <f t="shared" si="6"/>
        <v>27</v>
      </c>
      <c r="R19" s="19">
        <f t="shared" si="6"/>
        <v>30</v>
      </c>
      <c r="S19" s="19">
        <f t="shared" si="6"/>
        <v>33</v>
      </c>
      <c r="T19" s="19">
        <f t="shared" si="6"/>
        <v>36</v>
      </c>
      <c r="U19" s="19">
        <f t="shared" si="6"/>
        <v>36</v>
      </c>
      <c r="V19" s="19">
        <f t="shared" si="6"/>
        <v>39</v>
      </c>
      <c r="W19" s="19">
        <f t="shared" si="6"/>
        <v>39</v>
      </c>
      <c r="X19" s="19">
        <f t="shared" si="6"/>
        <v>39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124</v>
      </c>
      <c r="D20" s="19">
        <f t="shared" si="7"/>
        <v>0</v>
      </c>
      <c r="E20" s="19">
        <f t="shared" si="7"/>
        <v>130</v>
      </c>
      <c r="F20" s="19">
        <f t="shared" si="7"/>
        <v>141</v>
      </c>
      <c r="G20" s="19">
        <f t="shared" si="7"/>
        <v>139</v>
      </c>
      <c r="H20" s="19">
        <f t="shared" si="7"/>
        <v>0</v>
      </c>
      <c r="I20" s="19">
        <f t="shared" si="7"/>
        <v>123</v>
      </c>
      <c r="J20" s="19">
        <f t="shared" si="7"/>
        <v>0</v>
      </c>
      <c r="K20" s="19">
        <f t="shared" si="7"/>
        <v>157</v>
      </c>
      <c r="L20" s="19">
        <f t="shared" si="7"/>
        <v>134</v>
      </c>
      <c r="M20" s="19">
        <f t="shared" si="7"/>
        <v>167</v>
      </c>
      <c r="N20" s="19">
        <f t="shared" si="7"/>
        <v>0</v>
      </c>
      <c r="O20" s="19">
        <f t="shared" si="7"/>
        <v>136</v>
      </c>
      <c r="P20" s="19">
        <f t="shared" si="7"/>
        <v>0</v>
      </c>
      <c r="Q20" s="19">
        <f t="shared" si="7"/>
        <v>0</v>
      </c>
      <c r="R20" s="19">
        <f t="shared" si="7"/>
        <v>129</v>
      </c>
      <c r="S20" s="19">
        <f t="shared" si="7"/>
        <v>117</v>
      </c>
      <c r="T20" s="19">
        <f t="shared" si="7"/>
        <v>137</v>
      </c>
      <c r="U20" s="19">
        <f t="shared" si="7"/>
        <v>0</v>
      </c>
      <c r="V20" s="19">
        <f t="shared" si="7"/>
        <v>158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186</v>
      </c>
      <c r="D21" s="19">
        <f>MAX(D$9:D$14)+$I$5</f>
        <v>62</v>
      </c>
      <c r="E21" s="19">
        <f>MAX(E$9:E$14)+$I$5</f>
        <v>192</v>
      </c>
      <c r="F21" s="19">
        <f t="shared" ref="F21:X21" si="8">MAX(F$9:F$14)+E18</f>
        <v>216</v>
      </c>
      <c r="G21" s="19">
        <f t="shared" si="8"/>
        <v>211</v>
      </c>
      <c r="H21" s="19">
        <f t="shared" si="8"/>
        <v>74</v>
      </c>
      <c r="I21" s="19">
        <f t="shared" si="8"/>
        <v>197</v>
      </c>
      <c r="J21" s="19">
        <f t="shared" si="8"/>
        <v>76</v>
      </c>
      <c r="K21" s="19">
        <f t="shared" si="8"/>
        <v>233</v>
      </c>
      <c r="L21" s="19">
        <f t="shared" si="8"/>
        <v>204</v>
      </c>
      <c r="M21" s="19">
        <f t="shared" si="8"/>
        <v>238</v>
      </c>
      <c r="N21" s="19">
        <f t="shared" si="8"/>
        <v>68</v>
      </c>
      <c r="O21" s="19">
        <f t="shared" si="8"/>
        <v>204</v>
      </c>
      <c r="P21" s="19">
        <f t="shared" si="8"/>
        <v>68</v>
      </c>
      <c r="Q21" s="19">
        <f t="shared" si="8"/>
        <v>68</v>
      </c>
      <c r="R21" s="19">
        <f t="shared" si="8"/>
        <v>197</v>
      </c>
      <c r="S21" s="19">
        <f t="shared" si="8"/>
        <v>185</v>
      </c>
      <c r="T21" s="19">
        <f t="shared" si="8"/>
        <v>206</v>
      </c>
      <c r="U21" s="19">
        <f t="shared" si="8"/>
        <v>69</v>
      </c>
      <c r="V21" s="19">
        <f t="shared" si="8"/>
        <v>227</v>
      </c>
      <c r="W21" s="19">
        <f t="shared" si="8"/>
        <v>69</v>
      </c>
      <c r="X21" s="19">
        <f t="shared" si="8"/>
        <v>69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339</v>
      </c>
      <c r="D22" s="19">
        <f t="shared" ref="D22:X22" si="9">MAX(SUM(D$9:D$11),SUM(D$12:D$14))</f>
        <v>0</v>
      </c>
      <c r="E22" s="19">
        <f t="shared" si="9"/>
        <v>362</v>
      </c>
      <c r="F22" s="19">
        <f t="shared" si="9"/>
        <v>384</v>
      </c>
      <c r="G22" s="19">
        <f t="shared" si="9"/>
        <v>334</v>
      </c>
      <c r="H22" s="19">
        <f t="shared" si="9"/>
        <v>0</v>
      </c>
      <c r="I22" s="19">
        <f t="shared" si="9"/>
        <v>316</v>
      </c>
      <c r="J22" s="19">
        <f t="shared" si="9"/>
        <v>0</v>
      </c>
      <c r="K22" s="19">
        <f t="shared" si="9"/>
        <v>456</v>
      </c>
      <c r="L22" s="19">
        <f t="shared" si="9"/>
        <v>354</v>
      </c>
      <c r="M22" s="19">
        <f t="shared" si="9"/>
        <v>451</v>
      </c>
      <c r="N22" s="19">
        <f t="shared" si="9"/>
        <v>0</v>
      </c>
      <c r="O22" s="19">
        <f t="shared" si="9"/>
        <v>376</v>
      </c>
      <c r="P22" s="19">
        <f t="shared" si="9"/>
        <v>0</v>
      </c>
      <c r="Q22" s="19">
        <f t="shared" si="9"/>
        <v>0</v>
      </c>
      <c r="R22" s="19">
        <f t="shared" si="9"/>
        <v>354</v>
      </c>
      <c r="S22" s="19">
        <f t="shared" si="9"/>
        <v>327</v>
      </c>
      <c r="T22" s="19">
        <f t="shared" si="9"/>
        <v>385</v>
      </c>
      <c r="U22" s="19">
        <f t="shared" si="9"/>
        <v>0</v>
      </c>
      <c r="V22" s="19">
        <f t="shared" si="9"/>
        <v>390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525</v>
      </c>
      <c r="D23" s="19">
        <f>MAX(SUM(D$9:D$11),SUM(D$12:D$14))+$I$5*3</f>
        <v>186</v>
      </c>
      <c r="E23" s="19">
        <f>MAX(SUM(E$9:E$11),SUM(E$12:E$14))+$I$5*3</f>
        <v>548</v>
      </c>
      <c r="F23" s="19">
        <f t="shared" ref="F23:X23" si="10">MAX(SUM(F$9:F$11),SUM(F$12:F$14))+E18*3</f>
        <v>609</v>
      </c>
      <c r="G23" s="19">
        <f t="shared" si="10"/>
        <v>550</v>
      </c>
      <c r="H23" s="19">
        <f t="shared" si="10"/>
        <v>222</v>
      </c>
      <c r="I23" s="19">
        <f t="shared" si="10"/>
        <v>538</v>
      </c>
      <c r="J23" s="19">
        <f t="shared" si="10"/>
        <v>228</v>
      </c>
      <c r="K23" s="19">
        <f t="shared" si="10"/>
        <v>684</v>
      </c>
      <c r="L23" s="19">
        <f t="shared" si="10"/>
        <v>564</v>
      </c>
      <c r="M23" s="19">
        <f t="shared" si="10"/>
        <v>664</v>
      </c>
      <c r="N23" s="19">
        <f t="shared" si="10"/>
        <v>204</v>
      </c>
      <c r="O23" s="19">
        <f t="shared" si="10"/>
        <v>580</v>
      </c>
      <c r="P23" s="19">
        <f t="shared" si="10"/>
        <v>204</v>
      </c>
      <c r="Q23" s="19">
        <f t="shared" si="10"/>
        <v>204</v>
      </c>
      <c r="R23" s="19">
        <f t="shared" si="10"/>
        <v>558</v>
      </c>
      <c r="S23" s="19">
        <f t="shared" si="10"/>
        <v>531</v>
      </c>
      <c r="T23" s="19">
        <f t="shared" si="10"/>
        <v>592</v>
      </c>
      <c r="U23" s="19">
        <f t="shared" si="10"/>
        <v>207</v>
      </c>
      <c r="V23" s="19">
        <f t="shared" si="10"/>
        <v>597</v>
      </c>
      <c r="W23" s="19">
        <f t="shared" si="10"/>
        <v>207</v>
      </c>
      <c r="X23" s="19">
        <f t="shared" si="10"/>
        <v>207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124</v>
      </c>
      <c r="D27" s="107">
        <f>MAX($C20:D20)</f>
        <v>124</v>
      </c>
      <c r="E27" s="107">
        <f>MAX($C20:E20)</f>
        <v>130</v>
      </c>
      <c r="F27" s="107">
        <f>MAX($C20:F20)</f>
        <v>141</v>
      </c>
      <c r="G27" s="107">
        <f>MAX($C20:G20)</f>
        <v>141</v>
      </c>
      <c r="H27" s="107">
        <f>MAX($C20:H20)</f>
        <v>141</v>
      </c>
      <c r="I27" s="107">
        <f>MAX($C20:I20)</f>
        <v>141</v>
      </c>
      <c r="J27" s="107">
        <f>MAX($C20:J20)</f>
        <v>141</v>
      </c>
      <c r="K27" s="107">
        <f>MAX($C20:K20)</f>
        <v>157</v>
      </c>
      <c r="L27" s="107">
        <f>MAX($C20:L20)</f>
        <v>157</v>
      </c>
      <c r="M27" s="107">
        <f>MAX($C20:M20)</f>
        <v>167</v>
      </c>
      <c r="N27" s="107">
        <f>MAX($C20:N20)</f>
        <v>167</v>
      </c>
      <c r="O27" s="107">
        <f>MAX($C20:O20)</f>
        <v>167</v>
      </c>
      <c r="P27" s="107">
        <f>MAX($C20:P20)</f>
        <v>167</v>
      </c>
      <c r="Q27" s="107">
        <f>MAX($C20:Q20)</f>
        <v>167</v>
      </c>
      <c r="R27" s="107">
        <f>MAX($C20:R20)</f>
        <v>167</v>
      </c>
      <c r="S27" s="107">
        <f>MAX($C20:S20)</f>
        <v>167</v>
      </c>
      <c r="T27" s="107">
        <f>MAX($C20:T20)</f>
        <v>167</v>
      </c>
      <c r="U27" s="107">
        <f>MAX($C20:U20)</f>
        <v>167</v>
      </c>
      <c r="V27" s="107">
        <f>MAX($C20:V20)</f>
        <v>167</v>
      </c>
      <c r="W27" s="107">
        <f>MAX($C20:W20)</f>
        <v>167</v>
      </c>
      <c r="X27" s="107">
        <f>MAX($C20:X20)</f>
        <v>167</v>
      </c>
    </row>
    <row r="28" spans="1:25" ht="13.15" x14ac:dyDescent="0.4">
      <c r="A28">
        <v>22</v>
      </c>
      <c r="B28" s="151" t="s">
        <v>78</v>
      </c>
      <c r="C28" s="19">
        <f>MAX(C21)</f>
        <v>186</v>
      </c>
      <c r="D28" s="107">
        <f>MAX($C21:D21)</f>
        <v>186</v>
      </c>
      <c r="E28" s="107">
        <f>MAX($C21:E21)</f>
        <v>192</v>
      </c>
      <c r="F28" s="107">
        <f>MAX($C21:F21)</f>
        <v>216</v>
      </c>
      <c r="G28" s="107">
        <f>MAX($C21:G21)</f>
        <v>216</v>
      </c>
      <c r="H28" s="107">
        <f>MAX($C21:H21)</f>
        <v>216</v>
      </c>
      <c r="I28" s="107">
        <f>MAX($C21:I21)</f>
        <v>216</v>
      </c>
      <c r="J28" s="107">
        <f>MAX($C21:J21)</f>
        <v>216</v>
      </c>
      <c r="K28" s="107">
        <f>MAX($C21:K21)</f>
        <v>233</v>
      </c>
      <c r="L28" s="107">
        <f>MAX($C21:L21)</f>
        <v>233</v>
      </c>
      <c r="M28" s="107">
        <f>MAX($C21:M21)</f>
        <v>238</v>
      </c>
      <c r="N28" s="107">
        <f>MAX($C21:N21)</f>
        <v>238</v>
      </c>
      <c r="O28" s="107">
        <f>MAX($C21:O21)</f>
        <v>238</v>
      </c>
      <c r="P28" s="107">
        <f>MAX($C21:P21)</f>
        <v>238</v>
      </c>
      <c r="Q28" s="107">
        <f>MAX($C21:Q21)</f>
        <v>238</v>
      </c>
      <c r="R28" s="107">
        <f>MAX($C21:R21)</f>
        <v>238</v>
      </c>
      <c r="S28" s="107">
        <f>MAX($C21:S21)</f>
        <v>238</v>
      </c>
      <c r="T28" s="107">
        <f>MAX($C21:T21)</f>
        <v>238</v>
      </c>
      <c r="U28" s="107">
        <f>MAX($C21:U21)</f>
        <v>238</v>
      </c>
      <c r="V28" s="107">
        <f>MAX($C21:V21)</f>
        <v>238</v>
      </c>
      <c r="W28" s="107">
        <f>MAX($C21:W21)</f>
        <v>238</v>
      </c>
      <c r="X28" s="107">
        <f>MAX($C21:X21)</f>
        <v>238</v>
      </c>
    </row>
    <row r="29" spans="1:25" ht="26.25" x14ac:dyDescent="0.4">
      <c r="A29">
        <v>23</v>
      </c>
      <c r="B29" s="151" t="s">
        <v>79</v>
      </c>
      <c r="C29" s="19">
        <f>MAX(C22)</f>
        <v>339</v>
      </c>
      <c r="D29" s="107">
        <f>MAX($C22:D22)</f>
        <v>339</v>
      </c>
      <c r="E29" s="107">
        <f>MAX($C22:E22)</f>
        <v>362</v>
      </c>
      <c r="F29" s="107">
        <f>MAX($C22:F22)</f>
        <v>384</v>
      </c>
      <c r="G29" s="107">
        <f>MAX($C22:G22)</f>
        <v>384</v>
      </c>
      <c r="H29" s="107">
        <f>MAX($C22:H22)</f>
        <v>384</v>
      </c>
      <c r="I29" s="107">
        <f>MAX($C22:I22)</f>
        <v>384</v>
      </c>
      <c r="J29" s="107">
        <f>MAX($C22:J22)</f>
        <v>384</v>
      </c>
      <c r="K29" s="107">
        <f>MAX($C22:K22)</f>
        <v>456</v>
      </c>
      <c r="L29" s="107">
        <f>MAX($C22:L22)</f>
        <v>456</v>
      </c>
      <c r="M29" s="107">
        <f>MAX($C22:M22)</f>
        <v>456</v>
      </c>
      <c r="N29" s="107">
        <f>MAX($C22:N22)</f>
        <v>456</v>
      </c>
      <c r="O29" s="107">
        <f>MAX($C22:O22)</f>
        <v>456</v>
      </c>
      <c r="P29" s="107">
        <f>MAX($C22:P22)</f>
        <v>456</v>
      </c>
      <c r="Q29" s="107">
        <f>MAX($C22:Q22)</f>
        <v>456</v>
      </c>
      <c r="R29" s="107">
        <f>MAX($C22:R22)</f>
        <v>456</v>
      </c>
      <c r="S29" s="107">
        <f>MAX($C22:S22)</f>
        <v>456</v>
      </c>
      <c r="T29" s="107">
        <f>MAX($C22:T22)</f>
        <v>456</v>
      </c>
      <c r="U29" s="107">
        <f>MAX($C22:U22)</f>
        <v>456</v>
      </c>
      <c r="V29" s="107">
        <f>MAX($C22:V22)</f>
        <v>456</v>
      </c>
      <c r="W29" s="107">
        <f>MAX($C22:W22)</f>
        <v>456</v>
      </c>
      <c r="X29" s="107">
        <f>MAX($C22:X22)</f>
        <v>456</v>
      </c>
    </row>
    <row r="30" spans="1:25" ht="13.15" x14ac:dyDescent="0.4">
      <c r="A30">
        <v>24</v>
      </c>
      <c r="B30" s="151" t="s">
        <v>80</v>
      </c>
      <c r="C30" s="19">
        <f>MAX(C23)</f>
        <v>525</v>
      </c>
      <c r="D30" s="107">
        <f>MAX($C23:D23)</f>
        <v>525</v>
      </c>
      <c r="E30" s="107">
        <f>MAX($C23:E23)</f>
        <v>548</v>
      </c>
      <c r="F30" s="107">
        <f>MAX($C23:F23)</f>
        <v>609</v>
      </c>
      <c r="G30" s="107">
        <f>MAX($C23:G23)</f>
        <v>609</v>
      </c>
      <c r="H30" s="107">
        <f>MAX($C23:H23)</f>
        <v>609</v>
      </c>
      <c r="I30" s="107">
        <f>MAX($C23:I23)</f>
        <v>609</v>
      </c>
      <c r="J30" s="107">
        <f>MAX($C23:J23)</f>
        <v>609</v>
      </c>
      <c r="K30" s="107">
        <f>MAX($C23:K23)</f>
        <v>684</v>
      </c>
      <c r="L30" s="107">
        <f>MAX($C23:L23)</f>
        <v>684</v>
      </c>
      <c r="M30" s="107">
        <f>MAX($C23:M23)</f>
        <v>684</v>
      </c>
      <c r="N30" s="107">
        <f>MAX($C23:N23)</f>
        <v>684</v>
      </c>
      <c r="O30" s="107">
        <f>MAX($C23:O23)</f>
        <v>684</v>
      </c>
      <c r="P30" s="107">
        <f>MAX($C23:P23)</f>
        <v>684</v>
      </c>
      <c r="Q30" s="107">
        <f>MAX($C23:Q23)</f>
        <v>684</v>
      </c>
      <c r="R30" s="107">
        <f>MAX($C23:R23)</f>
        <v>684</v>
      </c>
      <c r="S30" s="107">
        <f>MAX($C23:S23)</f>
        <v>684</v>
      </c>
      <c r="T30" s="107">
        <f>MAX($C23:T23)</f>
        <v>684</v>
      </c>
      <c r="U30" s="107">
        <f>MAX($C23:U23)</f>
        <v>684</v>
      </c>
      <c r="V30" s="107">
        <f>MAX($C23:V23)</f>
        <v>684</v>
      </c>
      <c r="W30" s="107">
        <f>MAX($C23:W23)</f>
        <v>684</v>
      </c>
      <c r="X30" s="107">
        <f>MAX($C23:X23)</f>
        <v>684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216</v>
      </c>
      <c r="G2" s="240" t="s">
        <v>217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44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43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118</v>
      </c>
      <c r="E9">
        <v>130</v>
      </c>
      <c r="F9">
        <v>186</v>
      </c>
      <c r="G9">
        <v>164</v>
      </c>
      <c r="H9">
        <v>170</v>
      </c>
      <c r="I9">
        <v>155</v>
      </c>
      <c r="J9">
        <v>129</v>
      </c>
      <c r="K9">
        <v>129</v>
      </c>
      <c r="N9">
        <v>143</v>
      </c>
      <c r="Q9">
        <v>137</v>
      </c>
      <c r="S9">
        <v>155</v>
      </c>
    </row>
    <row r="10" spans="1:24" ht="13.15" x14ac:dyDescent="0.4">
      <c r="A10">
        <v>4</v>
      </c>
      <c r="B10" s="3" t="s">
        <v>15</v>
      </c>
      <c r="C10">
        <v>165</v>
      </c>
      <c r="E10">
        <v>137</v>
      </c>
      <c r="F10">
        <v>161</v>
      </c>
      <c r="G10">
        <v>147</v>
      </c>
      <c r="H10">
        <v>151</v>
      </c>
      <c r="I10">
        <v>147</v>
      </c>
      <c r="J10">
        <v>163</v>
      </c>
      <c r="K10">
        <v>205</v>
      </c>
      <c r="N10">
        <v>153</v>
      </c>
      <c r="Q10">
        <v>127</v>
      </c>
      <c r="S10">
        <v>141</v>
      </c>
    </row>
    <row r="11" spans="1:24" ht="13.15" x14ac:dyDescent="0.4">
      <c r="A11">
        <v>5</v>
      </c>
      <c r="B11" s="3" t="s">
        <v>16</v>
      </c>
      <c r="C11">
        <v>118</v>
      </c>
      <c r="E11">
        <v>164</v>
      </c>
      <c r="F11">
        <v>175</v>
      </c>
      <c r="I11">
        <v>130</v>
      </c>
      <c r="J11">
        <v>139</v>
      </c>
      <c r="K11">
        <v>164</v>
      </c>
      <c r="N11">
        <v>138</v>
      </c>
      <c r="Q11">
        <v>203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401</v>
      </c>
      <c r="D15" s="18">
        <f t="shared" si="2"/>
        <v>0</v>
      </c>
      <c r="E15" s="18">
        <f t="shared" si="2"/>
        <v>431</v>
      </c>
      <c r="F15" s="18">
        <f t="shared" si="2"/>
        <v>522</v>
      </c>
      <c r="G15" s="18">
        <f t="shared" si="2"/>
        <v>311</v>
      </c>
      <c r="H15" s="18">
        <f t="shared" si="2"/>
        <v>321</v>
      </c>
      <c r="I15" s="18">
        <f t="shared" si="2"/>
        <v>432</v>
      </c>
      <c r="J15" s="18">
        <f t="shared" si="2"/>
        <v>431</v>
      </c>
      <c r="K15" s="18">
        <f t="shared" si="2"/>
        <v>498</v>
      </c>
      <c r="L15" s="18">
        <f t="shared" si="2"/>
        <v>0</v>
      </c>
      <c r="M15" s="18">
        <f t="shared" si="2"/>
        <v>0</v>
      </c>
      <c r="N15" s="18">
        <f t="shared" si="2"/>
        <v>434</v>
      </c>
      <c r="O15" s="18">
        <f t="shared" si="2"/>
        <v>0</v>
      </c>
      <c r="P15" s="18">
        <f t="shared" si="2"/>
        <v>0</v>
      </c>
      <c r="Q15" s="18">
        <f t="shared" si="2"/>
        <v>467</v>
      </c>
      <c r="R15" s="18">
        <f t="shared" si="2"/>
        <v>0</v>
      </c>
      <c r="S15" s="18">
        <f t="shared" si="2"/>
        <v>296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401</v>
      </c>
      <c r="D16" s="19">
        <f t="shared" ref="D16:X16" si="3">+D15+C16</f>
        <v>401</v>
      </c>
      <c r="E16" s="19">
        <f t="shared" si="3"/>
        <v>832</v>
      </c>
      <c r="F16" s="19">
        <f t="shared" si="3"/>
        <v>1354</v>
      </c>
      <c r="G16" s="19">
        <f t="shared" si="3"/>
        <v>1665</v>
      </c>
      <c r="H16" s="19">
        <f t="shared" si="3"/>
        <v>1986</v>
      </c>
      <c r="I16" s="19">
        <f t="shared" si="3"/>
        <v>2418</v>
      </c>
      <c r="J16" s="19">
        <f t="shared" si="3"/>
        <v>2849</v>
      </c>
      <c r="K16" s="19">
        <f t="shared" si="3"/>
        <v>3347</v>
      </c>
      <c r="L16" s="19">
        <f t="shared" si="3"/>
        <v>3347</v>
      </c>
      <c r="M16" s="19">
        <f t="shared" si="3"/>
        <v>3347</v>
      </c>
      <c r="N16" s="19">
        <f t="shared" si="3"/>
        <v>3781</v>
      </c>
      <c r="O16" s="19">
        <f t="shared" si="3"/>
        <v>3781</v>
      </c>
      <c r="P16" s="19">
        <f t="shared" si="3"/>
        <v>3781</v>
      </c>
      <c r="Q16" s="19">
        <f t="shared" si="3"/>
        <v>4248</v>
      </c>
      <c r="R16" s="19">
        <f t="shared" si="3"/>
        <v>4248</v>
      </c>
      <c r="S16" s="19">
        <f t="shared" si="3"/>
        <v>4544</v>
      </c>
      <c r="T16" s="19">
        <f t="shared" si="3"/>
        <v>4544</v>
      </c>
      <c r="U16" s="19">
        <f t="shared" si="3"/>
        <v>4544</v>
      </c>
      <c r="V16" s="19">
        <f t="shared" si="3"/>
        <v>4544</v>
      </c>
      <c r="W16" s="19">
        <f t="shared" si="3"/>
        <v>4544</v>
      </c>
      <c r="X16" s="19">
        <f t="shared" si="3"/>
        <v>4544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133.66666666666666</v>
      </c>
      <c r="D17" s="20">
        <f t="shared" si="4"/>
        <v>133.66666666666666</v>
      </c>
      <c r="E17" s="20">
        <f t="shared" si="4"/>
        <v>138.66666666666666</v>
      </c>
      <c r="F17" s="20">
        <f t="shared" si="4"/>
        <v>150.44444444444446</v>
      </c>
      <c r="G17" s="20">
        <f t="shared" si="4"/>
        <v>151.36363636363637</v>
      </c>
      <c r="H17" s="20">
        <f t="shared" si="4"/>
        <v>152.76923076923077</v>
      </c>
      <c r="I17" s="20">
        <f t="shared" si="4"/>
        <v>151.125</v>
      </c>
      <c r="J17" s="20">
        <f t="shared" si="4"/>
        <v>149.94736842105263</v>
      </c>
      <c r="K17" s="20">
        <f t="shared" si="4"/>
        <v>152.13636363636363</v>
      </c>
      <c r="L17" s="20">
        <f t="shared" si="4"/>
        <v>152.13636363636363</v>
      </c>
      <c r="M17" s="20">
        <f t="shared" si="4"/>
        <v>152.13636363636363</v>
      </c>
      <c r="N17" s="20">
        <f t="shared" si="4"/>
        <v>151.24</v>
      </c>
      <c r="O17" s="20">
        <f t="shared" si="4"/>
        <v>151.24</v>
      </c>
      <c r="P17" s="20">
        <f t="shared" si="4"/>
        <v>151.24</v>
      </c>
      <c r="Q17" s="20">
        <f t="shared" si="4"/>
        <v>151.71428571428572</v>
      </c>
      <c r="R17" s="20">
        <f t="shared" si="4"/>
        <v>151.71428571428572</v>
      </c>
      <c r="S17" s="20">
        <f t="shared" si="4"/>
        <v>151.46666666666667</v>
      </c>
      <c r="T17" s="20">
        <f t="shared" si="4"/>
        <v>151.46666666666667</v>
      </c>
      <c r="U17" s="20">
        <f t="shared" si="4"/>
        <v>151.46666666666667</v>
      </c>
      <c r="V17" s="20">
        <f t="shared" si="4"/>
        <v>151.46666666666667</v>
      </c>
      <c r="W17" s="20">
        <f t="shared" si="4"/>
        <v>151.46666666666667</v>
      </c>
      <c r="X17" s="20">
        <f t="shared" si="4"/>
        <v>151.46666666666667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60</v>
      </c>
      <c r="D18" s="19">
        <f t="shared" si="5"/>
        <v>60</v>
      </c>
      <c r="E18" s="19">
        <f t="shared" si="5"/>
        <v>55</v>
      </c>
      <c r="F18" s="19">
        <f t="shared" si="5"/>
        <v>45</v>
      </c>
      <c r="G18" s="19">
        <f t="shared" si="5"/>
        <v>44</v>
      </c>
      <c r="H18" s="19">
        <f t="shared" si="5"/>
        <v>43</v>
      </c>
      <c r="I18" s="19">
        <f t="shared" si="5"/>
        <v>44</v>
      </c>
      <c r="J18" s="19">
        <f t="shared" si="5"/>
        <v>45</v>
      </c>
      <c r="K18" s="19">
        <f t="shared" si="5"/>
        <v>43</v>
      </c>
      <c r="L18" s="19">
        <f t="shared" si="5"/>
        <v>43</v>
      </c>
      <c r="M18" s="19">
        <f t="shared" si="5"/>
        <v>43</v>
      </c>
      <c r="N18" s="19">
        <f t="shared" si="5"/>
        <v>44</v>
      </c>
      <c r="O18" s="19">
        <f t="shared" si="5"/>
        <v>44</v>
      </c>
      <c r="P18" s="19">
        <f t="shared" si="5"/>
        <v>44</v>
      </c>
      <c r="Q18" s="19">
        <f t="shared" si="5"/>
        <v>43</v>
      </c>
      <c r="R18" s="19">
        <f t="shared" si="5"/>
        <v>43</v>
      </c>
      <c r="S18" s="19">
        <f t="shared" si="5"/>
        <v>44</v>
      </c>
      <c r="T18" s="19">
        <f t="shared" si="5"/>
        <v>44</v>
      </c>
      <c r="U18" s="19">
        <f t="shared" si="5"/>
        <v>44</v>
      </c>
      <c r="V18" s="19">
        <f t="shared" si="5"/>
        <v>44</v>
      </c>
      <c r="W18" s="19">
        <f t="shared" si="5"/>
        <v>44</v>
      </c>
      <c r="X18" s="19">
        <f t="shared" si="5"/>
        <v>44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9</v>
      </c>
      <c r="G19" s="19">
        <f t="shared" si="6"/>
        <v>11</v>
      </c>
      <c r="H19" s="19">
        <f t="shared" si="6"/>
        <v>13</v>
      </c>
      <c r="I19" s="19">
        <f t="shared" si="6"/>
        <v>16</v>
      </c>
      <c r="J19" s="19">
        <f t="shared" si="6"/>
        <v>19</v>
      </c>
      <c r="K19" s="19">
        <f t="shared" si="6"/>
        <v>22</v>
      </c>
      <c r="L19" s="19">
        <f t="shared" si="6"/>
        <v>22</v>
      </c>
      <c r="M19" s="19">
        <f t="shared" si="6"/>
        <v>22</v>
      </c>
      <c r="N19" s="19">
        <f t="shared" si="6"/>
        <v>25</v>
      </c>
      <c r="O19" s="19">
        <f t="shared" si="6"/>
        <v>25</v>
      </c>
      <c r="P19" s="19">
        <f t="shared" si="6"/>
        <v>25</v>
      </c>
      <c r="Q19" s="19">
        <f t="shared" si="6"/>
        <v>28</v>
      </c>
      <c r="R19" s="19">
        <f t="shared" si="6"/>
        <v>28</v>
      </c>
      <c r="S19" s="19">
        <f t="shared" si="6"/>
        <v>30</v>
      </c>
      <c r="T19" s="19">
        <f t="shared" si="6"/>
        <v>30</v>
      </c>
      <c r="U19" s="19">
        <f t="shared" si="6"/>
        <v>30</v>
      </c>
      <c r="V19" s="19">
        <f t="shared" si="6"/>
        <v>30</v>
      </c>
      <c r="W19" s="19">
        <f t="shared" si="6"/>
        <v>30</v>
      </c>
      <c r="X19" s="19">
        <f t="shared" si="6"/>
        <v>30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165</v>
      </c>
      <c r="D20" s="19">
        <f t="shared" si="7"/>
        <v>0</v>
      </c>
      <c r="E20" s="19">
        <f t="shared" si="7"/>
        <v>164</v>
      </c>
      <c r="F20" s="19">
        <f t="shared" si="7"/>
        <v>186</v>
      </c>
      <c r="G20" s="19">
        <f t="shared" si="7"/>
        <v>164</v>
      </c>
      <c r="H20" s="19">
        <f t="shared" si="7"/>
        <v>170</v>
      </c>
      <c r="I20" s="19">
        <f t="shared" si="7"/>
        <v>155</v>
      </c>
      <c r="J20" s="19">
        <f t="shared" si="7"/>
        <v>163</v>
      </c>
      <c r="K20" s="19">
        <f t="shared" si="7"/>
        <v>205</v>
      </c>
      <c r="L20" s="19">
        <f t="shared" si="7"/>
        <v>0</v>
      </c>
      <c r="M20" s="19">
        <f t="shared" si="7"/>
        <v>0</v>
      </c>
      <c r="N20" s="19">
        <f t="shared" si="7"/>
        <v>153</v>
      </c>
      <c r="O20" s="19">
        <f t="shared" si="7"/>
        <v>0</v>
      </c>
      <c r="P20" s="19">
        <f t="shared" si="7"/>
        <v>0</v>
      </c>
      <c r="Q20" s="19">
        <f t="shared" si="7"/>
        <v>203</v>
      </c>
      <c r="R20" s="19">
        <f t="shared" si="7"/>
        <v>0</v>
      </c>
      <c r="S20" s="19">
        <f t="shared" si="7"/>
        <v>155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208</v>
      </c>
      <c r="D21" s="19">
        <f>MAX(D$9:D$14)+$I$5</f>
        <v>43</v>
      </c>
      <c r="E21" s="19">
        <f>MAX(E$9:E$14)+$I$5</f>
        <v>207</v>
      </c>
      <c r="F21" s="19">
        <f t="shared" ref="F21:X21" si="8">MAX(F$9:F$14)+E18</f>
        <v>241</v>
      </c>
      <c r="G21" s="19">
        <f t="shared" si="8"/>
        <v>209</v>
      </c>
      <c r="H21" s="19">
        <f t="shared" si="8"/>
        <v>214</v>
      </c>
      <c r="I21" s="19">
        <f t="shared" si="8"/>
        <v>198</v>
      </c>
      <c r="J21" s="19">
        <f t="shared" si="8"/>
        <v>207</v>
      </c>
      <c r="K21" s="19">
        <f t="shared" si="8"/>
        <v>250</v>
      </c>
      <c r="L21" s="19">
        <f t="shared" si="8"/>
        <v>43</v>
      </c>
      <c r="M21" s="19">
        <f t="shared" si="8"/>
        <v>43</v>
      </c>
      <c r="N21" s="19">
        <f t="shared" si="8"/>
        <v>196</v>
      </c>
      <c r="O21" s="19">
        <f t="shared" si="8"/>
        <v>44</v>
      </c>
      <c r="P21" s="19">
        <f t="shared" si="8"/>
        <v>44</v>
      </c>
      <c r="Q21" s="19">
        <f t="shared" si="8"/>
        <v>247</v>
      </c>
      <c r="R21" s="19">
        <f t="shared" si="8"/>
        <v>43</v>
      </c>
      <c r="S21" s="19">
        <f t="shared" si="8"/>
        <v>198</v>
      </c>
      <c r="T21" s="19">
        <f t="shared" si="8"/>
        <v>44</v>
      </c>
      <c r="U21" s="19">
        <f t="shared" si="8"/>
        <v>44</v>
      </c>
      <c r="V21" s="19">
        <f t="shared" si="8"/>
        <v>44</v>
      </c>
      <c r="W21" s="19">
        <f t="shared" si="8"/>
        <v>44</v>
      </c>
      <c r="X21" s="19">
        <f t="shared" si="8"/>
        <v>44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401</v>
      </c>
      <c r="D22" s="19">
        <f t="shared" ref="D22:X22" si="9">MAX(SUM(D$9:D$11),SUM(D$12:D$14))</f>
        <v>0</v>
      </c>
      <c r="E22" s="19">
        <f t="shared" si="9"/>
        <v>431</v>
      </c>
      <c r="F22" s="19">
        <f t="shared" si="9"/>
        <v>522</v>
      </c>
      <c r="G22" s="19">
        <f t="shared" si="9"/>
        <v>311</v>
      </c>
      <c r="H22" s="19">
        <f t="shared" si="9"/>
        <v>321</v>
      </c>
      <c r="I22" s="19">
        <f t="shared" si="9"/>
        <v>432</v>
      </c>
      <c r="J22" s="19">
        <f t="shared" si="9"/>
        <v>431</v>
      </c>
      <c r="K22" s="19">
        <f t="shared" si="9"/>
        <v>498</v>
      </c>
      <c r="L22" s="19">
        <f t="shared" si="9"/>
        <v>0</v>
      </c>
      <c r="M22" s="19">
        <f t="shared" si="9"/>
        <v>0</v>
      </c>
      <c r="N22" s="19">
        <f t="shared" si="9"/>
        <v>434</v>
      </c>
      <c r="O22" s="19">
        <f t="shared" si="9"/>
        <v>0</v>
      </c>
      <c r="P22" s="19">
        <f t="shared" si="9"/>
        <v>0</v>
      </c>
      <c r="Q22" s="19">
        <f t="shared" si="9"/>
        <v>467</v>
      </c>
      <c r="R22" s="19">
        <f t="shared" si="9"/>
        <v>0</v>
      </c>
      <c r="S22" s="19">
        <f t="shared" si="9"/>
        <v>296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530</v>
      </c>
      <c r="D23" s="19">
        <f>MAX(SUM(D$9:D$11),SUM(D$12:D$14))+$I$5*3</f>
        <v>129</v>
      </c>
      <c r="E23" s="19">
        <f>MAX(SUM(E$9:E$11),SUM(E$12:E$14))+$I$5*3</f>
        <v>560</v>
      </c>
      <c r="F23" s="19">
        <f t="shared" ref="F23:X23" si="10">MAX(SUM(F$9:F$11),SUM(F$12:F$14))+E18*3</f>
        <v>687</v>
      </c>
      <c r="G23" s="19">
        <f t="shared" si="10"/>
        <v>446</v>
      </c>
      <c r="H23" s="19">
        <f t="shared" si="10"/>
        <v>453</v>
      </c>
      <c r="I23" s="19">
        <f t="shared" si="10"/>
        <v>561</v>
      </c>
      <c r="J23" s="19">
        <f t="shared" si="10"/>
        <v>563</v>
      </c>
      <c r="K23" s="19">
        <f t="shared" si="10"/>
        <v>633</v>
      </c>
      <c r="L23" s="19">
        <f t="shared" si="10"/>
        <v>129</v>
      </c>
      <c r="M23" s="19">
        <f t="shared" si="10"/>
        <v>129</v>
      </c>
      <c r="N23" s="19">
        <f t="shared" si="10"/>
        <v>563</v>
      </c>
      <c r="O23" s="19">
        <f t="shared" si="10"/>
        <v>132</v>
      </c>
      <c r="P23" s="19">
        <f t="shared" si="10"/>
        <v>132</v>
      </c>
      <c r="Q23" s="19">
        <f t="shared" si="10"/>
        <v>599</v>
      </c>
      <c r="R23" s="19">
        <f t="shared" si="10"/>
        <v>129</v>
      </c>
      <c r="S23" s="19">
        <f t="shared" si="10"/>
        <v>425</v>
      </c>
      <c r="T23" s="19">
        <f t="shared" si="10"/>
        <v>132</v>
      </c>
      <c r="U23" s="19">
        <f t="shared" si="10"/>
        <v>132</v>
      </c>
      <c r="V23" s="19">
        <f t="shared" si="10"/>
        <v>132</v>
      </c>
      <c r="W23" s="19">
        <f t="shared" si="10"/>
        <v>132</v>
      </c>
      <c r="X23" s="19">
        <f t="shared" si="10"/>
        <v>132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165</v>
      </c>
      <c r="D27" s="107">
        <f>MAX($C20:D20)</f>
        <v>165</v>
      </c>
      <c r="E27" s="107">
        <f>MAX($C20:E20)</f>
        <v>165</v>
      </c>
      <c r="F27" s="107">
        <f>MAX($C20:F20)</f>
        <v>186</v>
      </c>
      <c r="G27" s="107">
        <f>MAX($C20:G20)</f>
        <v>186</v>
      </c>
      <c r="H27" s="107">
        <f>MAX($C20:H20)</f>
        <v>186</v>
      </c>
      <c r="I27" s="107">
        <f>MAX($C20:I20)</f>
        <v>186</v>
      </c>
      <c r="J27" s="107">
        <f>MAX($C20:J20)</f>
        <v>186</v>
      </c>
      <c r="K27" s="107">
        <f>MAX($C20:K20)</f>
        <v>205</v>
      </c>
      <c r="L27" s="107">
        <f>MAX($C20:L20)</f>
        <v>205</v>
      </c>
      <c r="M27" s="107">
        <f>MAX($C20:M20)</f>
        <v>205</v>
      </c>
      <c r="N27" s="107">
        <f>MAX($C20:N20)</f>
        <v>205</v>
      </c>
      <c r="O27" s="107">
        <f>MAX($C20:O20)</f>
        <v>205</v>
      </c>
      <c r="P27" s="107">
        <f>MAX($C20:P20)</f>
        <v>205</v>
      </c>
      <c r="Q27" s="107">
        <f>MAX($C20:Q20)</f>
        <v>205</v>
      </c>
      <c r="R27" s="107">
        <f>MAX($C20:R20)</f>
        <v>205</v>
      </c>
      <c r="S27" s="107">
        <f>MAX($C20:S20)</f>
        <v>205</v>
      </c>
      <c r="T27" s="107">
        <f>MAX($C20:T20)</f>
        <v>205</v>
      </c>
      <c r="U27" s="107">
        <f>MAX($C20:U20)</f>
        <v>205</v>
      </c>
      <c r="V27" s="107">
        <f>MAX($C20:V20)</f>
        <v>205</v>
      </c>
      <c r="W27" s="107">
        <f>MAX($C20:W20)</f>
        <v>205</v>
      </c>
      <c r="X27" s="107">
        <f>MAX($C20:X20)</f>
        <v>205</v>
      </c>
    </row>
    <row r="28" spans="1:25" ht="13.15" x14ac:dyDescent="0.4">
      <c r="A28">
        <v>22</v>
      </c>
      <c r="B28" s="151" t="s">
        <v>78</v>
      </c>
      <c r="C28" s="19">
        <f>MAX(C21)</f>
        <v>208</v>
      </c>
      <c r="D28" s="107">
        <f>MAX($C21:D21)</f>
        <v>208</v>
      </c>
      <c r="E28" s="107">
        <f>MAX($C21:E21)</f>
        <v>208</v>
      </c>
      <c r="F28" s="107">
        <f>MAX($C21:F21)</f>
        <v>241</v>
      </c>
      <c r="G28" s="107">
        <f>MAX($C21:G21)</f>
        <v>241</v>
      </c>
      <c r="H28" s="107">
        <f>MAX($C21:H21)</f>
        <v>241</v>
      </c>
      <c r="I28" s="107">
        <f>MAX($C21:I21)</f>
        <v>241</v>
      </c>
      <c r="J28" s="107">
        <f>MAX($C21:J21)</f>
        <v>241</v>
      </c>
      <c r="K28" s="107">
        <f>MAX($C21:K21)</f>
        <v>250</v>
      </c>
      <c r="L28" s="107">
        <f>MAX($C21:L21)</f>
        <v>250</v>
      </c>
      <c r="M28" s="107">
        <f>MAX($C21:M21)</f>
        <v>250</v>
      </c>
      <c r="N28" s="107">
        <f>MAX($C21:N21)</f>
        <v>250</v>
      </c>
      <c r="O28" s="107">
        <f>MAX($C21:O21)</f>
        <v>250</v>
      </c>
      <c r="P28" s="107">
        <f>MAX($C21:P21)</f>
        <v>250</v>
      </c>
      <c r="Q28" s="107">
        <f>MAX($C21:Q21)</f>
        <v>250</v>
      </c>
      <c r="R28" s="107">
        <f>MAX($C21:R21)</f>
        <v>250</v>
      </c>
      <c r="S28" s="107">
        <f>MAX($C21:S21)</f>
        <v>250</v>
      </c>
      <c r="T28" s="107">
        <f>MAX($C21:T21)</f>
        <v>250</v>
      </c>
      <c r="U28" s="107">
        <f>MAX($C21:U21)</f>
        <v>250</v>
      </c>
      <c r="V28" s="107">
        <f>MAX($C21:V21)</f>
        <v>250</v>
      </c>
      <c r="W28" s="107">
        <f>MAX($C21:W21)</f>
        <v>250</v>
      </c>
      <c r="X28" s="107">
        <f>MAX($C21:X21)</f>
        <v>250</v>
      </c>
    </row>
    <row r="29" spans="1:25" ht="26.25" x14ac:dyDescent="0.4">
      <c r="A29">
        <v>23</v>
      </c>
      <c r="B29" s="151" t="s">
        <v>79</v>
      </c>
      <c r="C29" s="19">
        <f>MAX(C22)</f>
        <v>401</v>
      </c>
      <c r="D29" s="107">
        <f>MAX($C22:D22)</f>
        <v>401</v>
      </c>
      <c r="E29" s="107">
        <f>MAX($C22:E22)</f>
        <v>431</v>
      </c>
      <c r="F29" s="107">
        <f>MAX($C22:F22)</f>
        <v>522</v>
      </c>
      <c r="G29" s="107">
        <f>MAX($C22:G22)</f>
        <v>522</v>
      </c>
      <c r="H29" s="107">
        <f>MAX($C22:H22)</f>
        <v>522</v>
      </c>
      <c r="I29" s="107">
        <f>MAX($C22:I22)</f>
        <v>522</v>
      </c>
      <c r="J29" s="107">
        <f>MAX($C22:J22)</f>
        <v>522</v>
      </c>
      <c r="K29" s="107">
        <f>MAX($C22:K22)</f>
        <v>522</v>
      </c>
      <c r="L29" s="107">
        <f>MAX($C22:L22)</f>
        <v>522</v>
      </c>
      <c r="M29" s="107">
        <f>MAX($C22:M22)</f>
        <v>522</v>
      </c>
      <c r="N29" s="107">
        <f>MAX($C22:N22)</f>
        <v>522</v>
      </c>
      <c r="O29" s="107">
        <f>MAX($C22:O22)</f>
        <v>522</v>
      </c>
      <c r="P29" s="107">
        <f>MAX($C22:P22)</f>
        <v>522</v>
      </c>
      <c r="Q29" s="107">
        <f>MAX($C22:Q22)</f>
        <v>522</v>
      </c>
      <c r="R29" s="107">
        <f>MAX($C22:R22)</f>
        <v>522</v>
      </c>
      <c r="S29" s="107">
        <f>MAX($C22:S22)</f>
        <v>522</v>
      </c>
      <c r="T29" s="107">
        <f>MAX($C22:T22)</f>
        <v>522</v>
      </c>
      <c r="U29" s="107">
        <f>MAX($C22:U22)</f>
        <v>522</v>
      </c>
      <c r="V29" s="107">
        <f>MAX($C22:V22)</f>
        <v>522</v>
      </c>
      <c r="W29" s="107">
        <f>MAX($C22:W22)</f>
        <v>522</v>
      </c>
      <c r="X29" s="107">
        <f>MAX($C22:X22)</f>
        <v>522</v>
      </c>
    </row>
    <row r="30" spans="1:25" ht="13.15" x14ac:dyDescent="0.4">
      <c r="A30">
        <v>24</v>
      </c>
      <c r="B30" s="151" t="s">
        <v>80</v>
      </c>
      <c r="C30" s="19">
        <f>MAX(C23)</f>
        <v>530</v>
      </c>
      <c r="D30" s="107">
        <f>MAX($C23:D23)</f>
        <v>530</v>
      </c>
      <c r="E30" s="107">
        <f>MAX($C23:E23)</f>
        <v>560</v>
      </c>
      <c r="F30" s="107">
        <f>MAX($C23:F23)</f>
        <v>687</v>
      </c>
      <c r="G30" s="107">
        <f>MAX($C23:G23)</f>
        <v>687</v>
      </c>
      <c r="H30" s="107">
        <f>MAX($C23:H23)</f>
        <v>687</v>
      </c>
      <c r="I30" s="107">
        <f>MAX($C23:I23)</f>
        <v>687</v>
      </c>
      <c r="J30" s="107">
        <f>MAX($C23:J23)</f>
        <v>687</v>
      </c>
      <c r="K30" s="107">
        <f>MAX($C23:K23)</f>
        <v>687</v>
      </c>
      <c r="L30" s="107">
        <f>MAX($C23:L23)</f>
        <v>687</v>
      </c>
      <c r="M30" s="107">
        <f>MAX($C23:M23)</f>
        <v>687</v>
      </c>
      <c r="N30" s="107">
        <f>MAX($C23:N23)</f>
        <v>687</v>
      </c>
      <c r="O30" s="107">
        <f>MAX($C23:O23)</f>
        <v>687</v>
      </c>
      <c r="P30" s="107">
        <f>MAX($C23:P23)</f>
        <v>687</v>
      </c>
      <c r="Q30" s="107">
        <f>MAX($C23:Q23)</f>
        <v>687</v>
      </c>
      <c r="R30" s="107">
        <f>MAX($C23:R23)</f>
        <v>687</v>
      </c>
      <c r="S30" s="107">
        <f>MAX($C23:S23)</f>
        <v>687</v>
      </c>
      <c r="T30" s="107">
        <f>MAX($C23:T23)</f>
        <v>687</v>
      </c>
      <c r="U30" s="107">
        <f>MAX($C23:U23)</f>
        <v>687</v>
      </c>
      <c r="V30" s="107">
        <f>MAX($C23:V23)</f>
        <v>687</v>
      </c>
      <c r="W30" s="107">
        <f>MAX($C23:W23)</f>
        <v>687</v>
      </c>
      <c r="X30" s="107">
        <f>MAX($C23:X23)</f>
        <v>687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225</v>
      </c>
      <c r="G2" s="203" t="s">
        <v>157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88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88</v>
      </c>
      <c r="D21" s="19">
        <f t="shared" si="8"/>
        <v>88</v>
      </c>
      <c r="E21" s="19">
        <f t="shared" si="8"/>
        <v>88</v>
      </c>
      <c r="F21" s="19">
        <f t="shared" si="8"/>
        <v>88</v>
      </c>
      <c r="G21" s="19">
        <f t="shared" si="8"/>
        <v>88</v>
      </c>
      <c r="H21" s="19">
        <f t="shared" si="8"/>
        <v>88</v>
      </c>
      <c r="I21" s="19">
        <f t="shared" si="8"/>
        <v>88</v>
      </c>
      <c r="J21" s="19">
        <f t="shared" si="8"/>
        <v>88</v>
      </c>
      <c r="K21" s="19">
        <f t="shared" si="8"/>
        <v>88</v>
      </c>
      <c r="L21" s="19">
        <f t="shared" si="8"/>
        <v>88</v>
      </c>
      <c r="M21" s="19">
        <f t="shared" si="8"/>
        <v>88</v>
      </c>
      <c r="N21" s="19">
        <f t="shared" si="8"/>
        <v>88</v>
      </c>
      <c r="O21" s="19">
        <f t="shared" si="8"/>
        <v>88</v>
      </c>
      <c r="P21" s="19">
        <f t="shared" si="8"/>
        <v>88</v>
      </c>
      <c r="Q21" s="19">
        <f t="shared" si="8"/>
        <v>88</v>
      </c>
      <c r="R21" s="19">
        <f t="shared" si="8"/>
        <v>88</v>
      </c>
      <c r="S21" s="19">
        <f t="shared" si="8"/>
        <v>88</v>
      </c>
      <c r="T21" s="19">
        <f t="shared" si="8"/>
        <v>88</v>
      </c>
      <c r="U21" s="19">
        <f t="shared" si="8"/>
        <v>88</v>
      </c>
      <c r="V21" s="19">
        <f t="shared" si="8"/>
        <v>88</v>
      </c>
      <c r="W21" s="19">
        <f t="shared" si="8"/>
        <v>88</v>
      </c>
      <c r="X21" s="19">
        <f t="shared" si="8"/>
        <v>88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264</v>
      </c>
      <c r="D23" s="19">
        <f t="shared" ref="D23:X23" si="10">MAX(SUM(D$9:D$11),SUM(D$12:D$14))+$I$5*3</f>
        <v>264</v>
      </c>
      <c r="E23" s="19">
        <f t="shared" si="10"/>
        <v>264</v>
      </c>
      <c r="F23" s="19">
        <f t="shared" si="10"/>
        <v>264</v>
      </c>
      <c r="G23" s="19">
        <f t="shared" si="10"/>
        <v>264</v>
      </c>
      <c r="H23" s="19">
        <f t="shared" si="10"/>
        <v>264</v>
      </c>
      <c r="I23" s="19">
        <f t="shared" si="10"/>
        <v>264</v>
      </c>
      <c r="J23" s="19">
        <f t="shared" si="10"/>
        <v>264</v>
      </c>
      <c r="K23" s="19">
        <f t="shared" si="10"/>
        <v>264</v>
      </c>
      <c r="L23" s="19">
        <f t="shared" si="10"/>
        <v>264</v>
      </c>
      <c r="M23" s="19">
        <f t="shared" si="10"/>
        <v>264</v>
      </c>
      <c r="N23" s="19">
        <f t="shared" si="10"/>
        <v>264</v>
      </c>
      <c r="O23" s="19">
        <f t="shared" si="10"/>
        <v>264</v>
      </c>
      <c r="P23" s="19">
        <f t="shared" si="10"/>
        <v>264</v>
      </c>
      <c r="Q23" s="19">
        <f t="shared" si="10"/>
        <v>264</v>
      </c>
      <c r="R23" s="19">
        <f t="shared" si="10"/>
        <v>264</v>
      </c>
      <c r="S23" s="19">
        <f t="shared" si="10"/>
        <v>264</v>
      </c>
      <c r="T23" s="19">
        <f t="shared" si="10"/>
        <v>264</v>
      </c>
      <c r="U23" s="19">
        <f t="shared" si="10"/>
        <v>264</v>
      </c>
      <c r="V23" s="19">
        <f t="shared" si="10"/>
        <v>264</v>
      </c>
      <c r="W23" s="19">
        <f t="shared" si="10"/>
        <v>264</v>
      </c>
      <c r="X23" s="19">
        <f t="shared" si="10"/>
        <v>264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88</v>
      </c>
      <c r="D28" s="107">
        <f>MAX($C21:D21)</f>
        <v>88</v>
      </c>
      <c r="E28" s="107">
        <f>MAX($C21:E21)</f>
        <v>88</v>
      </c>
      <c r="F28" s="107">
        <f>MAX($C21:F21)</f>
        <v>88</v>
      </c>
      <c r="G28" s="107">
        <f>MAX($C21:G21)</f>
        <v>88</v>
      </c>
      <c r="H28" s="107">
        <f>MAX($C21:H21)</f>
        <v>88</v>
      </c>
      <c r="I28" s="107">
        <f>MAX($C21:I21)</f>
        <v>88</v>
      </c>
      <c r="J28" s="107">
        <f>MAX($C21:J21)</f>
        <v>88</v>
      </c>
      <c r="K28" s="107">
        <f>MAX($C21:K21)</f>
        <v>88</v>
      </c>
      <c r="L28" s="107">
        <f>MAX($C21:L21)</f>
        <v>88</v>
      </c>
      <c r="M28" s="107">
        <f>MAX($C21:M21)</f>
        <v>88</v>
      </c>
      <c r="N28" s="107">
        <f>MAX($C21:N21)</f>
        <v>88</v>
      </c>
      <c r="O28" s="107">
        <f>MAX($C21:O21)</f>
        <v>88</v>
      </c>
      <c r="P28" s="107">
        <f>MAX($C21:P21)</f>
        <v>88</v>
      </c>
      <c r="Q28" s="107">
        <f>MAX($C21:Q21)</f>
        <v>88</v>
      </c>
      <c r="R28" s="107">
        <f>MAX($C21:R21)</f>
        <v>88</v>
      </c>
      <c r="S28" s="107">
        <f>MAX($C21:S21)</f>
        <v>88</v>
      </c>
      <c r="T28" s="107">
        <f>MAX($C21:T21)</f>
        <v>88</v>
      </c>
      <c r="U28" s="107">
        <f>MAX($C21:U21)</f>
        <v>88</v>
      </c>
      <c r="V28" s="107">
        <f>MAX($C21:V21)</f>
        <v>88</v>
      </c>
      <c r="W28" s="107">
        <f>MAX($C21:W21)</f>
        <v>88</v>
      </c>
      <c r="X28" s="107">
        <f>MAX($C21:X21)</f>
        <v>88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264</v>
      </c>
      <c r="D30" s="107">
        <f>MAX($C23:D23)</f>
        <v>264</v>
      </c>
      <c r="E30" s="107">
        <f>MAX($C23:E23)</f>
        <v>264</v>
      </c>
      <c r="F30" s="107">
        <f>MAX($C23:F23)</f>
        <v>264</v>
      </c>
      <c r="G30" s="107">
        <f>MAX($C23:G23)</f>
        <v>264</v>
      </c>
      <c r="H30" s="107">
        <f>MAX($C23:H23)</f>
        <v>264</v>
      </c>
      <c r="I30" s="107">
        <f>MAX($C23:I23)</f>
        <v>264</v>
      </c>
      <c r="J30" s="107">
        <f>MAX($C23:J23)</f>
        <v>264</v>
      </c>
      <c r="K30" s="107">
        <f>MAX($C23:K23)</f>
        <v>264</v>
      </c>
      <c r="L30" s="107">
        <f>MAX($C23:L23)</f>
        <v>264</v>
      </c>
      <c r="M30" s="107">
        <f>MAX($C23:M23)</f>
        <v>264</v>
      </c>
      <c r="N30" s="107">
        <f>MAX($C23:N23)</f>
        <v>264</v>
      </c>
      <c r="O30" s="107">
        <f>MAX($C23:O23)</f>
        <v>264</v>
      </c>
      <c r="P30" s="107">
        <f>MAX($C23:P23)</f>
        <v>264</v>
      </c>
      <c r="Q30" s="107">
        <f>MAX($C23:Q23)</f>
        <v>264</v>
      </c>
      <c r="R30" s="107">
        <f>MAX($C23:R23)</f>
        <v>264</v>
      </c>
      <c r="S30" s="107">
        <f>MAX($C23:S23)</f>
        <v>264</v>
      </c>
      <c r="T30" s="107">
        <f>MAX($C23:T23)</f>
        <v>264</v>
      </c>
      <c r="U30" s="107">
        <f>MAX($C23:U23)</f>
        <v>264</v>
      </c>
      <c r="V30" s="107">
        <f>MAX($C23:V23)</f>
        <v>264</v>
      </c>
      <c r="W30" s="107">
        <f>MAX($C23:W23)</f>
        <v>264</v>
      </c>
      <c r="X30" s="107">
        <f>MAX($C23:X23)</f>
        <v>264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30</v>
      </c>
      <c r="G2" s="203" t="s">
        <v>229</v>
      </c>
      <c r="H2" s="224">
        <v>3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65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59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90</v>
      </c>
      <c r="E9">
        <v>104</v>
      </c>
      <c r="G9">
        <v>95</v>
      </c>
      <c r="H9">
        <v>142</v>
      </c>
      <c r="I9">
        <v>148</v>
      </c>
      <c r="J9">
        <v>116</v>
      </c>
      <c r="K9">
        <v>130</v>
      </c>
      <c r="L9">
        <v>134</v>
      </c>
      <c r="M9">
        <v>116</v>
      </c>
      <c r="N9">
        <v>112</v>
      </c>
      <c r="Q9">
        <v>106</v>
      </c>
      <c r="R9">
        <v>139</v>
      </c>
      <c r="S9">
        <v>108</v>
      </c>
      <c r="V9">
        <v>136</v>
      </c>
    </row>
    <row r="10" spans="1:24" ht="13.15" x14ac:dyDescent="0.4">
      <c r="A10">
        <v>4</v>
      </c>
      <c r="B10" s="3" t="s">
        <v>15</v>
      </c>
      <c r="C10">
        <v>127</v>
      </c>
      <c r="E10">
        <v>126</v>
      </c>
      <c r="G10">
        <v>139</v>
      </c>
      <c r="H10">
        <v>140</v>
      </c>
      <c r="I10">
        <v>144</v>
      </c>
      <c r="J10">
        <v>133</v>
      </c>
      <c r="K10">
        <v>146</v>
      </c>
      <c r="L10">
        <v>133</v>
      </c>
      <c r="M10">
        <v>127</v>
      </c>
      <c r="N10">
        <v>97</v>
      </c>
      <c r="Q10">
        <v>132</v>
      </c>
      <c r="R10">
        <v>122</v>
      </c>
      <c r="S10">
        <v>121</v>
      </c>
      <c r="V10">
        <v>167</v>
      </c>
    </row>
    <row r="11" spans="1:24" ht="13.15" x14ac:dyDescent="0.4">
      <c r="A11">
        <v>5</v>
      </c>
      <c r="B11" s="3" t="s">
        <v>16</v>
      </c>
      <c r="G11">
        <v>134</v>
      </c>
      <c r="H11">
        <v>105</v>
      </c>
      <c r="I11">
        <v>112</v>
      </c>
      <c r="J11">
        <v>166</v>
      </c>
      <c r="K11">
        <v>119</v>
      </c>
      <c r="L11">
        <v>151</v>
      </c>
      <c r="M11">
        <v>124</v>
      </c>
      <c r="Q11">
        <v>110</v>
      </c>
      <c r="R11">
        <v>127</v>
      </c>
      <c r="S11">
        <v>144</v>
      </c>
      <c r="V11">
        <v>144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217</v>
      </c>
      <c r="D15" s="18">
        <f t="shared" si="2"/>
        <v>0</v>
      </c>
      <c r="E15" s="18">
        <f t="shared" si="2"/>
        <v>230</v>
      </c>
      <c r="F15" s="18">
        <f t="shared" si="2"/>
        <v>0</v>
      </c>
      <c r="G15" s="18">
        <f t="shared" si="2"/>
        <v>368</v>
      </c>
      <c r="H15" s="18">
        <f t="shared" si="2"/>
        <v>387</v>
      </c>
      <c r="I15" s="18">
        <f t="shared" si="2"/>
        <v>404</v>
      </c>
      <c r="J15" s="18">
        <f t="shared" si="2"/>
        <v>415</v>
      </c>
      <c r="K15" s="18">
        <f t="shared" si="2"/>
        <v>395</v>
      </c>
      <c r="L15" s="18">
        <f t="shared" si="2"/>
        <v>418</v>
      </c>
      <c r="M15" s="18">
        <f t="shared" si="2"/>
        <v>367</v>
      </c>
      <c r="N15" s="18">
        <f t="shared" si="2"/>
        <v>209</v>
      </c>
      <c r="O15" s="18">
        <f t="shared" si="2"/>
        <v>0</v>
      </c>
      <c r="P15" s="18">
        <f t="shared" si="2"/>
        <v>0</v>
      </c>
      <c r="Q15" s="18">
        <f t="shared" si="2"/>
        <v>348</v>
      </c>
      <c r="R15" s="18">
        <f t="shared" si="2"/>
        <v>388</v>
      </c>
      <c r="S15" s="18">
        <f t="shared" si="2"/>
        <v>373</v>
      </c>
      <c r="T15" s="18">
        <f t="shared" si="2"/>
        <v>0</v>
      </c>
      <c r="U15" s="18">
        <f t="shared" si="2"/>
        <v>0</v>
      </c>
      <c r="V15" s="18">
        <f t="shared" si="2"/>
        <v>447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217</v>
      </c>
      <c r="D16" s="19">
        <f t="shared" ref="D16:X16" si="3">+D15+C16</f>
        <v>217</v>
      </c>
      <c r="E16" s="19">
        <f t="shared" si="3"/>
        <v>447</v>
      </c>
      <c r="F16" s="19">
        <f t="shared" si="3"/>
        <v>447</v>
      </c>
      <c r="G16" s="19">
        <f t="shared" si="3"/>
        <v>815</v>
      </c>
      <c r="H16" s="19">
        <f t="shared" si="3"/>
        <v>1202</v>
      </c>
      <c r="I16" s="19">
        <f t="shared" si="3"/>
        <v>1606</v>
      </c>
      <c r="J16" s="19">
        <f t="shared" si="3"/>
        <v>2021</v>
      </c>
      <c r="K16" s="19">
        <f t="shared" si="3"/>
        <v>2416</v>
      </c>
      <c r="L16" s="19">
        <f t="shared" si="3"/>
        <v>2834</v>
      </c>
      <c r="M16" s="19">
        <f t="shared" si="3"/>
        <v>3201</v>
      </c>
      <c r="N16" s="19">
        <f t="shared" si="3"/>
        <v>3410</v>
      </c>
      <c r="O16" s="19">
        <f t="shared" si="3"/>
        <v>3410</v>
      </c>
      <c r="P16" s="19">
        <f t="shared" si="3"/>
        <v>3410</v>
      </c>
      <c r="Q16" s="19">
        <f t="shared" si="3"/>
        <v>3758</v>
      </c>
      <c r="R16" s="19">
        <f t="shared" si="3"/>
        <v>4146</v>
      </c>
      <c r="S16" s="19">
        <f t="shared" si="3"/>
        <v>4519</v>
      </c>
      <c r="T16" s="19">
        <f t="shared" si="3"/>
        <v>4519</v>
      </c>
      <c r="U16" s="19">
        <f t="shared" si="3"/>
        <v>4519</v>
      </c>
      <c r="V16" s="19">
        <f t="shared" si="3"/>
        <v>4966</v>
      </c>
      <c r="W16" s="19">
        <f t="shared" si="3"/>
        <v>4966</v>
      </c>
      <c r="X16" s="19">
        <f t="shared" si="3"/>
        <v>4966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108.5</v>
      </c>
      <c r="D17" s="20">
        <f t="shared" si="4"/>
        <v>108.5</v>
      </c>
      <c r="E17" s="20">
        <f t="shared" si="4"/>
        <v>111.75</v>
      </c>
      <c r="F17" s="20">
        <f t="shared" si="4"/>
        <v>111.75</v>
      </c>
      <c r="G17" s="20">
        <f t="shared" si="4"/>
        <v>116.42857142857143</v>
      </c>
      <c r="H17" s="20">
        <f t="shared" si="4"/>
        <v>120.2</v>
      </c>
      <c r="I17" s="20">
        <f t="shared" si="4"/>
        <v>123.53846153846153</v>
      </c>
      <c r="J17" s="20">
        <f t="shared" si="4"/>
        <v>126.3125</v>
      </c>
      <c r="K17" s="20">
        <f t="shared" si="4"/>
        <v>127.15789473684211</v>
      </c>
      <c r="L17" s="20">
        <f t="shared" si="4"/>
        <v>128.81818181818181</v>
      </c>
      <c r="M17" s="20">
        <f t="shared" si="4"/>
        <v>128.04</v>
      </c>
      <c r="N17" s="20">
        <f t="shared" si="4"/>
        <v>126.29629629629629</v>
      </c>
      <c r="O17" s="20">
        <f t="shared" si="4"/>
        <v>126.29629629629629</v>
      </c>
      <c r="P17" s="20">
        <f t="shared" si="4"/>
        <v>126.29629629629629</v>
      </c>
      <c r="Q17" s="20">
        <f t="shared" si="4"/>
        <v>125.26666666666667</v>
      </c>
      <c r="R17" s="20">
        <f t="shared" si="4"/>
        <v>125.63636363636364</v>
      </c>
      <c r="S17" s="20">
        <f t="shared" si="4"/>
        <v>125.52777777777777</v>
      </c>
      <c r="T17" s="20">
        <f t="shared" si="4"/>
        <v>125.52777777777777</v>
      </c>
      <c r="U17" s="20">
        <f t="shared" si="4"/>
        <v>125.52777777777777</v>
      </c>
      <c r="V17" s="20">
        <f t="shared" si="4"/>
        <v>127.33333333333333</v>
      </c>
      <c r="W17" s="20">
        <f t="shared" si="4"/>
        <v>127.33333333333333</v>
      </c>
      <c r="X17" s="20">
        <f t="shared" si="4"/>
        <v>127.33333333333333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82</v>
      </c>
      <c r="D18" s="19">
        <f t="shared" si="5"/>
        <v>82</v>
      </c>
      <c r="E18" s="19">
        <f t="shared" si="5"/>
        <v>79</v>
      </c>
      <c r="F18" s="19">
        <f t="shared" si="5"/>
        <v>79</v>
      </c>
      <c r="G18" s="19">
        <f t="shared" si="5"/>
        <v>75</v>
      </c>
      <c r="H18" s="19">
        <f t="shared" si="5"/>
        <v>72</v>
      </c>
      <c r="I18" s="19">
        <f t="shared" si="5"/>
        <v>69</v>
      </c>
      <c r="J18" s="19">
        <f t="shared" si="5"/>
        <v>66</v>
      </c>
      <c r="K18" s="19">
        <f t="shared" si="5"/>
        <v>66</v>
      </c>
      <c r="L18" s="19">
        <f t="shared" si="5"/>
        <v>64</v>
      </c>
      <c r="M18" s="19">
        <f t="shared" si="5"/>
        <v>65</v>
      </c>
      <c r="N18" s="19">
        <f t="shared" si="5"/>
        <v>66</v>
      </c>
      <c r="O18" s="19">
        <f t="shared" si="5"/>
        <v>66</v>
      </c>
      <c r="P18" s="19">
        <f t="shared" si="5"/>
        <v>66</v>
      </c>
      <c r="Q18" s="19">
        <f t="shared" si="5"/>
        <v>67</v>
      </c>
      <c r="R18" s="19">
        <f t="shared" si="5"/>
        <v>67</v>
      </c>
      <c r="S18" s="19">
        <f t="shared" si="5"/>
        <v>67</v>
      </c>
      <c r="T18" s="19">
        <f t="shared" si="5"/>
        <v>67</v>
      </c>
      <c r="U18" s="19">
        <f t="shared" si="5"/>
        <v>67</v>
      </c>
      <c r="V18" s="19">
        <f t="shared" si="5"/>
        <v>65</v>
      </c>
      <c r="W18" s="19">
        <f t="shared" si="5"/>
        <v>65</v>
      </c>
      <c r="X18" s="19">
        <f t="shared" si="5"/>
        <v>65</v>
      </c>
    </row>
    <row r="19" spans="1:25" ht="13.15" x14ac:dyDescent="0.4">
      <c r="A19">
        <v>13</v>
      </c>
      <c r="B19" s="4" t="s">
        <v>9</v>
      </c>
      <c r="C19" s="19">
        <f>COUNT(C9:C14)</f>
        <v>2</v>
      </c>
      <c r="D19" s="19">
        <f t="shared" ref="D19:X19" si="6">COUNT(D9:D14)+C19</f>
        <v>2</v>
      </c>
      <c r="E19" s="19">
        <f t="shared" si="6"/>
        <v>4</v>
      </c>
      <c r="F19" s="19">
        <f t="shared" si="6"/>
        <v>4</v>
      </c>
      <c r="G19" s="19">
        <f t="shared" si="6"/>
        <v>7</v>
      </c>
      <c r="H19" s="19">
        <f t="shared" si="6"/>
        <v>10</v>
      </c>
      <c r="I19" s="19">
        <f t="shared" si="6"/>
        <v>13</v>
      </c>
      <c r="J19" s="19">
        <f t="shared" si="6"/>
        <v>16</v>
      </c>
      <c r="K19" s="19">
        <f t="shared" si="6"/>
        <v>19</v>
      </c>
      <c r="L19" s="19">
        <f t="shared" si="6"/>
        <v>22</v>
      </c>
      <c r="M19" s="19">
        <f t="shared" si="6"/>
        <v>25</v>
      </c>
      <c r="N19" s="19">
        <f t="shared" si="6"/>
        <v>27</v>
      </c>
      <c r="O19" s="19">
        <f t="shared" si="6"/>
        <v>27</v>
      </c>
      <c r="P19" s="19">
        <f t="shared" si="6"/>
        <v>27</v>
      </c>
      <c r="Q19" s="19">
        <f t="shared" si="6"/>
        <v>30</v>
      </c>
      <c r="R19" s="19">
        <f t="shared" si="6"/>
        <v>33</v>
      </c>
      <c r="S19" s="19">
        <f t="shared" si="6"/>
        <v>36</v>
      </c>
      <c r="T19" s="19">
        <f t="shared" si="6"/>
        <v>36</v>
      </c>
      <c r="U19" s="19">
        <f t="shared" si="6"/>
        <v>36</v>
      </c>
      <c r="V19" s="19">
        <f t="shared" si="6"/>
        <v>39</v>
      </c>
      <c r="W19" s="19">
        <f t="shared" si="6"/>
        <v>39</v>
      </c>
      <c r="X19" s="19">
        <f t="shared" si="6"/>
        <v>39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127</v>
      </c>
      <c r="D20" s="19">
        <f t="shared" si="7"/>
        <v>0</v>
      </c>
      <c r="E20" s="19">
        <f t="shared" si="7"/>
        <v>126</v>
      </c>
      <c r="F20" s="19">
        <f t="shared" si="7"/>
        <v>0</v>
      </c>
      <c r="G20" s="19">
        <f t="shared" si="7"/>
        <v>139</v>
      </c>
      <c r="H20" s="19">
        <f t="shared" si="7"/>
        <v>142</v>
      </c>
      <c r="I20" s="19">
        <f t="shared" si="7"/>
        <v>148</v>
      </c>
      <c r="J20" s="19">
        <f t="shared" si="7"/>
        <v>166</v>
      </c>
      <c r="K20" s="19">
        <f t="shared" si="7"/>
        <v>146</v>
      </c>
      <c r="L20" s="19">
        <f t="shared" si="7"/>
        <v>151</v>
      </c>
      <c r="M20" s="19">
        <f t="shared" si="7"/>
        <v>127</v>
      </c>
      <c r="N20" s="19">
        <f t="shared" si="7"/>
        <v>112</v>
      </c>
      <c r="O20" s="19">
        <f t="shared" si="7"/>
        <v>0</v>
      </c>
      <c r="P20" s="19">
        <f t="shared" si="7"/>
        <v>0</v>
      </c>
      <c r="Q20" s="19">
        <f t="shared" si="7"/>
        <v>132</v>
      </c>
      <c r="R20" s="19">
        <f t="shared" si="7"/>
        <v>139</v>
      </c>
      <c r="S20" s="19">
        <f t="shared" si="7"/>
        <v>144</v>
      </c>
      <c r="T20" s="19">
        <f t="shared" si="7"/>
        <v>0</v>
      </c>
      <c r="U20" s="19">
        <f t="shared" si="7"/>
        <v>0</v>
      </c>
      <c r="V20" s="19">
        <f t="shared" si="7"/>
        <v>167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186</v>
      </c>
      <c r="D21" s="19">
        <f>MAX(D$9:D$14)+$I$5</f>
        <v>59</v>
      </c>
      <c r="E21" s="19">
        <f>MAX(E$9:E$14)+$I$5</f>
        <v>185</v>
      </c>
      <c r="F21" s="19">
        <f t="shared" ref="F21:X21" si="8">MAX(F$9:F$14)+E18</f>
        <v>79</v>
      </c>
      <c r="G21" s="19">
        <f t="shared" si="8"/>
        <v>218</v>
      </c>
      <c r="H21" s="19">
        <f t="shared" si="8"/>
        <v>217</v>
      </c>
      <c r="I21" s="19">
        <f t="shared" si="8"/>
        <v>220</v>
      </c>
      <c r="J21" s="19">
        <f t="shared" si="8"/>
        <v>235</v>
      </c>
      <c r="K21" s="19">
        <f t="shared" si="8"/>
        <v>212</v>
      </c>
      <c r="L21" s="19">
        <f t="shared" si="8"/>
        <v>217</v>
      </c>
      <c r="M21" s="19">
        <f t="shared" si="8"/>
        <v>191</v>
      </c>
      <c r="N21" s="19">
        <f t="shared" si="8"/>
        <v>177</v>
      </c>
      <c r="O21" s="19">
        <f t="shared" si="8"/>
        <v>66</v>
      </c>
      <c r="P21" s="19">
        <f t="shared" si="8"/>
        <v>66</v>
      </c>
      <c r="Q21" s="19">
        <f t="shared" si="8"/>
        <v>198</v>
      </c>
      <c r="R21" s="19">
        <f t="shared" si="8"/>
        <v>206</v>
      </c>
      <c r="S21" s="19">
        <f t="shared" si="8"/>
        <v>211</v>
      </c>
      <c r="T21" s="19">
        <f t="shared" si="8"/>
        <v>67</v>
      </c>
      <c r="U21" s="19">
        <f t="shared" si="8"/>
        <v>67</v>
      </c>
      <c r="V21" s="19">
        <f t="shared" si="8"/>
        <v>234</v>
      </c>
      <c r="W21" s="19">
        <f t="shared" si="8"/>
        <v>65</v>
      </c>
      <c r="X21" s="19">
        <f t="shared" si="8"/>
        <v>65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217</v>
      </c>
      <c r="D22" s="19">
        <f t="shared" ref="D22:X22" si="9">MAX(SUM(D$9:D$11),SUM(D$12:D$14))</f>
        <v>0</v>
      </c>
      <c r="E22" s="19">
        <f t="shared" si="9"/>
        <v>230</v>
      </c>
      <c r="F22" s="19">
        <f t="shared" si="9"/>
        <v>0</v>
      </c>
      <c r="G22" s="19">
        <f t="shared" si="9"/>
        <v>368</v>
      </c>
      <c r="H22" s="19">
        <f t="shared" si="9"/>
        <v>387</v>
      </c>
      <c r="I22" s="19">
        <f t="shared" si="9"/>
        <v>404</v>
      </c>
      <c r="J22" s="19">
        <f t="shared" si="9"/>
        <v>415</v>
      </c>
      <c r="K22" s="19">
        <f t="shared" si="9"/>
        <v>395</v>
      </c>
      <c r="L22" s="19">
        <f t="shared" si="9"/>
        <v>418</v>
      </c>
      <c r="M22" s="19">
        <f t="shared" si="9"/>
        <v>367</v>
      </c>
      <c r="N22" s="19">
        <f t="shared" si="9"/>
        <v>209</v>
      </c>
      <c r="O22" s="19">
        <f t="shared" si="9"/>
        <v>0</v>
      </c>
      <c r="P22" s="19">
        <f t="shared" si="9"/>
        <v>0</v>
      </c>
      <c r="Q22" s="19">
        <f t="shared" si="9"/>
        <v>348</v>
      </c>
      <c r="R22" s="19">
        <f t="shared" si="9"/>
        <v>388</v>
      </c>
      <c r="S22" s="19">
        <f t="shared" si="9"/>
        <v>373</v>
      </c>
      <c r="T22" s="19">
        <f t="shared" si="9"/>
        <v>0</v>
      </c>
      <c r="U22" s="19">
        <f t="shared" si="9"/>
        <v>0</v>
      </c>
      <c r="V22" s="19">
        <f t="shared" si="9"/>
        <v>447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394</v>
      </c>
      <c r="D23" s="19">
        <f>MAX(SUM(D$9:D$11),SUM(D$12:D$14))+$I$5*3</f>
        <v>177</v>
      </c>
      <c r="E23" s="19">
        <f>MAX(SUM(E$9:E$11),SUM(E$12:E$14))+$I$5*3</f>
        <v>407</v>
      </c>
      <c r="F23" s="19">
        <f t="shared" ref="F23:X23" si="10">MAX(SUM(F$9:F$11),SUM(F$12:F$14))+E18*3</f>
        <v>237</v>
      </c>
      <c r="G23" s="19">
        <f t="shared" si="10"/>
        <v>605</v>
      </c>
      <c r="H23" s="19">
        <f t="shared" si="10"/>
        <v>612</v>
      </c>
      <c r="I23" s="19">
        <f t="shared" si="10"/>
        <v>620</v>
      </c>
      <c r="J23" s="19">
        <f t="shared" si="10"/>
        <v>622</v>
      </c>
      <c r="K23" s="19">
        <f t="shared" si="10"/>
        <v>593</v>
      </c>
      <c r="L23" s="19">
        <f t="shared" si="10"/>
        <v>616</v>
      </c>
      <c r="M23" s="19">
        <f t="shared" si="10"/>
        <v>559</v>
      </c>
      <c r="N23" s="19">
        <f t="shared" si="10"/>
        <v>404</v>
      </c>
      <c r="O23" s="19">
        <f t="shared" si="10"/>
        <v>198</v>
      </c>
      <c r="P23" s="19">
        <f t="shared" si="10"/>
        <v>198</v>
      </c>
      <c r="Q23" s="19">
        <f t="shared" si="10"/>
        <v>546</v>
      </c>
      <c r="R23" s="19">
        <f t="shared" si="10"/>
        <v>589</v>
      </c>
      <c r="S23" s="19">
        <f t="shared" si="10"/>
        <v>574</v>
      </c>
      <c r="T23" s="19">
        <f t="shared" si="10"/>
        <v>201</v>
      </c>
      <c r="U23" s="19">
        <f t="shared" si="10"/>
        <v>201</v>
      </c>
      <c r="V23" s="19">
        <f t="shared" si="10"/>
        <v>648</v>
      </c>
      <c r="W23" s="19">
        <f t="shared" si="10"/>
        <v>195</v>
      </c>
      <c r="X23" s="19">
        <f t="shared" si="10"/>
        <v>195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127</v>
      </c>
      <c r="D27" s="107">
        <f>MAX($C20:D20)</f>
        <v>127</v>
      </c>
      <c r="E27" s="107">
        <f>MAX($C20:E20)</f>
        <v>127</v>
      </c>
      <c r="F27" s="107">
        <f>MAX($C20:F20)</f>
        <v>127</v>
      </c>
      <c r="G27" s="107">
        <f>MAX($C20:G20)</f>
        <v>139</v>
      </c>
      <c r="H27" s="107">
        <f>MAX($C20:H20)</f>
        <v>142</v>
      </c>
      <c r="I27" s="107">
        <f>MAX($C20:I20)</f>
        <v>148</v>
      </c>
      <c r="J27" s="107">
        <f>MAX($C20:J20)</f>
        <v>166</v>
      </c>
      <c r="K27" s="107">
        <f>MAX($C20:K20)</f>
        <v>166</v>
      </c>
      <c r="L27" s="107">
        <f>MAX($C20:L20)</f>
        <v>166</v>
      </c>
      <c r="M27" s="107">
        <f>MAX($C20:M20)</f>
        <v>166</v>
      </c>
      <c r="N27" s="107">
        <f>MAX($C20:N20)</f>
        <v>166</v>
      </c>
      <c r="O27" s="107">
        <f>MAX($C20:O20)</f>
        <v>166</v>
      </c>
      <c r="P27" s="107">
        <f>MAX($C20:P20)</f>
        <v>166</v>
      </c>
      <c r="Q27" s="107">
        <f>MAX($C20:Q20)</f>
        <v>166</v>
      </c>
      <c r="R27" s="107">
        <f>MAX($C20:R20)</f>
        <v>166</v>
      </c>
      <c r="S27" s="107">
        <f>MAX($C20:S20)</f>
        <v>166</v>
      </c>
      <c r="T27" s="107">
        <f>MAX($C20:T20)</f>
        <v>166</v>
      </c>
      <c r="U27" s="107">
        <f>MAX($C20:U20)</f>
        <v>166</v>
      </c>
      <c r="V27" s="107">
        <f>MAX($C20:V20)</f>
        <v>167</v>
      </c>
      <c r="W27" s="107">
        <f>MAX($C20:W20)</f>
        <v>167</v>
      </c>
      <c r="X27" s="107">
        <f>MAX($C20:X20)</f>
        <v>167</v>
      </c>
    </row>
    <row r="28" spans="1:25" ht="13.15" x14ac:dyDescent="0.4">
      <c r="A28">
        <v>22</v>
      </c>
      <c r="B28" s="151" t="s">
        <v>78</v>
      </c>
      <c r="C28" s="19">
        <f>MAX(C21)</f>
        <v>186</v>
      </c>
      <c r="D28" s="107">
        <f>MAX($C21:D21)</f>
        <v>186</v>
      </c>
      <c r="E28" s="107">
        <f>MAX($C21:E21)</f>
        <v>186</v>
      </c>
      <c r="F28" s="107">
        <f>MAX($C21:F21)</f>
        <v>186</v>
      </c>
      <c r="G28" s="107">
        <f>MAX($C21:G21)</f>
        <v>218</v>
      </c>
      <c r="H28" s="107">
        <f>MAX($C21:H21)</f>
        <v>218</v>
      </c>
      <c r="I28" s="107">
        <f>MAX($C21:I21)</f>
        <v>220</v>
      </c>
      <c r="J28" s="107">
        <f>MAX($C21:J21)</f>
        <v>235</v>
      </c>
      <c r="K28" s="107">
        <f>MAX($C21:K21)</f>
        <v>235</v>
      </c>
      <c r="L28" s="107">
        <f>MAX($C21:L21)</f>
        <v>235</v>
      </c>
      <c r="M28" s="107">
        <f>MAX($C21:M21)</f>
        <v>235</v>
      </c>
      <c r="N28" s="107">
        <f>MAX($C21:N21)</f>
        <v>235</v>
      </c>
      <c r="O28" s="107">
        <f>MAX($C21:O21)</f>
        <v>235</v>
      </c>
      <c r="P28" s="107">
        <f>MAX($C21:P21)</f>
        <v>235</v>
      </c>
      <c r="Q28" s="107">
        <f>MAX($C21:Q21)</f>
        <v>235</v>
      </c>
      <c r="R28" s="107">
        <f>MAX($C21:R21)</f>
        <v>235</v>
      </c>
      <c r="S28" s="107">
        <f>MAX($C21:S21)</f>
        <v>235</v>
      </c>
      <c r="T28" s="107">
        <f>MAX($C21:T21)</f>
        <v>235</v>
      </c>
      <c r="U28" s="107">
        <f>MAX($C21:U21)</f>
        <v>235</v>
      </c>
      <c r="V28" s="107">
        <f>MAX($C21:V21)</f>
        <v>235</v>
      </c>
      <c r="W28" s="107">
        <f>MAX($C21:W21)</f>
        <v>235</v>
      </c>
      <c r="X28" s="107">
        <f>MAX($C21:X21)</f>
        <v>235</v>
      </c>
    </row>
    <row r="29" spans="1:25" ht="26.25" x14ac:dyDescent="0.4">
      <c r="A29">
        <v>23</v>
      </c>
      <c r="B29" s="151" t="s">
        <v>79</v>
      </c>
      <c r="C29" s="19">
        <f>MAX(C22)</f>
        <v>217</v>
      </c>
      <c r="D29" s="107">
        <f>MAX($C22:D22)</f>
        <v>217</v>
      </c>
      <c r="E29" s="107">
        <f>MAX($C22:E22)</f>
        <v>230</v>
      </c>
      <c r="F29" s="107">
        <f>MAX($C22:F22)</f>
        <v>230</v>
      </c>
      <c r="G29" s="107">
        <f>MAX($C22:G22)</f>
        <v>368</v>
      </c>
      <c r="H29" s="107">
        <f>MAX($C22:H22)</f>
        <v>387</v>
      </c>
      <c r="I29" s="107">
        <f>MAX($C22:I22)</f>
        <v>404</v>
      </c>
      <c r="J29" s="107">
        <f>MAX($C22:J22)</f>
        <v>415</v>
      </c>
      <c r="K29" s="107">
        <f>MAX($C22:K22)</f>
        <v>415</v>
      </c>
      <c r="L29" s="107">
        <f>MAX($C22:L22)</f>
        <v>418</v>
      </c>
      <c r="M29" s="107">
        <f>MAX($C22:M22)</f>
        <v>418</v>
      </c>
      <c r="N29" s="107">
        <f>MAX($C22:N22)</f>
        <v>418</v>
      </c>
      <c r="O29" s="107">
        <f>MAX($C22:O22)</f>
        <v>418</v>
      </c>
      <c r="P29" s="107">
        <f>MAX($C22:P22)</f>
        <v>418</v>
      </c>
      <c r="Q29" s="107">
        <f>MAX($C22:Q22)</f>
        <v>418</v>
      </c>
      <c r="R29" s="107">
        <f>MAX($C22:R22)</f>
        <v>418</v>
      </c>
      <c r="S29" s="107">
        <f>MAX($C22:S22)</f>
        <v>418</v>
      </c>
      <c r="T29" s="107">
        <f>MAX($C22:T22)</f>
        <v>418</v>
      </c>
      <c r="U29" s="107">
        <f>MAX($C22:U22)</f>
        <v>418</v>
      </c>
      <c r="V29" s="107">
        <f>MAX($C22:V22)</f>
        <v>447</v>
      </c>
      <c r="W29" s="107">
        <f>MAX($C22:W22)</f>
        <v>447</v>
      </c>
      <c r="X29" s="107">
        <f>MAX($C22:X22)</f>
        <v>447</v>
      </c>
    </row>
    <row r="30" spans="1:25" ht="13.15" x14ac:dyDescent="0.4">
      <c r="A30">
        <v>24</v>
      </c>
      <c r="B30" s="151" t="s">
        <v>80</v>
      </c>
      <c r="C30" s="19">
        <f>MAX(C23)</f>
        <v>394</v>
      </c>
      <c r="D30" s="107">
        <f>MAX($C23:D23)</f>
        <v>394</v>
      </c>
      <c r="E30" s="107">
        <f>MAX($C23:E23)</f>
        <v>407</v>
      </c>
      <c r="F30" s="107">
        <f>MAX($C23:F23)</f>
        <v>407</v>
      </c>
      <c r="G30" s="107">
        <f>MAX($C23:G23)</f>
        <v>605</v>
      </c>
      <c r="H30" s="107">
        <f>MAX($C23:H23)</f>
        <v>612</v>
      </c>
      <c r="I30" s="107">
        <f>MAX($C23:I23)</f>
        <v>620</v>
      </c>
      <c r="J30" s="107">
        <f>MAX($C23:J23)</f>
        <v>622</v>
      </c>
      <c r="K30" s="107">
        <f>MAX($C23:K23)</f>
        <v>622</v>
      </c>
      <c r="L30" s="107">
        <f>MAX($C23:L23)</f>
        <v>622</v>
      </c>
      <c r="M30" s="107">
        <f>MAX($C23:M23)</f>
        <v>622</v>
      </c>
      <c r="N30" s="107">
        <f>MAX($C23:N23)</f>
        <v>622</v>
      </c>
      <c r="O30" s="107">
        <f>MAX($C23:O23)</f>
        <v>622</v>
      </c>
      <c r="P30" s="107">
        <f>MAX($C23:P23)</f>
        <v>622</v>
      </c>
      <c r="Q30" s="107">
        <f>MAX($C23:Q23)</f>
        <v>622</v>
      </c>
      <c r="R30" s="107">
        <f>MAX($C23:R23)</f>
        <v>622</v>
      </c>
      <c r="S30" s="107">
        <f>MAX($C23:S23)</f>
        <v>622</v>
      </c>
      <c r="T30" s="107">
        <f>MAX($C23:T23)</f>
        <v>622</v>
      </c>
      <c r="U30" s="107">
        <f>MAX($C23:U23)</f>
        <v>622</v>
      </c>
      <c r="V30" s="107">
        <f>MAX($C23:V23)</f>
        <v>648</v>
      </c>
      <c r="W30" s="107">
        <f>MAX($C23:W23)</f>
        <v>648</v>
      </c>
      <c r="X30" s="107">
        <f>MAX($C23:X23)</f>
        <v>648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178</v>
      </c>
      <c r="G2" s="203" t="s">
        <v>123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72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62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90</v>
      </c>
      <c r="E9">
        <v>86</v>
      </c>
      <c r="G9">
        <v>152</v>
      </c>
    </row>
    <row r="10" spans="1:24" ht="13.15" x14ac:dyDescent="0.4">
      <c r="A10">
        <v>4</v>
      </c>
      <c r="B10" s="3" t="s">
        <v>15</v>
      </c>
      <c r="D10">
        <v>117</v>
      </c>
      <c r="E10">
        <v>91</v>
      </c>
      <c r="G10">
        <v>146</v>
      </c>
    </row>
    <row r="11" spans="1:24" ht="13.15" x14ac:dyDescent="0.4">
      <c r="A11">
        <v>5</v>
      </c>
      <c r="B11" s="3" t="s">
        <v>16</v>
      </c>
      <c r="D11">
        <v>128</v>
      </c>
      <c r="E11">
        <v>119</v>
      </c>
      <c r="G11">
        <v>152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335</v>
      </c>
      <c r="E15" s="18">
        <f t="shared" si="2"/>
        <v>296</v>
      </c>
      <c r="F15" s="18">
        <f t="shared" si="2"/>
        <v>0</v>
      </c>
      <c r="G15" s="18">
        <f t="shared" si="2"/>
        <v>450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335</v>
      </c>
      <c r="E16" s="19">
        <f t="shared" si="3"/>
        <v>631</v>
      </c>
      <c r="F16" s="19">
        <f t="shared" si="3"/>
        <v>631</v>
      </c>
      <c r="G16" s="19">
        <f t="shared" si="3"/>
        <v>1081</v>
      </c>
      <c r="H16" s="19">
        <f t="shared" si="3"/>
        <v>1081</v>
      </c>
      <c r="I16" s="19">
        <f t="shared" si="3"/>
        <v>1081</v>
      </c>
      <c r="J16" s="19">
        <f t="shared" si="3"/>
        <v>1081</v>
      </c>
      <c r="K16" s="19">
        <f t="shared" si="3"/>
        <v>1081</v>
      </c>
      <c r="L16" s="19">
        <f t="shared" si="3"/>
        <v>1081</v>
      </c>
      <c r="M16" s="19">
        <f t="shared" si="3"/>
        <v>1081</v>
      </c>
      <c r="N16" s="19">
        <f t="shared" si="3"/>
        <v>1081</v>
      </c>
      <c r="O16" s="19">
        <f t="shared" si="3"/>
        <v>1081</v>
      </c>
      <c r="P16" s="19">
        <f t="shared" si="3"/>
        <v>1081</v>
      </c>
      <c r="Q16" s="19">
        <f t="shared" si="3"/>
        <v>1081</v>
      </c>
      <c r="R16" s="19">
        <f t="shared" si="3"/>
        <v>1081</v>
      </c>
      <c r="S16" s="19">
        <f t="shared" si="3"/>
        <v>1081</v>
      </c>
      <c r="T16" s="19">
        <f t="shared" si="3"/>
        <v>1081</v>
      </c>
      <c r="U16" s="19">
        <f t="shared" si="3"/>
        <v>1081</v>
      </c>
      <c r="V16" s="19">
        <f t="shared" si="3"/>
        <v>1081</v>
      </c>
      <c r="W16" s="19">
        <f t="shared" si="3"/>
        <v>1081</v>
      </c>
      <c r="X16" s="19">
        <f t="shared" si="3"/>
        <v>1081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111.66666666666667</v>
      </c>
      <c r="E17" s="20">
        <f t="shared" si="4"/>
        <v>105.16666666666667</v>
      </c>
      <c r="F17" s="20">
        <f t="shared" si="4"/>
        <v>105.16666666666667</v>
      </c>
      <c r="G17" s="20">
        <f t="shared" si="4"/>
        <v>120.11111111111111</v>
      </c>
      <c r="H17" s="20">
        <f t="shared" si="4"/>
        <v>120.11111111111111</v>
      </c>
      <c r="I17" s="20">
        <f t="shared" si="4"/>
        <v>120.11111111111111</v>
      </c>
      <c r="J17" s="20">
        <f t="shared" si="4"/>
        <v>120.11111111111111</v>
      </c>
      <c r="K17" s="20">
        <f t="shared" si="4"/>
        <v>120.11111111111111</v>
      </c>
      <c r="L17" s="20">
        <f t="shared" si="4"/>
        <v>120.11111111111111</v>
      </c>
      <c r="M17" s="20">
        <f t="shared" si="4"/>
        <v>120.11111111111111</v>
      </c>
      <c r="N17" s="20">
        <f t="shared" si="4"/>
        <v>120.11111111111111</v>
      </c>
      <c r="O17" s="20">
        <f t="shared" si="4"/>
        <v>120.11111111111111</v>
      </c>
      <c r="P17" s="20">
        <f t="shared" si="4"/>
        <v>120.11111111111111</v>
      </c>
      <c r="Q17" s="20">
        <f t="shared" si="4"/>
        <v>120.11111111111111</v>
      </c>
      <c r="R17" s="20">
        <f t="shared" si="4"/>
        <v>120.11111111111111</v>
      </c>
      <c r="S17" s="20">
        <f t="shared" si="4"/>
        <v>120.11111111111111</v>
      </c>
      <c r="T17" s="20">
        <f t="shared" si="4"/>
        <v>120.11111111111111</v>
      </c>
      <c r="U17" s="20">
        <f t="shared" si="4"/>
        <v>120.11111111111111</v>
      </c>
      <c r="V17" s="20">
        <f t="shared" si="4"/>
        <v>120.11111111111111</v>
      </c>
      <c r="W17" s="20">
        <f t="shared" si="4"/>
        <v>120.11111111111111</v>
      </c>
      <c r="X17" s="20">
        <f t="shared" si="4"/>
        <v>120.11111111111111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80</v>
      </c>
      <c r="E18" s="19">
        <f t="shared" si="5"/>
        <v>85</v>
      </c>
      <c r="F18" s="19">
        <f t="shared" si="5"/>
        <v>85</v>
      </c>
      <c r="G18" s="19">
        <f t="shared" si="5"/>
        <v>72</v>
      </c>
      <c r="H18" s="19">
        <f t="shared" si="5"/>
        <v>72</v>
      </c>
      <c r="I18" s="19">
        <f t="shared" si="5"/>
        <v>72</v>
      </c>
      <c r="J18" s="19">
        <f t="shared" si="5"/>
        <v>72</v>
      </c>
      <c r="K18" s="19">
        <f t="shared" si="5"/>
        <v>72</v>
      </c>
      <c r="L18" s="19">
        <f t="shared" si="5"/>
        <v>72</v>
      </c>
      <c r="M18" s="19">
        <f t="shared" si="5"/>
        <v>72</v>
      </c>
      <c r="N18" s="19">
        <f t="shared" si="5"/>
        <v>72</v>
      </c>
      <c r="O18" s="19">
        <f t="shared" si="5"/>
        <v>72</v>
      </c>
      <c r="P18" s="19">
        <f t="shared" si="5"/>
        <v>72</v>
      </c>
      <c r="Q18" s="19">
        <f t="shared" si="5"/>
        <v>72</v>
      </c>
      <c r="R18" s="19">
        <f t="shared" si="5"/>
        <v>72</v>
      </c>
      <c r="S18" s="19">
        <f t="shared" si="5"/>
        <v>72</v>
      </c>
      <c r="T18" s="19">
        <f t="shared" si="5"/>
        <v>72</v>
      </c>
      <c r="U18" s="19">
        <f t="shared" si="5"/>
        <v>72</v>
      </c>
      <c r="V18" s="19">
        <f t="shared" si="5"/>
        <v>72</v>
      </c>
      <c r="W18" s="19">
        <f t="shared" si="5"/>
        <v>72</v>
      </c>
      <c r="X18" s="19">
        <f t="shared" si="5"/>
        <v>72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6</v>
      </c>
      <c r="G19" s="19">
        <f t="shared" si="6"/>
        <v>9</v>
      </c>
      <c r="H19" s="19">
        <f t="shared" si="6"/>
        <v>9</v>
      </c>
      <c r="I19" s="19">
        <f t="shared" si="6"/>
        <v>9</v>
      </c>
      <c r="J19" s="19">
        <f t="shared" si="6"/>
        <v>9</v>
      </c>
      <c r="K19" s="19">
        <f t="shared" si="6"/>
        <v>9</v>
      </c>
      <c r="L19" s="19">
        <f t="shared" si="6"/>
        <v>9</v>
      </c>
      <c r="M19" s="19">
        <f t="shared" si="6"/>
        <v>9</v>
      </c>
      <c r="N19" s="19">
        <f t="shared" si="6"/>
        <v>9</v>
      </c>
      <c r="O19" s="19">
        <f t="shared" si="6"/>
        <v>9</v>
      </c>
      <c r="P19" s="19">
        <f t="shared" si="6"/>
        <v>9</v>
      </c>
      <c r="Q19" s="19">
        <f t="shared" si="6"/>
        <v>9</v>
      </c>
      <c r="R19" s="19">
        <f t="shared" si="6"/>
        <v>9</v>
      </c>
      <c r="S19" s="19">
        <f t="shared" si="6"/>
        <v>9</v>
      </c>
      <c r="T19" s="19">
        <f t="shared" si="6"/>
        <v>9</v>
      </c>
      <c r="U19" s="19">
        <f t="shared" si="6"/>
        <v>9</v>
      </c>
      <c r="V19" s="19">
        <f t="shared" si="6"/>
        <v>9</v>
      </c>
      <c r="W19" s="19">
        <f t="shared" si="6"/>
        <v>9</v>
      </c>
      <c r="X19" s="19">
        <f t="shared" si="6"/>
        <v>9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128</v>
      </c>
      <c r="E20" s="19">
        <f t="shared" si="7"/>
        <v>119</v>
      </c>
      <c r="F20" s="19">
        <f t="shared" si="7"/>
        <v>0</v>
      </c>
      <c r="G20" s="19">
        <f t="shared" si="7"/>
        <v>152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62</v>
      </c>
      <c r="D21" s="19">
        <f>MAX(D$9:D$14)+$I$5</f>
        <v>190</v>
      </c>
      <c r="E21" s="19">
        <f>MAX(E$9:E$14)+$I$5</f>
        <v>181</v>
      </c>
      <c r="F21" s="19">
        <f t="shared" ref="F21:X21" si="8">MAX(F$9:F$14)+E18</f>
        <v>85</v>
      </c>
      <c r="G21" s="19">
        <f t="shared" si="8"/>
        <v>237</v>
      </c>
      <c r="H21" s="19">
        <f t="shared" si="8"/>
        <v>72</v>
      </c>
      <c r="I21" s="19">
        <f t="shared" si="8"/>
        <v>72</v>
      </c>
      <c r="J21" s="19">
        <f t="shared" si="8"/>
        <v>72</v>
      </c>
      <c r="K21" s="19">
        <f t="shared" si="8"/>
        <v>72</v>
      </c>
      <c r="L21" s="19">
        <f t="shared" si="8"/>
        <v>72</v>
      </c>
      <c r="M21" s="19">
        <f t="shared" si="8"/>
        <v>72</v>
      </c>
      <c r="N21" s="19">
        <f t="shared" si="8"/>
        <v>72</v>
      </c>
      <c r="O21" s="19">
        <f t="shared" si="8"/>
        <v>72</v>
      </c>
      <c r="P21" s="19">
        <f t="shared" si="8"/>
        <v>72</v>
      </c>
      <c r="Q21" s="19">
        <f t="shared" si="8"/>
        <v>72</v>
      </c>
      <c r="R21" s="19">
        <f t="shared" si="8"/>
        <v>72</v>
      </c>
      <c r="S21" s="19">
        <f t="shared" si="8"/>
        <v>72</v>
      </c>
      <c r="T21" s="19">
        <f t="shared" si="8"/>
        <v>72</v>
      </c>
      <c r="U21" s="19">
        <f t="shared" si="8"/>
        <v>72</v>
      </c>
      <c r="V21" s="19">
        <f t="shared" si="8"/>
        <v>72</v>
      </c>
      <c r="W21" s="19">
        <f t="shared" si="8"/>
        <v>72</v>
      </c>
      <c r="X21" s="19">
        <f t="shared" si="8"/>
        <v>72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335</v>
      </c>
      <c r="E22" s="19">
        <f t="shared" si="9"/>
        <v>296</v>
      </c>
      <c r="F22" s="19">
        <f t="shared" si="9"/>
        <v>0</v>
      </c>
      <c r="G22" s="19">
        <f t="shared" si="9"/>
        <v>450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186</v>
      </c>
      <c r="D23" s="19">
        <f>MAX(SUM(D$9:D$11),SUM(D$12:D$14))+$I$5*3</f>
        <v>521</v>
      </c>
      <c r="E23" s="19">
        <f>MAX(SUM(E$9:E$11),SUM(E$12:E$14))+$I$5*3</f>
        <v>482</v>
      </c>
      <c r="F23" s="19">
        <f t="shared" ref="F23:X23" si="10">MAX(SUM(F$9:F$11),SUM(F$12:F$14))+E18*3</f>
        <v>255</v>
      </c>
      <c r="G23" s="19">
        <f t="shared" si="10"/>
        <v>705</v>
      </c>
      <c r="H23" s="19">
        <f t="shared" si="10"/>
        <v>216</v>
      </c>
      <c r="I23" s="19">
        <f t="shared" si="10"/>
        <v>216</v>
      </c>
      <c r="J23" s="19">
        <f t="shared" si="10"/>
        <v>216</v>
      </c>
      <c r="K23" s="19">
        <f t="shared" si="10"/>
        <v>216</v>
      </c>
      <c r="L23" s="19">
        <f t="shared" si="10"/>
        <v>216</v>
      </c>
      <c r="M23" s="19">
        <f t="shared" si="10"/>
        <v>216</v>
      </c>
      <c r="N23" s="19">
        <f t="shared" si="10"/>
        <v>216</v>
      </c>
      <c r="O23" s="19">
        <f t="shared" si="10"/>
        <v>216</v>
      </c>
      <c r="P23" s="19">
        <f t="shared" si="10"/>
        <v>216</v>
      </c>
      <c r="Q23" s="19">
        <f t="shared" si="10"/>
        <v>216</v>
      </c>
      <c r="R23" s="19">
        <f t="shared" si="10"/>
        <v>216</v>
      </c>
      <c r="S23" s="19">
        <f t="shared" si="10"/>
        <v>216</v>
      </c>
      <c r="T23" s="19">
        <f t="shared" si="10"/>
        <v>216</v>
      </c>
      <c r="U23" s="19">
        <f t="shared" si="10"/>
        <v>216</v>
      </c>
      <c r="V23" s="19">
        <f t="shared" si="10"/>
        <v>216</v>
      </c>
      <c r="W23" s="19">
        <f t="shared" si="10"/>
        <v>216</v>
      </c>
      <c r="X23" s="19">
        <f t="shared" si="10"/>
        <v>216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128</v>
      </c>
      <c r="E27" s="107">
        <f>MAX($C20:E20)</f>
        <v>128</v>
      </c>
      <c r="F27" s="107">
        <f>MAX($C20:F20)</f>
        <v>128</v>
      </c>
      <c r="G27" s="107">
        <f>MAX($C20:G20)</f>
        <v>152</v>
      </c>
      <c r="H27" s="107">
        <f>MAX($C20:H20)</f>
        <v>152</v>
      </c>
      <c r="I27" s="107">
        <f>MAX($C20:I20)</f>
        <v>152</v>
      </c>
      <c r="J27" s="107">
        <f>MAX($C20:J20)</f>
        <v>152</v>
      </c>
      <c r="K27" s="107">
        <f>MAX($C20:K20)</f>
        <v>152</v>
      </c>
      <c r="L27" s="107">
        <f>MAX($C20:L20)</f>
        <v>152</v>
      </c>
      <c r="M27" s="107">
        <f>MAX($C20:M20)</f>
        <v>152</v>
      </c>
      <c r="N27" s="107">
        <f>MAX($C20:N20)</f>
        <v>152</v>
      </c>
      <c r="O27" s="107">
        <f>MAX($C20:O20)</f>
        <v>152</v>
      </c>
      <c r="P27" s="107">
        <f>MAX($C20:P20)</f>
        <v>152</v>
      </c>
      <c r="Q27" s="107">
        <f>MAX($C20:Q20)</f>
        <v>152</v>
      </c>
      <c r="R27" s="107">
        <f>MAX($C20:R20)</f>
        <v>152</v>
      </c>
      <c r="S27" s="107">
        <f>MAX($C20:S20)</f>
        <v>152</v>
      </c>
      <c r="T27" s="107">
        <f>MAX($C20:T20)</f>
        <v>152</v>
      </c>
      <c r="U27" s="107">
        <f>MAX($C20:U20)</f>
        <v>152</v>
      </c>
      <c r="V27" s="107">
        <f>MAX($C20:V20)</f>
        <v>152</v>
      </c>
      <c r="W27" s="107">
        <f>MAX($C20:W20)</f>
        <v>152</v>
      </c>
      <c r="X27" s="107">
        <f>MAX($C20:X20)</f>
        <v>152</v>
      </c>
    </row>
    <row r="28" spans="1:25" ht="13.15" x14ac:dyDescent="0.4">
      <c r="A28">
        <v>22</v>
      </c>
      <c r="B28" s="151" t="s">
        <v>78</v>
      </c>
      <c r="C28" s="19">
        <f>MAX(C21)</f>
        <v>62</v>
      </c>
      <c r="D28" s="107">
        <f>MAX($C21:D21)</f>
        <v>190</v>
      </c>
      <c r="E28" s="107">
        <f>MAX($C21:E21)</f>
        <v>190</v>
      </c>
      <c r="F28" s="107">
        <f>MAX($C21:F21)</f>
        <v>190</v>
      </c>
      <c r="G28" s="107">
        <f>MAX($C21:G21)</f>
        <v>237</v>
      </c>
      <c r="H28" s="107">
        <f>MAX($C21:H21)</f>
        <v>237</v>
      </c>
      <c r="I28" s="107">
        <f>MAX($C21:I21)</f>
        <v>237</v>
      </c>
      <c r="J28" s="107">
        <f>MAX($C21:J21)</f>
        <v>237</v>
      </c>
      <c r="K28" s="107">
        <f>MAX($C21:K21)</f>
        <v>237</v>
      </c>
      <c r="L28" s="107">
        <f>MAX($C21:L21)</f>
        <v>237</v>
      </c>
      <c r="M28" s="107">
        <f>MAX($C21:M21)</f>
        <v>237</v>
      </c>
      <c r="N28" s="107">
        <f>MAX($C21:N21)</f>
        <v>237</v>
      </c>
      <c r="O28" s="107">
        <f>MAX($C21:O21)</f>
        <v>237</v>
      </c>
      <c r="P28" s="107">
        <f>MAX($C21:P21)</f>
        <v>237</v>
      </c>
      <c r="Q28" s="107">
        <f>MAX($C21:Q21)</f>
        <v>237</v>
      </c>
      <c r="R28" s="107">
        <f>MAX($C21:R21)</f>
        <v>237</v>
      </c>
      <c r="S28" s="107">
        <f>MAX($C21:S21)</f>
        <v>237</v>
      </c>
      <c r="T28" s="107">
        <f>MAX($C21:T21)</f>
        <v>237</v>
      </c>
      <c r="U28" s="107">
        <f>MAX($C21:U21)</f>
        <v>237</v>
      </c>
      <c r="V28" s="107">
        <f>MAX($C21:V21)</f>
        <v>237</v>
      </c>
      <c r="W28" s="107">
        <f>MAX($C21:W21)</f>
        <v>237</v>
      </c>
      <c r="X28" s="107">
        <f>MAX($C21:X21)</f>
        <v>237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335</v>
      </c>
      <c r="E29" s="107">
        <f>MAX($C22:E22)</f>
        <v>335</v>
      </c>
      <c r="F29" s="107">
        <f>MAX($C22:F22)</f>
        <v>335</v>
      </c>
      <c r="G29" s="107">
        <f>MAX($C22:G22)</f>
        <v>450</v>
      </c>
      <c r="H29" s="107">
        <f>MAX($C22:H22)</f>
        <v>450</v>
      </c>
      <c r="I29" s="107">
        <f>MAX($C22:I22)</f>
        <v>450</v>
      </c>
      <c r="J29" s="107">
        <f>MAX($C22:J22)</f>
        <v>450</v>
      </c>
      <c r="K29" s="107">
        <f>MAX($C22:K22)</f>
        <v>450</v>
      </c>
      <c r="L29" s="107">
        <f>MAX($C22:L22)</f>
        <v>450</v>
      </c>
      <c r="M29" s="107">
        <f>MAX($C22:M22)</f>
        <v>450</v>
      </c>
      <c r="N29" s="107">
        <f>MAX($C22:N22)</f>
        <v>450</v>
      </c>
      <c r="O29" s="107">
        <f>MAX($C22:O22)</f>
        <v>450</v>
      </c>
      <c r="P29" s="107">
        <f>MAX($C22:P22)</f>
        <v>450</v>
      </c>
      <c r="Q29" s="107">
        <f>MAX($C22:Q22)</f>
        <v>450</v>
      </c>
      <c r="R29" s="107">
        <f>MAX($C22:R22)</f>
        <v>450</v>
      </c>
      <c r="S29" s="107">
        <f>MAX($C22:S22)</f>
        <v>450</v>
      </c>
      <c r="T29" s="107">
        <f>MAX($C22:T22)</f>
        <v>450</v>
      </c>
      <c r="U29" s="107">
        <f>MAX($C22:U22)</f>
        <v>450</v>
      </c>
      <c r="V29" s="107">
        <f>MAX($C22:V22)</f>
        <v>450</v>
      </c>
      <c r="W29" s="107">
        <f>MAX($C22:W22)</f>
        <v>450</v>
      </c>
      <c r="X29" s="107">
        <f>MAX($C22:X22)</f>
        <v>450</v>
      </c>
    </row>
    <row r="30" spans="1:25" ht="13.15" x14ac:dyDescent="0.4">
      <c r="A30">
        <v>24</v>
      </c>
      <c r="B30" s="151" t="s">
        <v>80</v>
      </c>
      <c r="C30" s="19">
        <f>MAX(C23)</f>
        <v>186</v>
      </c>
      <c r="D30" s="107">
        <f>MAX($C23:D23)</f>
        <v>521</v>
      </c>
      <c r="E30" s="107">
        <f>MAX($C23:E23)</f>
        <v>521</v>
      </c>
      <c r="F30" s="107">
        <f>MAX($C23:F23)</f>
        <v>521</v>
      </c>
      <c r="G30" s="107">
        <f>MAX($C23:G23)</f>
        <v>705</v>
      </c>
      <c r="H30" s="107">
        <f>MAX($C23:H23)</f>
        <v>705</v>
      </c>
      <c r="I30" s="107">
        <f>MAX($C23:I23)</f>
        <v>705</v>
      </c>
      <c r="J30" s="107">
        <f>MAX($C23:J23)</f>
        <v>705</v>
      </c>
      <c r="K30" s="107">
        <f>MAX($C23:K23)</f>
        <v>705</v>
      </c>
      <c r="L30" s="107">
        <f>MAX($C23:L23)</f>
        <v>705</v>
      </c>
      <c r="M30" s="107">
        <f>MAX($C23:M23)</f>
        <v>705</v>
      </c>
      <c r="N30" s="107">
        <f>MAX($C23:N23)</f>
        <v>705</v>
      </c>
      <c r="O30" s="107">
        <f>MAX($C23:O23)</f>
        <v>705</v>
      </c>
      <c r="P30" s="107">
        <f>MAX($C23:P23)</f>
        <v>705</v>
      </c>
      <c r="Q30" s="107">
        <f>MAX($C23:Q23)</f>
        <v>705</v>
      </c>
      <c r="R30" s="107">
        <f>MAX($C23:R23)</f>
        <v>705</v>
      </c>
      <c r="S30" s="107">
        <f>MAX($C23:S23)</f>
        <v>705</v>
      </c>
      <c r="T30" s="107">
        <f>MAX($C23:T23)</f>
        <v>705</v>
      </c>
      <c r="U30" s="107">
        <f>MAX($C23:U23)</f>
        <v>705</v>
      </c>
      <c r="V30" s="107">
        <f>MAX($C23:V23)</f>
        <v>705</v>
      </c>
      <c r="W30" s="107">
        <f>MAX($C23:W23)</f>
        <v>705</v>
      </c>
      <c r="X30" s="107">
        <f>MAX($C23:X23)</f>
        <v>705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275</v>
      </c>
      <c r="G2" s="203" t="s">
        <v>83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70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70</v>
      </c>
      <c r="D21" s="19">
        <f t="shared" si="8"/>
        <v>70</v>
      </c>
      <c r="E21" s="19">
        <f t="shared" si="8"/>
        <v>70</v>
      </c>
      <c r="F21" s="19">
        <f t="shared" si="8"/>
        <v>70</v>
      </c>
      <c r="G21" s="19">
        <f t="shared" si="8"/>
        <v>70</v>
      </c>
      <c r="H21" s="19">
        <f t="shared" si="8"/>
        <v>70</v>
      </c>
      <c r="I21" s="19">
        <f t="shared" si="8"/>
        <v>70</v>
      </c>
      <c r="J21" s="19">
        <f t="shared" si="8"/>
        <v>70</v>
      </c>
      <c r="K21" s="19">
        <f t="shared" si="8"/>
        <v>70</v>
      </c>
      <c r="L21" s="19">
        <f t="shared" si="8"/>
        <v>70</v>
      </c>
      <c r="M21" s="19">
        <f t="shared" si="8"/>
        <v>70</v>
      </c>
      <c r="N21" s="19">
        <f t="shared" si="8"/>
        <v>70</v>
      </c>
      <c r="O21" s="19">
        <f t="shared" si="8"/>
        <v>70</v>
      </c>
      <c r="P21" s="19">
        <f t="shared" si="8"/>
        <v>70</v>
      </c>
      <c r="Q21" s="19">
        <f t="shared" si="8"/>
        <v>70</v>
      </c>
      <c r="R21" s="19">
        <f t="shared" si="8"/>
        <v>70</v>
      </c>
      <c r="S21" s="19">
        <f t="shared" si="8"/>
        <v>70</v>
      </c>
      <c r="T21" s="19">
        <f t="shared" si="8"/>
        <v>70</v>
      </c>
      <c r="U21" s="19">
        <f t="shared" si="8"/>
        <v>70</v>
      </c>
      <c r="V21" s="19">
        <f t="shared" si="8"/>
        <v>70</v>
      </c>
      <c r="W21" s="19">
        <f t="shared" si="8"/>
        <v>70</v>
      </c>
      <c r="X21" s="19">
        <f t="shared" si="8"/>
        <v>70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210</v>
      </c>
      <c r="D23" s="19">
        <f t="shared" ref="D23:X23" si="10">MAX(SUM(D$9:D$11),SUM(D$12:D$14))+$I$5*3</f>
        <v>210</v>
      </c>
      <c r="E23" s="19">
        <f t="shared" si="10"/>
        <v>210</v>
      </c>
      <c r="F23" s="19">
        <f t="shared" si="10"/>
        <v>210</v>
      </c>
      <c r="G23" s="19">
        <f t="shared" si="10"/>
        <v>210</v>
      </c>
      <c r="H23" s="19">
        <f t="shared" si="10"/>
        <v>210</v>
      </c>
      <c r="I23" s="19">
        <f t="shared" si="10"/>
        <v>210</v>
      </c>
      <c r="J23" s="19">
        <f t="shared" si="10"/>
        <v>210</v>
      </c>
      <c r="K23" s="19">
        <f t="shared" si="10"/>
        <v>210</v>
      </c>
      <c r="L23" s="19">
        <f t="shared" si="10"/>
        <v>210</v>
      </c>
      <c r="M23" s="19">
        <f t="shared" si="10"/>
        <v>210</v>
      </c>
      <c r="N23" s="19">
        <f t="shared" si="10"/>
        <v>210</v>
      </c>
      <c r="O23" s="19">
        <f t="shared" si="10"/>
        <v>210</v>
      </c>
      <c r="P23" s="19">
        <f t="shared" si="10"/>
        <v>210</v>
      </c>
      <c r="Q23" s="19">
        <f t="shared" si="10"/>
        <v>210</v>
      </c>
      <c r="R23" s="19">
        <f t="shared" si="10"/>
        <v>210</v>
      </c>
      <c r="S23" s="19">
        <f t="shared" si="10"/>
        <v>210</v>
      </c>
      <c r="T23" s="19">
        <f t="shared" si="10"/>
        <v>210</v>
      </c>
      <c r="U23" s="19">
        <f t="shared" si="10"/>
        <v>210</v>
      </c>
      <c r="V23" s="19">
        <f t="shared" si="10"/>
        <v>210</v>
      </c>
      <c r="W23" s="19">
        <f t="shared" si="10"/>
        <v>210</v>
      </c>
      <c r="X23" s="19">
        <f t="shared" si="10"/>
        <v>210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70</v>
      </c>
      <c r="D28" s="107">
        <f>MAX($C21:D21)</f>
        <v>70</v>
      </c>
      <c r="E28" s="107">
        <f>MAX($C21:E21)</f>
        <v>70</v>
      </c>
      <c r="F28" s="107">
        <f>MAX($C21:F21)</f>
        <v>70</v>
      </c>
      <c r="G28" s="107">
        <f>MAX($C21:G21)</f>
        <v>70</v>
      </c>
      <c r="H28" s="107">
        <f>MAX($C21:H21)</f>
        <v>70</v>
      </c>
      <c r="I28" s="107">
        <f>MAX($C21:I21)</f>
        <v>70</v>
      </c>
      <c r="J28" s="107">
        <f>MAX($C21:J21)</f>
        <v>70</v>
      </c>
      <c r="K28" s="107">
        <f>MAX($C21:K21)</f>
        <v>70</v>
      </c>
      <c r="L28" s="107">
        <f>MAX($C21:L21)</f>
        <v>70</v>
      </c>
      <c r="M28" s="107">
        <f>MAX($C21:M21)</f>
        <v>70</v>
      </c>
      <c r="N28" s="107">
        <f>MAX($C21:N21)</f>
        <v>70</v>
      </c>
      <c r="O28" s="107">
        <f>MAX($C21:O21)</f>
        <v>70</v>
      </c>
      <c r="P28" s="107">
        <f>MAX($C21:P21)</f>
        <v>70</v>
      </c>
      <c r="Q28" s="107">
        <f>MAX($C21:Q21)</f>
        <v>70</v>
      </c>
      <c r="R28" s="107">
        <f>MAX($C21:R21)</f>
        <v>70</v>
      </c>
      <c r="S28" s="107">
        <f>MAX($C21:S21)</f>
        <v>70</v>
      </c>
      <c r="T28" s="107">
        <f>MAX($C21:T21)</f>
        <v>70</v>
      </c>
      <c r="U28" s="107">
        <f>MAX($C21:U21)</f>
        <v>70</v>
      </c>
      <c r="V28" s="107">
        <f>MAX($C21:V21)</f>
        <v>70</v>
      </c>
      <c r="W28" s="107">
        <f>MAX($C21:W21)</f>
        <v>70</v>
      </c>
      <c r="X28" s="107">
        <f>MAX($C21:X21)</f>
        <v>70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210</v>
      </c>
      <c r="D30" s="107">
        <f>MAX($C23:D23)</f>
        <v>210</v>
      </c>
      <c r="E30" s="107">
        <f>MAX($C23:E23)</f>
        <v>210</v>
      </c>
      <c r="F30" s="107">
        <f>MAX($C23:F23)</f>
        <v>210</v>
      </c>
      <c r="G30" s="107">
        <f>MAX($C23:G23)</f>
        <v>210</v>
      </c>
      <c r="H30" s="107">
        <f>MAX($C23:H23)</f>
        <v>210</v>
      </c>
      <c r="I30" s="107">
        <f>MAX($C23:I23)</f>
        <v>210</v>
      </c>
      <c r="J30" s="107">
        <f>MAX($C23:J23)</f>
        <v>210</v>
      </c>
      <c r="K30" s="107">
        <f>MAX($C23:K23)</f>
        <v>210</v>
      </c>
      <c r="L30" s="107">
        <f>MAX($C23:L23)</f>
        <v>210</v>
      </c>
      <c r="M30" s="107">
        <f>MAX($C23:M23)</f>
        <v>210</v>
      </c>
      <c r="N30" s="107">
        <f>MAX($C23:N23)</f>
        <v>210</v>
      </c>
      <c r="O30" s="107">
        <f>MAX($C23:O23)</f>
        <v>210</v>
      </c>
      <c r="P30" s="107">
        <f>MAX($C23:P23)</f>
        <v>210</v>
      </c>
      <c r="Q30" s="107">
        <f>MAX($C23:Q23)</f>
        <v>210</v>
      </c>
      <c r="R30" s="107">
        <f>MAX($C23:R23)</f>
        <v>210</v>
      </c>
      <c r="S30" s="107">
        <f>MAX($C23:S23)</f>
        <v>210</v>
      </c>
      <c r="T30" s="107">
        <f>MAX($C23:T23)</f>
        <v>210</v>
      </c>
      <c r="U30" s="107">
        <f>MAX($C23:U23)</f>
        <v>210</v>
      </c>
      <c r="V30" s="107">
        <f>MAX($C23:V23)</f>
        <v>210</v>
      </c>
      <c r="W30" s="107">
        <f>MAX($C23:W23)</f>
        <v>210</v>
      </c>
      <c r="X30" s="107">
        <f>MAX($C23:X23)</f>
        <v>210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208</v>
      </c>
      <c r="G2" s="203" t="s">
        <v>209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 t="e">
        <f>+X18</f>
        <v>#DIV/0!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55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</row>
    <row r="10" spans="1:24" ht="13.15" x14ac:dyDescent="0.4">
      <c r="A10">
        <v>4</v>
      </c>
      <c r="B10" s="3" t="s">
        <v>15</v>
      </c>
    </row>
    <row r="11" spans="1:24" ht="13.15" x14ac:dyDescent="0.4">
      <c r="A11">
        <v>5</v>
      </c>
      <c r="B11" s="3" t="s">
        <v>16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0</v>
      </c>
      <c r="K16" s="19">
        <f t="shared" si="3"/>
        <v>0</v>
      </c>
      <c r="L16" s="19">
        <f t="shared" si="3"/>
        <v>0</v>
      </c>
      <c r="M16" s="19">
        <f t="shared" si="3"/>
        <v>0</v>
      </c>
      <c r="N16" s="19">
        <f t="shared" si="3"/>
        <v>0</v>
      </c>
      <c r="O16" s="19">
        <f t="shared" si="3"/>
        <v>0</v>
      </c>
      <c r="P16" s="19">
        <f t="shared" si="3"/>
        <v>0</v>
      </c>
      <c r="Q16" s="19">
        <f t="shared" si="3"/>
        <v>0</v>
      </c>
      <c r="R16" s="19">
        <f t="shared" si="3"/>
        <v>0</v>
      </c>
      <c r="S16" s="19">
        <f t="shared" si="3"/>
        <v>0</v>
      </c>
      <c r="T16" s="19">
        <f t="shared" si="3"/>
        <v>0</v>
      </c>
      <c r="U16" s="19">
        <f t="shared" si="3"/>
        <v>0</v>
      </c>
      <c r="V16" s="19">
        <f t="shared" si="3"/>
        <v>0</v>
      </c>
      <c r="W16" s="19">
        <f t="shared" si="3"/>
        <v>0</v>
      </c>
      <c r="X16" s="19">
        <f t="shared" si="3"/>
        <v>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 t="e">
        <f t="shared" si="4"/>
        <v>#DIV/0!</v>
      </c>
      <c r="K17" s="20" t="e">
        <f t="shared" si="4"/>
        <v>#DIV/0!</v>
      </c>
      <c r="L17" s="20" t="e">
        <f t="shared" si="4"/>
        <v>#DIV/0!</v>
      </c>
      <c r="M17" s="20" t="e">
        <f t="shared" si="4"/>
        <v>#DIV/0!</v>
      </c>
      <c r="N17" s="20" t="e">
        <f t="shared" si="4"/>
        <v>#DIV/0!</v>
      </c>
      <c r="O17" s="20" t="e">
        <f t="shared" si="4"/>
        <v>#DIV/0!</v>
      </c>
      <c r="P17" s="20" t="e">
        <f t="shared" si="4"/>
        <v>#DIV/0!</v>
      </c>
      <c r="Q17" s="20" t="e">
        <f t="shared" si="4"/>
        <v>#DIV/0!</v>
      </c>
      <c r="R17" s="20" t="e">
        <f t="shared" si="4"/>
        <v>#DIV/0!</v>
      </c>
      <c r="S17" s="20" t="e">
        <f t="shared" si="4"/>
        <v>#DIV/0!</v>
      </c>
      <c r="T17" s="20" t="e">
        <f t="shared" si="4"/>
        <v>#DIV/0!</v>
      </c>
      <c r="U17" s="20" t="e">
        <f t="shared" si="4"/>
        <v>#DIV/0!</v>
      </c>
      <c r="V17" s="20" t="e">
        <f t="shared" si="4"/>
        <v>#DIV/0!</v>
      </c>
      <c r="W17" s="20" t="e">
        <f t="shared" si="4"/>
        <v>#DIV/0!</v>
      </c>
      <c r="X17" s="20" t="e">
        <f t="shared" si="4"/>
        <v>#DIV/0!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 t="e">
        <f t="shared" si="5"/>
        <v>#DIV/0!</v>
      </c>
      <c r="K18" s="19" t="e">
        <f t="shared" si="5"/>
        <v>#DIV/0!</v>
      </c>
      <c r="L18" s="19" t="e">
        <f t="shared" si="5"/>
        <v>#DIV/0!</v>
      </c>
      <c r="M18" s="19" t="e">
        <f t="shared" si="5"/>
        <v>#DIV/0!</v>
      </c>
      <c r="N18" s="19" t="e">
        <f t="shared" si="5"/>
        <v>#DIV/0!</v>
      </c>
      <c r="O18" s="19" t="e">
        <f t="shared" si="5"/>
        <v>#DIV/0!</v>
      </c>
      <c r="P18" s="19" t="e">
        <f t="shared" si="5"/>
        <v>#DIV/0!</v>
      </c>
      <c r="Q18" s="19" t="e">
        <f t="shared" si="5"/>
        <v>#DIV/0!</v>
      </c>
      <c r="R18" s="19" t="e">
        <f t="shared" si="5"/>
        <v>#DIV/0!</v>
      </c>
      <c r="S18" s="19" t="e">
        <f t="shared" si="5"/>
        <v>#DIV/0!</v>
      </c>
      <c r="T18" s="19" t="e">
        <f t="shared" si="5"/>
        <v>#DIV/0!</v>
      </c>
      <c r="U18" s="19" t="e">
        <f t="shared" si="5"/>
        <v>#DIV/0!</v>
      </c>
      <c r="V18" s="19" t="e">
        <f t="shared" si="5"/>
        <v>#DIV/0!</v>
      </c>
      <c r="W18" s="19" t="e">
        <f t="shared" si="5"/>
        <v>#DIV/0!</v>
      </c>
      <c r="X18" s="19" t="e">
        <f t="shared" si="5"/>
        <v>#DIV/0!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0</v>
      </c>
      <c r="K19" s="19">
        <f t="shared" si="6"/>
        <v>0</v>
      </c>
      <c r="L19" s="19">
        <f t="shared" si="6"/>
        <v>0</v>
      </c>
      <c r="M19" s="19">
        <f t="shared" si="6"/>
        <v>0</v>
      </c>
      <c r="N19" s="19">
        <f t="shared" si="6"/>
        <v>0</v>
      </c>
      <c r="O19" s="19">
        <f t="shared" si="6"/>
        <v>0</v>
      </c>
      <c r="P19" s="19">
        <f t="shared" si="6"/>
        <v>0</v>
      </c>
      <c r="Q19" s="19">
        <f t="shared" si="6"/>
        <v>0</v>
      </c>
      <c r="R19" s="19">
        <f t="shared" si="6"/>
        <v>0</v>
      </c>
      <c r="S19" s="19">
        <f t="shared" si="6"/>
        <v>0</v>
      </c>
      <c r="T19" s="19">
        <f t="shared" si="6"/>
        <v>0</v>
      </c>
      <c r="U19" s="19">
        <f t="shared" si="6"/>
        <v>0</v>
      </c>
      <c r="V19" s="19">
        <f t="shared" si="6"/>
        <v>0</v>
      </c>
      <c r="W19" s="19">
        <f t="shared" si="6"/>
        <v>0</v>
      </c>
      <c r="X19" s="19">
        <f t="shared" si="6"/>
        <v>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X21" si="8">MAX(C$9:C$14)+$I$5</f>
        <v>55</v>
      </c>
      <c r="D21" s="19">
        <f t="shared" si="8"/>
        <v>55</v>
      </c>
      <c r="E21" s="19">
        <f t="shared" si="8"/>
        <v>55</v>
      </c>
      <c r="F21" s="19">
        <f t="shared" si="8"/>
        <v>55</v>
      </c>
      <c r="G21" s="19">
        <f t="shared" si="8"/>
        <v>55</v>
      </c>
      <c r="H21" s="19">
        <f t="shared" si="8"/>
        <v>55</v>
      </c>
      <c r="I21" s="19">
        <f t="shared" si="8"/>
        <v>55</v>
      </c>
      <c r="J21" s="19">
        <f t="shared" si="8"/>
        <v>55</v>
      </c>
      <c r="K21" s="19">
        <f t="shared" si="8"/>
        <v>55</v>
      </c>
      <c r="L21" s="19">
        <f t="shared" si="8"/>
        <v>55</v>
      </c>
      <c r="M21" s="19">
        <f t="shared" si="8"/>
        <v>55</v>
      </c>
      <c r="N21" s="19">
        <f t="shared" si="8"/>
        <v>55</v>
      </c>
      <c r="O21" s="19">
        <f t="shared" si="8"/>
        <v>55</v>
      </c>
      <c r="P21" s="19">
        <f t="shared" si="8"/>
        <v>55</v>
      </c>
      <c r="Q21" s="19">
        <f t="shared" si="8"/>
        <v>55</v>
      </c>
      <c r="R21" s="19">
        <f t="shared" si="8"/>
        <v>55</v>
      </c>
      <c r="S21" s="19">
        <f t="shared" si="8"/>
        <v>55</v>
      </c>
      <c r="T21" s="19">
        <f t="shared" si="8"/>
        <v>55</v>
      </c>
      <c r="U21" s="19">
        <f t="shared" si="8"/>
        <v>55</v>
      </c>
      <c r="V21" s="19">
        <f t="shared" si="8"/>
        <v>55</v>
      </c>
      <c r="W21" s="19">
        <f t="shared" si="8"/>
        <v>55</v>
      </c>
      <c r="X21" s="19">
        <f t="shared" si="8"/>
        <v>55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165</v>
      </c>
      <c r="D23" s="19">
        <f t="shared" ref="D23:X23" si="10">MAX(SUM(D$9:D$11),SUM(D$12:D$14))+$I$5*3</f>
        <v>165</v>
      </c>
      <c r="E23" s="19">
        <f t="shared" si="10"/>
        <v>165</v>
      </c>
      <c r="F23" s="19">
        <f t="shared" si="10"/>
        <v>165</v>
      </c>
      <c r="G23" s="19">
        <f t="shared" si="10"/>
        <v>165</v>
      </c>
      <c r="H23" s="19">
        <f t="shared" si="10"/>
        <v>165</v>
      </c>
      <c r="I23" s="19">
        <f t="shared" si="10"/>
        <v>165</v>
      </c>
      <c r="J23" s="19">
        <f t="shared" si="10"/>
        <v>165</v>
      </c>
      <c r="K23" s="19">
        <f t="shared" si="10"/>
        <v>165</v>
      </c>
      <c r="L23" s="19">
        <f t="shared" si="10"/>
        <v>165</v>
      </c>
      <c r="M23" s="19">
        <f t="shared" si="10"/>
        <v>165</v>
      </c>
      <c r="N23" s="19">
        <f t="shared" si="10"/>
        <v>165</v>
      </c>
      <c r="O23" s="19">
        <f t="shared" si="10"/>
        <v>165</v>
      </c>
      <c r="P23" s="19">
        <f t="shared" si="10"/>
        <v>165</v>
      </c>
      <c r="Q23" s="19">
        <f t="shared" si="10"/>
        <v>165</v>
      </c>
      <c r="R23" s="19">
        <f t="shared" si="10"/>
        <v>165</v>
      </c>
      <c r="S23" s="19">
        <f t="shared" si="10"/>
        <v>165</v>
      </c>
      <c r="T23" s="19">
        <f t="shared" si="10"/>
        <v>165</v>
      </c>
      <c r="U23" s="19">
        <f t="shared" si="10"/>
        <v>165</v>
      </c>
      <c r="V23" s="19">
        <f t="shared" si="10"/>
        <v>165</v>
      </c>
      <c r="W23" s="19">
        <f t="shared" si="10"/>
        <v>165</v>
      </c>
      <c r="X23" s="19">
        <f t="shared" si="10"/>
        <v>165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0</v>
      </c>
      <c r="K27" s="107">
        <f>MAX($C20:K20)</f>
        <v>0</v>
      </c>
      <c r="L27" s="107">
        <f>MAX($C20:L20)</f>
        <v>0</v>
      </c>
      <c r="M27" s="107">
        <f>MAX($C20:M20)</f>
        <v>0</v>
      </c>
      <c r="N27" s="107">
        <f>MAX($C20:N20)</f>
        <v>0</v>
      </c>
      <c r="O27" s="107">
        <f>MAX($C20:O20)</f>
        <v>0</v>
      </c>
      <c r="P27" s="107">
        <f>MAX($C20:P20)</f>
        <v>0</v>
      </c>
      <c r="Q27" s="107">
        <f>MAX($C20:Q20)</f>
        <v>0</v>
      </c>
      <c r="R27" s="107">
        <f>MAX($C20:R20)</f>
        <v>0</v>
      </c>
      <c r="S27" s="107">
        <f>MAX($C20:S20)</f>
        <v>0</v>
      </c>
      <c r="T27" s="107">
        <f>MAX($C20:T20)</f>
        <v>0</v>
      </c>
      <c r="U27" s="107">
        <f>MAX($C20:U20)</f>
        <v>0</v>
      </c>
      <c r="V27" s="107">
        <f>MAX($C20:V20)</f>
        <v>0</v>
      </c>
      <c r="W27" s="107">
        <f>MAX($C20:W20)</f>
        <v>0</v>
      </c>
      <c r="X27" s="107">
        <f>MAX($C20:X20)</f>
        <v>0</v>
      </c>
    </row>
    <row r="28" spans="1:25" ht="13.15" x14ac:dyDescent="0.4">
      <c r="A28">
        <v>22</v>
      </c>
      <c r="B28" s="151" t="s">
        <v>78</v>
      </c>
      <c r="C28" s="19">
        <f>MAX(C21)</f>
        <v>55</v>
      </c>
      <c r="D28" s="107">
        <f>MAX($C21:D21)</f>
        <v>55</v>
      </c>
      <c r="E28" s="107">
        <f>MAX($C21:E21)</f>
        <v>55</v>
      </c>
      <c r="F28" s="107">
        <f>MAX($C21:F21)</f>
        <v>55</v>
      </c>
      <c r="G28" s="107">
        <f>MAX($C21:G21)</f>
        <v>55</v>
      </c>
      <c r="H28" s="107">
        <f>MAX($C21:H21)</f>
        <v>55</v>
      </c>
      <c r="I28" s="107">
        <f>MAX($C21:I21)</f>
        <v>55</v>
      </c>
      <c r="J28" s="107">
        <f>MAX($C21:J21)</f>
        <v>55</v>
      </c>
      <c r="K28" s="107">
        <f>MAX($C21:K21)</f>
        <v>55</v>
      </c>
      <c r="L28" s="107">
        <f>MAX($C21:L21)</f>
        <v>55</v>
      </c>
      <c r="M28" s="107">
        <f>MAX($C21:M21)</f>
        <v>55</v>
      </c>
      <c r="N28" s="107">
        <f>MAX($C21:N21)</f>
        <v>55</v>
      </c>
      <c r="O28" s="107">
        <f>MAX($C21:O21)</f>
        <v>55</v>
      </c>
      <c r="P28" s="107">
        <f>MAX($C21:P21)</f>
        <v>55</v>
      </c>
      <c r="Q28" s="107">
        <f>MAX($C21:Q21)</f>
        <v>55</v>
      </c>
      <c r="R28" s="107">
        <f>MAX($C21:R21)</f>
        <v>55</v>
      </c>
      <c r="S28" s="107">
        <f>MAX($C21:S21)</f>
        <v>55</v>
      </c>
      <c r="T28" s="107">
        <f>MAX($C21:T21)</f>
        <v>55</v>
      </c>
      <c r="U28" s="107">
        <f>MAX($C21:U21)</f>
        <v>55</v>
      </c>
      <c r="V28" s="107">
        <f>MAX($C21:V21)</f>
        <v>55</v>
      </c>
      <c r="W28" s="107">
        <f>MAX($C21:W21)</f>
        <v>55</v>
      </c>
      <c r="X28" s="107">
        <f>MAX($C21:X21)</f>
        <v>55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0</v>
      </c>
      <c r="K29" s="107">
        <f>MAX($C22:K22)</f>
        <v>0</v>
      </c>
      <c r="L29" s="107">
        <f>MAX($C22:L22)</f>
        <v>0</v>
      </c>
      <c r="M29" s="107">
        <f>MAX($C22:M22)</f>
        <v>0</v>
      </c>
      <c r="N29" s="107">
        <f>MAX($C22:N22)</f>
        <v>0</v>
      </c>
      <c r="O29" s="107">
        <f>MAX($C22:O22)</f>
        <v>0</v>
      </c>
      <c r="P29" s="107">
        <f>MAX($C22:P22)</f>
        <v>0</v>
      </c>
      <c r="Q29" s="107">
        <f>MAX($C22:Q22)</f>
        <v>0</v>
      </c>
      <c r="R29" s="107">
        <f>MAX($C22:R22)</f>
        <v>0</v>
      </c>
      <c r="S29" s="107">
        <f>MAX($C22:S22)</f>
        <v>0</v>
      </c>
      <c r="T29" s="107">
        <f>MAX($C22:T22)</f>
        <v>0</v>
      </c>
      <c r="U29" s="107">
        <f>MAX($C22:U22)</f>
        <v>0</v>
      </c>
      <c r="V29" s="107">
        <f>MAX($C22:V22)</f>
        <v>0</v>
      </c>
      <c r="W29" s="107">
        <f>MAX($C22:W22)</f>
        <v>0</v>
      </c>
      <c r="X29" s="107">
        <f>MAX($C22:X22)</f>
        <v>0</v>
      </c>
    </row>
    <row r="30" spans="1:25" ht="13.15" x14ac:dyDescent="0.4">
      <c r="A30">
        <v>24</v>
      </c>
      <c r="B30" s="151" t="s">
        <v>80</v>
      </c>
      <c r="C30" s="19">
        <f>MAX(C23)</f>
        <v>165</v>
      </c>
      <c r="D30" s="107">
        <f>MAX($C23:D23)</f>
        <v>165</v>
      </c>
      <c r="E30" s="107">
        <f>MAX($C23:E23)</f>
        <v>165</v>
      </c>
      <c r="F30" s="107">
        <f>MAX($C23:F23)</f>
        <v>165</v>
      </c>
      <c r="G30" s="107">
        <f>MAX($C23:G23)</f>
        <v>165</v>
      </c>
      <c r="H30" s="107">
        <f>MAX($C23:H23)</f>
        <v>165</v>
      </c>
      <c r="I30" s="107">
        <f>MAX($C23:I23)</f>
        <v>165</v>
      </c>
      <c r="J30" s="107">
        <f>MAX($C23:J23)</f>
        <v>165</v>
      </c>
      <c r="K30" s="107">
        <f>MAX($C23:K23)</f>
        <v>165</v>
      </c>
      <c r="L30" s="107">
        <f>MAX($C23:L23)</f>
        <v>165</v>
      </c>
      <c r="M30" s="107">
        <f>MAX($C23:M23)</f>
        <v>165</v>
      </c>
      <c r="N30" s="107">
        <f>MAX($C23:N23)</f>
        <v>165</v>
      </c>
      <c r="O30" s="107">
        <f>MAX($C23:O23)</f>
        <v>165</v>
      </c>
      <c r="P30" s="107">
        <f>MAX($C23:P23)</f>
        <v>165</v>
      </c>
      <c r="Q30" s="107">
        <f>MAX($C23:Q23)</f>
        <v>165</v>
      </c>
      <c r="R30" s="107">
        <f>MAX($C23:R23)</f>
        <v>165</v>
      </c>
      <c r="S30" s="107">
        <f>MAX($C23:S23)</f>
        <v>165</v>
      </c>
      <c r="T30" s="107">
        <f>MAX($C23:T23)</f>
        <v>165</v>
      </c>
      <c r="U30" s="107">
        <f>MAX($C23:U23)</f>
        <v>165</v>
      </c>
      <c r="V30" s="107">
        <f>MAX($C23:V23)</f>
        <v>165</v>
      </c>
      <c r="W30" s="107">
        <f>MAX($C23:W23)</f>
        <v>165</v>
      </c>
      <c r="X30" s="107">
        <f>MAX($C23:X23)</f>
        <v>165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286</v>
      </c>
      <c r="G2" s="203" t="s">
        <v>119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41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54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125</v>
      </c>
      <c r="D9">
        <v>154</v>
      </c>
      <c r="E9">
        <v>131</v>
      </c>
      <c r="F9">
        <v>141</v>
      </c>
      <c r="G9">
        <v>169</v>
      </c>
      <c r="I9">
        <v>171</v>
      </c>
      <c r="K9">
        <v>225</v>
      </c>
      <c r="L9">
        <v>116</v>
      </c>
      <c r="M9">
        <v>164</v>
      </c>
      <c r="N9">
        <v>166</v>
      </c>
      <c r="O9">
        <v>161</v>
      </c>
      <c r="P9">
        <v>115</v>
      </c>
      <c r="Q9">
        <v>153</v>
      </c>
      <c r="R9">
        <v>151</v>
      </c>
      <c r="S9">
        <v>180</v>
      </c>
      <c r="T9">
        <v>130</v>
      </c>
      <c r="V9">
        <v>169</v>
      </c>
    </row>
    <row r="10" spans="1:24" ht="13.15" x14ac:dyDescent="0.4">
      <c r="A10">
        <v>4</v>
      </c>
      <c r="B10" s="3" t="s">
        <v>15</v>
      </c>
      <c r="C10">
        <v>131</v>
      </c>
      <c r="D10">
        <v>138</v>
      </c>
      <c r="E10">
        <v>143</v>
      </c>
      <c r="F10">
        <v>160</v>
      </c>
      <c r="G10">
        <v>160</v>
      </c>
      <c r="I10">
        <v>149</v>
      </c>
      <c r="K10">
        <v>167</v>
      </c>
      <c r="L10">
        <v>177</v>
      </c>
      <c r="M10">
        <v>134</v>
      </c>
      <c r="N10">
        <v>163</v>
      </c>
      <c r="O10">
        <v>169</v>
      </c>
      <c r="P10">
        <v>140</v>
      </c>
      <c r="Q10">
        <v>156</v>
      </c>
      <c r="R10">
        <v>160</v>
      </c>
      <c r="S10">
        <v>160</v>
      </c>
      <c r="T10">
        <v>163</v>
      </c>
      <c r="V10">
        <v>163</v>
      </c>
    </row>
    <row r="11" spans="1:24" ht="13.15" x14ac:dyDescent="0.4">
      <c r="A11">
        <v>5</v>
      </c>
      <c r="B11" s="3" t="s">
        <v>16</v>
      </c>
      <c r="C11">
        <v>161</v>
      </c>
      <c r="D11">
        <v>132</v>
      </c>
      <c r="F11">
        <v>147</v>
      </c>
      <c r="G11">
        <v>149</v>
      </c>
      <c r="I11">
        <v>146</v>
      </c>
      <c r="K11">
        <v>185</v>
      </c>
      <c r="L11">
        <v>167</v>
      </c>
      <c r="M11">
        <v>139</v>
      </c>
      <c r="N11">
        <v>145</v>
      </c>
      <c r="O11">
        <v>174</v>
      </c>
      <c r="P11">
        <v>132</v>
      </c>
      <c r="Q11">
        <v>154</v>
      </c>
      <c r="R11">
        <v>129</v>
      </c>
      <c r="T11">
        <v>180</v>
      </c>
      <c r="V11">
        <v>155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417</v>
      </c>
      <c r="D15" s="18">
        <f t="shared" si="2"/>
        <v>424</v>
      </c>
      <c r="E15" s="18">
        <f t="shared" si="2"/>
        <v>274</v>
      </c>
      <c r="F15" s="18">
        <f t="shared" si="2"/>
        <v>448</v>
      </c>
      <c r="G15" s="18">
        <f t="shared" si="2"/>
        <v>478</v>
      </c>
      <c r="H15" s="18">
        <f t="shared" si="2"/>
        <v>0</v>
      </c>
      <c r="I15" s="18">
        <f t="shared" si="2"/>
        <v>466</v>
      </c>
      <c r="J15" s="18">
        <f t="shared" si="2"/>
        <v>0</v>
      </c>
      <c r="K15" s="18">
        <f t="shared" si="2"/>
        <v>577</v>
      </c>
      <c r="L15" s="18">
        <f t="shared" si="2"/>
        <v>460</v>
      </c>
      <c r="M15" s="18">
        <f t="shared" si="2"/>
        <v>437</v>
      </c>
      <c r="N15" s="18">
        <f t="shared" si="2"/>
        <v>474</v>
      </c>
      <c r="O15" s="18">
        <f t="shared" si="2"/>
        <v>504</v>
      </c>
      <c r="P15" s="18">
        <f t="shared" si="2"/>
        <v>387</v>
      </c>
      <c r="Q15" s="18">
        <f t="shared" si="2"/>
        <v>463</v>
      </c>
      <c r="R15" s="18">
        <f t="shared" si="2"/>
        <v>440</v>
      </c>
      <c r="S15" s="18">
        <f t="shared" si="2"/>
        <v>340</v>
      </c>
      <c r="T15" s="18">
        <f t="shared" si="2"/>
        <v>473</v>
      </c>
      <c r="U15" s="18">
        <f t="shared" si="2"/>
        <v>0</v>
      </c>
      <c r="V15" s="18">
        <f t="shared" si="2"/>
        <v>487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417</v>
      </c>
      <c r="D16" s="19">
        <f t="shared" ref="D16:X16" si="3">+D15+C16</f>
        <v>841</v>
      </c>
      <c r="E16" s="19">
        <f t="shared" si="3"/>
        <v>1115</v>
      </c>
      <c r="F16" s="19">
        <f t="shared" si="3"/>
        <v>1563</v>
      </c>
      <c r="G16" s="19">
        <f t="shared" si="3"/>
        <v>2041</v>
      </c>
      <c r="H16" s="19">
        <f t="shared" si="3"/>
        <v>2041</v>
      </c>
      <c r="I16" s="19">
        <f t="shared" si="3"/>
        <v>2507</v>
      </c>
      <c r="J16" s="19">
        <f t="shared" si="3"/>
        <v>2507</v>
      </c>
      <c r="K16" s="19">
        <f t="shared" si="3"/>
        <v>3084</v>
      </c>
      <c r="L16" s="19">
        <f t="shared" si="3"/>
        <v>3544</v>
      </c>
      <c r="M16" s="19">
        <f t="shared" si="3"/>
        <v>3981</v>
      </c>
      <c r="N16" s="19">
        <f t="shared" si="3"/>
        <v>4455</v>
      </c>
      <c r="O16" s="19">
        <f t="shared" si="3"/>
        <v>4959</v>
      </c>
      <c r="P16" s="19">
        <f t="shared" si="3"/>
        <v>5346</v>
      </c>
      <c r="Q16" s="19">
        <f t="shared" si="3"/>
        <v>5809</v>
      </c>
      <c r="R16" s="19">
        <f t="shared" si="3"/>
        <v>6249</v>
      </c>
      <c r="S16" s="19">
        <f t="shared" si="3"/>
        <v>6589</v>
      </c>
      <c r="T16" s="19">
        <f t="shared" si="3"/>
        <v>7062</v>
      </c>
      <c r="U16" s="19">
        <f t="shared" si="3"/>
        <v>7062</v>
      </c>
      <c r="V16" s="19">
        <f t="shared" si="3"/>
        <v>7549</v>
      </c>
      <c r="W16" s="19">
        <f t="shared" si="3"/>
        <v>7549</v>
      </c>
      <c r="X16" s="19">
        <f t="shared" si="3"/>
        <v>7549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139</v>
      </c>
      <c r="D17" s="20">
        <f t="shared" si="4"/>
        <v>140.16666666666666</v>
      </c>
      <c r="E17" s="20">
        <f t="shared" si="4"/>
        <v>139.375</v>
      </c>
      <c r="F17" s="20">
        <f t="shared" si="4"/>
        <v>142.09090909090909</v>
      </c>
      <c r="G17" s="20">
        <f t="shared" si="4"/>
        <v>145.78571428571428</v>
      </c>
      <c r="H17" s="20">
        <f t="shared" si="4"/>
        <v>145.78571428571428</v>
      </c>
      <c r="I17" s="20">
        <f t="shared" si="4"/>
        <v>147.47058823529412</v>
      </c>
      <c r="J17" s="20">
        <f t="shared" si="4"/>
        <v>147.47058823529412</v>
      </c>
      <c r="K17" s="20">
        <f t="shared" si="4"/>
        <v>154.19999999999999</v>
      </c>
      <c r="L17" s="20">
        <f t="shared" si="4"/>
        <v>154.08695652173913</v>
      </c>
      <c r="M17" s="20">
        <f t="shared" si="4"/>
        <v>153.11538461538461</v>
      </c>
      <c r="N17" s="20">
        <f t="shared" si="4"/>
        <v>153.62068965517241</v>
      </c>
      <c r="O17" s="20">
        <f t="shared" si="4"/>
        <v>154.96875</v>
      </c>
      <c r="P17" s="20">
        <f t="shared" si="4"/>
        <v>152.74285714285713</v>
      </c>
      <c r="Q17" s="20">
        <f t="shared" si="4"/>
        <v>152.86842105263159</v>
      </c>
      <c r="R17" s="20">
        <f t="shared" si="4"/>
        <v>152.41463414634146</v>
      </c>
      <c r="S17" s="20">
        <f t="shared" si="4"/>
        <v>153.23255813953489</v>
      </c>
      <c r="T17" s="20">
        <f t="shared" si="4"/>
        <v>153.52173913043478</v>
      </c>
      <c r="U17" s="20">
        <f t="shared" si="4"/>
        <v>153.52173913043478</v>
      </c>
      <c r="V17" s="20">
        <f t="shared" si="4"/>
        <v>154.0612244897959</v>
      </c>
      <c r="W17" s="20">
        <f t="shared" si="4"/>
        <v>154.0612244897959</v>
      </c>
      <c r="X17" s="20">
        <f t="shared" si="4"/>
        <v>154.0612244897959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55</v>
      </c>
      <c r="D18" s="19">
        <f t="shared" si="5"/>
        <v>54</v>
      </c>
      <c r="E18" s="19">
        <f t="shared" si="5"/>
        <v>55</v>
      </c>
      <c r="F18" s="19">
        <f t="shared" si="5"/>
        <v>52</v>
      </c>
      <c r="G18" s="19">
        <f t="shared" si="5"/>
        <v>49</v>
      </c>
      <c r="H18" s="19">
        <f t="shared" si="5"/>
        <v>49</v>
      </c>
      <c r="I18" s="19">
        <f t="shared" si="5"/>
        <v>47</v>
      </c>
      <c r="J18" s="19">
        <f t="shared" si="5"/>
        <v>47</v>
      </c>
      <c r="K18" s="19">
        <f t="shared" si="5"/>
        <v>41</v>
      </c>
      <c r="L18" s="19">
        <f t="shared" si="5"/>
        <v>41</v>
      </c>
      <c r="M18" s="19">
        <f t="shared" si="5"/>
        <v>42</v>
      </c>
      <c r="N18" s="19">
        <f t="shared" si="5"/>
        <v>42</v>
      </c>
      <c r="O18" s="19">
        <f t="shared" si="5"/>
        <v>41</v>
      </c>
      <c r="P18" s="19">
        <f t="shared" si="5"/>
        <v>43</v>
      </c>
      <c r="Q18" s="19">
        <f t="shared" si="5"/>
        <v>42</v>
      </c>
      <c r="R18" s="19">
        <f t="shared" si="5"/>
        <v>43</v>
      </c>
      <c r="S18" s="19">
        <f t="shared" si="5"/>
        <v>42</v>
      </c>
      <c r="T18" s="19">
        <f t="shared" si="5"/>
        <v>42</v>
      </c>
      <c r="U18" s="19">
        <f t="shared" si="5"/>
        <v>42</v>
      </c>
      <c r="V18" s="19">
        <f t="shared" si="5"/>
        <v>41</v>
      </c>
      <c r="W18" s="19">
        <f t="shared" si="5"/>
        <v>41</v>
      </c>
      <c r="X18" s="19">
        <f t="shared" si="5"/>
        <v>41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6</v>
      </c>
      <c r="E19" s="19">
        <f t="shared" si="6"/>
        <v>8</v>
      </c>
      <c r="F19" s="19">
        <f t="shared" si="6"/>
        <v>11</v>
      </c>
      <c r="G19" s="19">
        <f t="shared" si="6"/>
        <v>14</v>
      </c>
      <c r="H19" s="19">
        <f t="shared" si="6"/>
        <v>14</v>
      </c>
      <c r="I19" s="19">
        <f t="shared" si="6"/>
        <v>17</v>
      </c>
      <c r="J19" s="19">
        <f t="shared" si="6"/>
        <v>17</v>
      </c>
      <c r="K19" s="19">
        <f t="shared" si="6"/>
        <v>20</v>
      </c>
      <c r="L19" s="19">
        <f t="shared" si="6"/>
        <v>23</v>
      </c>
      <c r="M19" s="19">
        <f t="shared" si="6"/>
        <v>26</v>
      </c>
      <c r="N19" s="19">
        <f t="shared" si="6"/>
        <v>29</v>
      </c>
      <c r="O19" s="19">
        <f t="shared" si="6"/>
        <v>32</v>
      </c>
      <c r="P19" s="19">
        <f t="shared" si="6"/>
        <v>35</v>
      </c>
      <c r="Q19" s="19">
        <f t="shared" si="6"/>
        <v>38</v>
      </c>
      <c r="R19" s="19">
        <f t="shared" si="6"/>
        <v>41</v>
      </c>
      <c r="S19" s="19">
        <f t="shared" si="6"/>
        <v>43</v>
      </c>
      <c r="T19" s="19">
        <f t="shared" si="6"/>
        <v>46</v>
      </c>
      <c r="U19" s="19">
        <f t="shared" si="6"/>
        <v>46</v>
      </c>
      <c r="V19" s="19">
        <f t="shared" si="6"/>
        <v>49</v>
      </c>
      <c r="W19" s="19">
        <f t="shared" si="6"/>
        <v>49</v>
      </c>
      <c r="X19" s="19">
        <f t="shared" si="6"/>
        <v>49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161</v>
      </c>
      <c r="D20" s="19">
        <f t="shared" si="7"/>
        <v>154</v>
      </c>
      <c r="E20" s="19">
        <f t="shared" si="7"/>
        <v>143</v>
      </c>
      <c r="F20" s="19">
        <f t="shared" si="7"/>
        <v>160</v>
      </c>
      <c r="G20" s="19">
        <f t="shared" si="7"/>
        <v>169</v>
      </c>
      <c r="H20" s="19">
        <f t="shared" si="7"/>
        <v>0</v>
      </c>
      <c r="I20" s="19">
        <f t="shared" si="7"/>
        <v>171</v>
      </c>
      <c r="J20" s="19">
        <f t="shared" si="7"/>
        <v>0</v>
      </c>
      <c r="K20" s="19">
        <f t="shared" si="7"/>
        <v>225</v>
      </c>
      <c r="L20" s="19">
        <f t="shared" si="7"/>
        <v>177</v>
      </c>
      <c r="M20" s="19">
        <f t="shared" si="7"/>
        <v>164</v>
      </c>
      <c r="N20" s="19">
        <f t="shared" si="7"/>
        <v>166</v>
      </c>
      <c r="O20" s="19">
        <f t="shared" si="7"/>
        <v>174</v>
      </c>
      <c r="P20" s="19">
        <f t="shared" si="7"/>
        <v>140</v>
      </c>
      <c r="Q20" s="19">
        <f t="shared" si="7"/>
        <v>156</v>
      </c>
      <c r="R20" s="19">
        <f t="shared" si="7"/>
        <v>160</v>
      </c>
      <c r="S20" s="19">
        <f t="shared" si="7"/>
        <v>180</v>
      </c>
      <c r="T20" s="19">
        <f t="shared" si="7"/>
        <v>180</v>
      </c>
      <c r="U20" s="19">
        <f t="shared" si="7"/>
        <v>0</v>
      </c>
      <c r="V20" s="19">
        <f t="shared" si="7"/>
        <v>169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215</v>
      </c>
      <c r="D21" s="19">
        <f>MAX(D$9:D$14)+$I$5</f>
        <v>208</v>
      </c>
      <c r="E21" s="19">
        <f t="shared" ref="E21:X21" si="8">MAX(E$9:E$14)+D18</f>
        <v>197</v>
      </c>
      <c r="F21" s="19">
        <f t="shared" si="8"/>
        <v>215</v>
      </c>
      <c r="G21" s="19">
        <f t="shared" si="8"/>
        <v>221</v>
      </c>
      <c r="H21" s="19">
        <f t="shared" si="8"/>
        <v>49</v>
      </c>
      <c r="I21" s="19">
        <f t="shared" si="8"/>
        <v>220</v>
      </c>
      <c r="J21" s="19">
        <f t="shared" si="8"/>
        <v>47</v>
      </c>
      <c r="K21" s="19">
        <f t="shared" si="8"/>
        <v>272</v>
      </c>
      <c r="L21" s="19">
        <f t="shared" si="8"/>
        <v>218</v>
      </c>
      <c r="M21" s="19">
        <f t="shared" si="8"/>
        <v>205</v>
      </c>
      <c r="N21" s="19">
        <f t="shared" si="8"/>
        <v>208</v>
      </c>
      <c r="O21" s="19">
        <f t="shared" si="8"/>
        <v>216</v>
      </c>
      <c r="P21" s="19">
        <f t="shared" si="8"/>
        <v>181</v>
      </c>
      <c r="Q21" s="19">
        <f t="shared" si="8"/>
        <v>199</v>
      </c>
      <c r="R21" s="19">
        <f t="shared" si="8"/>
        <v>202</v>
      </c>
      <c r="S21" s="19">
        <f t="shared" si="8"/>
        <v>223</v>
      </c>
      <c r="T21" s="19">
        <f t="shared" si="8"/>
        <v>222</v>
      </c>
      <c r="U21" s="19">
        <f t="shared" si="8"/>
        <v>42</v>
      </c>
      <c r="V21" s="19">
        <f t="shared" si="8"/>
        <v>211</v>
      </c>
      <c r="W21" s="19">
        <f t="shared" si="8"/>
        <v>41</v>
      </c>
      <c r="X21" s="19">
        <f t="shared" si="8"/>
        <v>41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417</v>
      </c>
      <c r="D22" s="19">
        <f t="shared" ref="D22:X22" si="9">MAX(SUM(D$9:D$11),SUM(D$12:D$14))</f>
        <v>424</v>
      </c>
      <c r="E22" s="19">
        <f t="shared" si="9"/>
        <v>274</v>
      </c>
      <c r="F22" s="19">
        <f t="shared" si="9"/>
        <v>448</v>
      </c>
      <c r="G22" s="19">
        <f t="shared" si="9"/>
        <v>478</v>
      </c>
      <c r="H22" s="19">
        <f t="shared" si="9"/>
        <v>0</v>
      </c>
      <c r="I22" s="19">
        <f t="shared" si="9"/>
        <v>466</v>
      </c>
      <c r="J22" s="19">
        <f t="shared" si="9"/>
        <v>0</v>
      </c>
      <c r="K22" s="19">
        <f t="shared" si="9"/>
        <v>577</v>
      </c>
      <c r="L22" s="19">
        <f t="shared" si="9"/>
        <v>460</v>
      </c>
      <c r="M22" s="19">
        <f t="shared" si="9"/>
        <v>437</v>
      </c>
      <c r="N22" s="19">
        <f t="shared" si="9"/>
        <v>474</v>
      </c>
      <c r="O22" s="19">
        <f t="shared" si="9"/>
        <v>504</v>
      </c>
      <c r="P22" s="19">
        <f t="shared" si="9"/>
        <v>387</v>
      </c>
      <c r="Q22" s="19">
        <f t="shared" si="9"/>
        <v>463</v>
      </c>
      <c r="R22" s="19">
        <f t="shared" si="9"/>
        <v>440</v>
      </c>
      <c r="S22" s="19">
        <f t="shared" si="9"/>
        <v>340</v>
      </c>
      <c r="T22" s="19">
        <f t="shared" si="9"/>
        <v>473</v>
      </c>
      <c r="U22" s="19">
        <f t="shared" si="9"/>
        <v>0</v>
      </c>
      <c r="V22" s="19">
        <f t="shared" si="9"/>
        <v>487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579</v>
      </c>
      <c r="D23" s="19">
        <f>MAX(SUM(D$9:D$11),SUM(D$12:D$14))+$I$5*3</f>
        <v>586</v>
      </c>
      <c r="E23" s="19">
        <f t="shared" ref="E23:X23" si="10">MAX(SUM(E$9:E$11),SUM(E$12:E$14))+D18*3</f>
        <v>436</v>
      </c>
      <c r="F23" s="19">
        <f t="shared" si="10"/>
        <v>613</v>
      </c>
      <c r="G23" s="19">
        <f t="shared" si="10"/>
        <v>634</v>
      </c>
      <c r="H23" s="19">
        <f t="shared" si="10"/>
        <v>147</v>
      </c>
      <c r="I23" s="19">
        <f t="shared" si="10"/>
        <v>613</v>
      </c>
      <c r="J23" s="19">
        <f t="shared" si="10"/>
        <v>141</v>
      </c>
      <c r="K23" s="19">
        <f t="shared" si="10"/>
        <v>718</v>
      </c>
      <c r="L23" s="19">
        <f t="shared" si="10"/>
        <v>583</v>
      </c>
      <c r="M23" s="19">
        <f t="shared" si="10"/>
        <v>560</v>
      </c>
      <c r="N23" s="19">
        <f t="shared" si="10"/>
        <v>600</v>
      </c>
      <c r="O23" s="19">
        <f t="shared" si="10"/>
        <v>630</v>
      </c>
      <c r="P23" s="19">
        <f t="shared" si="10"/>
        <v>510</v>
      </c>
      <c r="Q23" s="19">
        <f t="shared" si="10"/>
        <v>592</v>
      </c>
      <c r="R23" s="19">
        <f t="shared" si="10"/>
        <v>566</v>
      </c>
      <c r="S23" s="19">
        <f t="shared" si="10"/>
        <v>469</v>
      </c>
      <c r="T23" s="19">
        <f t="shared" si="10"/>
        <v>599</v>
      </c>
      <c r="U23" s="19">
        <f t="shared" si="10"/>
        <v>126</v>
      </c>
      <c r="V23" s="19">
        <f t="shared" si="10"/>
        <v>613</v>
      </c>
      <c r="W23" s="19">
        <f t="shared" si="10"/>
        <v>123</v>
      </c>
      <c r="X23" s="19">
        <f t="shared" si="10"/>
        <v>123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161</v>
      </c>
      <c r="D27" s="107">
        <f>MAX($C20:D20)</f>
        <v>161</v>
      </c>
      <c r="E27" s="107">
        <f>MAX($C20:E20)</f>
        <v>161</v>
      </c>
      <c r="F27" s="107">
        <f>MAX($C20:F20)</f>
        <v>161</v>
      </c>
      <c r="G27" s="107">
        <f>MAX($C20:G20)</f>
        <v>169</v>
      </c>
      <c r="H27" s="107">
        <f>MAX($C20:H20)</f>
        <v>169</v>
      </c>
      <c r="I27" s="107">
        <f>MAX($C20:I20)</f>
        <v>171</v>
      </c>
      <c r="J27" s="107">
        <f>MAX($C20:J20)</f>
        <v>171</v>
      </c>
      <c r="K27" s="107">
        <f>MAX($C20:K20)</f>
        <v>225</v>
      </c>
      <c r="L27" s="107">
        <f>MAX($C20:L20)</f>
        <v>225</v>
      </c>
      <c r="M27" s="107">
        <f>MAX($C20:M20)</f>
        <v>225</v>
      </c>
      <c r="N27" s="107">
        <f>MAX($C20:N20)</f>
        <v>225</v>
      </c>
      <c r="O27" s="107">
        <f>MAX($C20:O20)</f>
        <v>225</v>
      </c>
      <c r="P27" s="107">
        <f>MAX($C20:P20)</f>
        <v>225</v>
      </c>
      <c r="Q27" s="107">
        <f>MAX($C20:Q20)</f>
        <v>225</v>
      </c>
      <c r="R27" s="107">
        <f>MAX($C20:R20)</f>
        <v>225</v>
      </c>
      <c r="S27" s="107">
        <f>MAX($C20:S20)</f>
        <v>225</v>
      </c>
      <c r="T27" s="107">
        <f>MAX($C20:T20)</f>
        <v>225</v>
      </c>
      <c r="U27" s="107">
        <f>MAX($C20:U20)</f>
        <v>225</v>
      </c>
      <c r="V27" s="107">
        <f>MAX($C20:V20)</f>
        <v>225</v>
      </c>
      <c r="W27" s="107">
        <f>MAX($C20:W20)</f>
        <v>225</v>
      </c>
      <c r="X27" s="107">
        <f>MAX($C20:X20)</f>
        <v>225</v>
      </c>
    </row>
    <row r="28" spans="1:25" ht="13.15" x14ac:dyDescent="0.4">
      <c r="A28">
        <v>22</v>
      </c>
      <c r="B28" s="151" t="s">
        <v>78</v>
      </c>
      <c r="C28" s="19">
        <f>MAX(C21)</f>
        <v>215</v>
      </c>
      <c r="D28" s="107">
        <f>MAX($C21:D21)</f>
        <v>215</v>
      </c>
      <c r="E28" s="107">
        <f>MAX($C21:E21)</f>
        <v>215</v>
      </c>
      <c r="F28" s="107">
        <f>MAX($C21:F21)</f>
        <v>215</v>
      </c>
      <c r="G28" s="107">
        <f>MAX($C21:G21)</f>
        <v>221</v>
      </c>
      <c r="H28" s="107">
        <f>MAX($C21:H21)</f>
        <v>221</v>
      </c>
      <c r="I28" s="107">
        <f>MAX($C21:I21)</f>
        <v>221</v>
      </c>
      <c r="J28" s="107">
        <f>MAX($C21:J21)</f>
        <v>221</v>
      </c>
      <c r="K28" s="107">
        <f>MAX($C21:K21)</f>
        <v>272</v>
      </c>
      <c r="L28" s="107">
        <f>MAX($C21:L21)</f>
        <v>272</v>
      </c>
      <c r="M28" s="107">
        <f>MAX($C21:M21)</f>
        <v>272</v>
      </c>
      <c r="N28" s="107">
        <f>MAX($C21:N21)</f>
        <v>272</v>
      </c>
      <c r="O28" s="107">
        <f>MAX($C21:O21)</f>
        <v>272</v>
      </c>
      <c r="P28" s="107">
        <f>MAX($C21:P21)</f>
        <v>272</v>
      </c>
      <c r="Q28" s="107">
        <f>MAX($C21:Q21)</f>
        <v>272</v>
      </c>
      <c r="R28" s="107">
        <f>MAX($C21:R21)</f>
        <v>272</v>
      </c>
      <c r="S28" s="107">
        <f>MAX($C21:S21)</f>
        <v>272</v>
      </c>
      <c r="T28" s="107">
        <f>MAX($C21:T21)</f>
        <v>272</v>
      </c>
      <c r="U28" s="107">
        <f>MAX($C21:U21)</f>
        <v>272</v>
      </c>
      <c r="V28" s="107">
        <f>MAX($C21:V21)</f>
        <v>272</v>
      </c>
      <c r="W28" s="107">
        <f>MAX($C21:W21)</f>
        <v>272</v>
      </c>
      <c r="X28" s="107">
        <f>MAX($C21:X21)</f>
        <v>272</v>
      </c>
    </row>
    <row r="29" spans="1:25" ht="26.25" x14ac:dyDescent="0.4">
      <c r="A29">
        <v>23</v>
      </c>
      <c r="B29" s="151" t="s">
        <v>79</v>
      </c>
      <c r="C29" s="19">
        <f>MAX(C22)</f>
        <v>417</v>
      </c>
      <c r="D29" s="107">
        <f>MAX($C22:D22)</f>
        <v>424</v>
      </c>
      <c r="E29" s="107">
        <f>MAX($C22:E22)</f>
        <v>424</v>
      </c>
      <c r="F29" s="107">
        <f>MAX($C22:F22)</f>
        <v>448</v>
      </c>
      <c r="G29" s="107">
        <f>MAX($C22:G22)</f>
        <v>478</v>
      </c>
      <c r="H29" s="107">
        <f>MAX($C22:H22)</f>
        <v>478</v>
      </c>
      <c r="I29" s="107">
        <f>MAX($C22:I22)</f>
        <v>478</v>
      </c>
      <c r="J29" s="107">
        <f>MAX($C22:J22)</f>
        <v>478</v>
      </c>
      <c r="K29" s="107">
        <f>MAX($C22:K22)</f>
        <v>577</v>
      </c>
      <c r="L29" s="107">
        <f>MAX($C22:L22)</f>
        <v>577</v>
      </c>
      <c r="M29" s="107">
        <f>MAX($C22:M22)</f>
        <v>577</v>
      </c>
      <c r="N29" s="107">
        <f>MAX($C22:N22)</f>
        <v>577</v>
      </c>
      <c r="O29" s="107">
        <f>MAX($C22:O22)</f>
        <v>577</v>
      </c>
      <c r="P29" s="107">
        <f>MAX($C22:P22)</f>
        <v>577</v>
      </c>
      <c r="Q29" s="107">
        <f>MAX($C22:Q22)</f>
        <v>577</v>
      </c>
      <c r="R29" s="107">
        <f>MAX($C22:R22)</f>
        <v>577</v>
      </c>
      <c r="S29" s="107">
        <f>MAX($C22:S22)</f>
        <v>577</v>
      </c>
      <c r="T29" s="107">
        <f>MAX($C22:T22)</f>
        <v>577</v>
      </c>
      <c r="U29" s="107">
        <f>MAX($C22:U22)</f>
        <v>577</v>
      </c>
      <c r="V29" s="107">
        <f>MAX($C22:V22)</f>
        <v>577</v>
      </c>
      <c r="W29" s="107">
        <f>MAX($C22:W22)</f>
        <v>577</v>
      </c>
      <c r="X29" s="107">
        <f>MAX($C22:X22)</f>
        <v>577</v>
      </c>
    </row>
    <row r="30" spans="1:25" ht="13.15" x14ac:dyDescent="0.4">
      <c r="A30">
        <v>24</v>
      </c>
      <c r="B30" s="151" t="s">
        <v>80</v>
      </c>
      <c r="C30" s="19">
        <f>MAX(C23)</f>
        <v>579</v>
      </c>
      <c r="D30" s="107">
        <f>MAX($C23:D23)</f>
        <v>586</v>
      </c>
      <c r="E30" s="107">
        <f>MAX($C23:E23)</f>
        <v>586</v>
      </c>
      <c r="F30" s="107">
        <f>MAX($C23:F23)</f>
        <v>613</v>
      </c>
      <c r="G30" s="107">
        <f>MAX($C23:G23)</f>
        <v>634</v>
      </c>
      <c r="H30" s="107">
        <f>MAX($C23:H23)</f>
        <v>634</v>
      </c>
      <c r="I30" s="107">
        <f>MAX($C23:I23)</f>
        <v>634</v>
      </c>
      <c r="J30" s="107">
        <f>MAX($C23:J23)</f>
        <v>634</v>
      </c>
      <c r="K30" s="107">
        <f>MAX($C23:K23)</f>
        <v>718</v>
      </c>
      <c r="L30" s="107">
        <f>MAX($C23:L23)</f>
        <v>718</v>
      </c>
      <c r="M30" s="107">
        <f>MAX($C23:M23)</f>
        <v>718</v>
      </c>
      <c r="N30" s="107">
        <f>MAX($C23:N23)</f>
        <v>718</v>
      </c>
      <c r="O30" s="107">
        <f>MAX($C23:O23)</f>
        <v>718</v>
      </c>
      <c r="P30" s="107">
        <f>MAX($C23:P23)</f>
        <v>718</v>
      </c>
      <c r="Q30" s="107">
        <f>MAX($C23:Q23)</f>
        <v>718</v>
      </c>
      <c r="R30" s="107">
        <f>MAX($C23:R23)</f>
        <v>718</v>
      </c>
      <c r="S30" s="107">
        <f>MAX($C23:S23)</f>
        <v>718</v>
      </c>
      <c r="T30" s="107">
        <f>MAX($C23:T23)</f>
        <v>718</v>
      </c>
      <c r="U30" s="107">
        <f>MAX($C23:U23)</f>
        <v>718</v>
      </c>
      <c r="V30" s="107">
        <f>MAX($C23:V23)</f>
        <v>718</v>
      </c>
      <c r="W30" s="107">
        <f>MAX($C23:W23)</f>
        <v>718</v>
      </c>
      <c r="X30" s="107">
        <f>MAX($C23:X23)</f>
        <v>718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315</v>
      </c>
      <c r="G2" s="203" t="s">
        <v>325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63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101</v>
      </c>
      <c r="D9">
        <v>108</v>
      </c>
      <c r="F9">
        <v>118</v>
      </c>
      <c r="G9">
        <v>92</v>
      </c>
      <c r="H9">
        <v>103</v>
      </c>
      <c r="K9">
        <v>153</v>
      </c>
      <c r="L9">
        <v>127</v>
      </c>
      <c r="M9">
        <v>117</v>
      </c>
      <c r="N9">
        <v>149</v>
      </c>
      <c r="P9">
        <v>135</v>
      </c>
      <c r="Q9">
        <v>127</v>
      </c>
      <c r="R9">
        <v>145</v>
      </c>
      <c r="T9">
        <v>118</v>
      </c>
      <c r="U9">
        <v>117</v>
      </c>
      <c r="V9">
        <v>85</v>
      </c>
    </row>
    <row r="10" spans="1:24" ht="13.15" x14ac:dyDescent="0.4">
      <c r="A10">
        <v>4</v>
      </c>
      <c r="B10" s="3" t="s">
        <v>15</v>
      </c>
      <c r="C10">
        <v>83</v>
      </c>
      <c r="D10">
        <v>127</v>
      </c>
      <c r="F10">
        <v>121</v>
      </c>
      <c r="G10">
        <v>101</v>
      </c>
      <c r="H10">
        <v>114</v>
      </c>
      <c r="K10">
        <v>119</v>
      </c>
      <c r="L10">
        <v>179</v>
      </c>
      <c r="M10">
        <v>105</v>
      </c>
      <c r="N10">
        <v>131</v>
      </c>
      <c r="P10">
        <v>139</v>
      </c>
      <c r="Q10">
        <v>108</v>
      </c>
      <c r="R10">
        <v>131</v>
      </c>
      <c r="T10">
        <v>160</v>
      </c>
      <c r="U10">
        <v>150</v>
      </c>
      <c r="V10">
        <v>139</v>
      </c>
    </row>
    <row r="11" spans="1:24" ht="13.15" x14ac:dyDescent="0.4">
      <c r="A11">
        <v>5</v>
      </c>
      <c r="B11" s="3" t="s">
        <v>16</v>
      </c>
      <c r="C11">
        <v>95</v>
      </c>
      <c r="D11">
        <v>166</v>
      </c>
      <c r="F11">
        <v>145</v>
      </c>
      <c r="G11">
        <v>199</v>
      </c>
      <c r="H11">
        <v>133</v>
      </c>
      <c r="L11">
        <v>162</v>
      </c>
      <c r="M11">
        <v>128</v>
      </c>
      <c r="N11">
        <v>162</v>
      </c>
      <c r="P11">
        <v>142</v>
      </c>
      <c r="Q11">
        <v>134</v>
      </c>
      <c r="R11">
        <v>152</v>
      </c>
      <c r="U11">
        <v>129</v>
      </c>
      <c r="V11">
        <v>121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279</v>
      </c>
      <c r="D15" s="18">
        <f t="shared" si="2"/>
        <v>401</v>
      </c>
      <c r="E15" s="18">
        <f t="shared" si="2"/>
        <v>0</v>
      </c>
      <c r="F15" s="18">
        <f t="shared" si="2"/>
        <v>384</v>
      </c>
      <c r="G15" s="18">
        <f t="shared" si="2"/>
        <v>392</v>
      </c>
      <c r="H15" s="18">
        <f t="shared" si="2"/>
        <v>350</v>
      </c>
      <c r="I15" s="18">
        <f t="shared" si="2"/>
        <v>0</v>
      </c>
      <c r="J15" s="18">
        <f t="shared" si="2"/>
        <v>0</v>
      </c>
      <c r="K15" s="18">
        <f t="shared" si="2"/>
        <v>272</v>
      </c>
      <c r="L15" s="18">
        <f t="shared" si="2"/>
        <v>468</v>
      </c>
      <c r="M15" s="18">
        <f t="shared" si="2"/>
        <v>350</v>
      </c>
      <c r="N15" s="18">
        <f t="shared" si="2"/>
        <v>442</v>
      </c>
      <c r="O15" s="18">
        <f t="shared" si="2"/>
        <v>0</v>
      </c>
      <c r="P15" s="18">
        <f t="shared" si="2"/>
        <v>416</v>
      </c>
      <c r="Q15" s="18">
        <f t="shared" si="2"/>
        <v>369</v>
      </c>
      <c r="R15" s="18">
        <f t="shared" si="2"/>
        <v>428</v>
      </c>
      <c r="S15" s="18">
        <f t="shared" si="2"/>
        <v>0</v>
      </c>
      <c r="T15" s="18">
        <f t="shared" si="2"/>
        <v>278</v>
      </c>
      <c r="U15" s="18">
        <f t="shared" si="2"/>
        <v>396</v>
      </c>
      <c r="V15" s="18">
        <f t="shared" si="2"/>
        <v>345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279</v>
      </c>
      <c r="D16" s="19">
        <f t="shared" ref="D16:X16" si="3">+D15+C16</f>
        <v>680</v>
      </c>
      <c r="E16" s="19">
        <f t="shared" si="3"/>
        <v>680</v>
      </c>
      <c r="F16" s="19">
        <f t="shared" si="3"/>
        <v>1064</v>
      </c>
      <c r="G16" s="19">
        <f t="shared" si="3"/>
        <v>1456</v>
      </c>
      <c r="H16" s="19">
        <f t="shared" si="3"/>
        <v>1806</v>
      </c>
      <c r="I16" s="19">
        <f t="shared" si="3"/>
        <v>1806</v>
      </c>
      <c r="J16" s="19">
        <f t="shared" si="3"/>
        <v>1806</v>
      </c>
      <c r="K16" s="19">
        <f t="shared" si="3"/>
        <v>2078</v>
      </c>
      <c r="L16" s="19">
        <f t="shared" si="3"/>
        <v>2546</v>
      </c>
      <c r="M16" s="19">
        <f t="shared" si="3"/>
        <v>2896</v>
      </c>
      <c r="N16" s="19">
        <f t="shared" si="3"/>
        <v>3338</v>
      </c>
      <c r="O16" s="19">
        <f t="shared" si="3"/>
        <v>3338</v>
      </c>
      <c r="P16" s="19">
        <f t="shared" si="3"/>
        <v>3754</v>
      </c>
      <c r="Q16" s="19">
        <f t="shared" si="3"/>
        <v>4123</v>
      </c>
      <c r="R16" s="19">
        <f t="shared" si="3"/>
        <v>4551</v>
      </c>
      <c r="S16" s="19">
        <f t="shared" si="3"/>
        <v>4551</v>
      </c>
      <c r="T16" s="19">
        <f t="shared" si="3"/>
        <v>4829</v>
      </c>
      <c r="U16" s="19">
        <f t="shared" si="3"/>
        <v>5225</v>
      </c>
      <c r="V16" s="19">
        <f t="shared" si="3"/>
        <v>5570</v>
      </c>
      <c r="W16" s="19">
        <f t="shared" si="3"/>
        <v>5570</v>
      </c>
      <c r="X16" s="19">
        <f t="shared" si="3"/>
        <v>5570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93</v>
      </c>
      <c r="D17" s="20">
        <f t="shared" si="4"/>
        <v>113.33333333333333</v>
      </c>
      <c r="E17" s="20">
        <f t="shared" si="4"/>
        <v>113.33333333333333</v>
      </c>
      <c r="F17" s="20">
        <f t="shared" si="4"/>
        <v>118.22222222222223</v>
      </c>
      <c r="G17" s="20">
        <f t="shared" si="4"/>
        <v>121.33333333333333</v>
      </c>
      <c r="H17" s="20">
        <f t="shared" si="4"/>
        <v>120.4</v>
      </c>
      <c r="I17" s="20">
        <f t="shared" si="4"/>
        <v>120.4</v>
      </c>
      <c r="J17" s="20">
        <f t="shared" si="4"/>
        <v>120.4</v>
      </c>
      <c r="K17" s="20">
        <f t="shared" si="4"/>
        <v>122.23529411764706</v>
      </c>
      <c r="L17" s="20">
        <f t="shared" si="4"/>
        <v>127.3</v>
      </c>
      <c r="M17" s="20">
        <f t="shared" si="4"/>
        <v>125.91304347826087</v>
      </c>
      <c r="N17" s="20">
        <f t="shared" si="4"/>
        <v>128.38461538461539</v>
      </c>
      <c r="O17" s="20">
        <f t="shared" si="4"/>
        <v>128.38461538461539</v>
      </c>
      <c r="P17" s="20">
        <f t="shared" si="4"/>
        <v>129.44827586206895</v>
      </c>
      <c r="Q17" s="20">
        <f t="shared" si="4"/>
        <v>128.84375</v>
      </c>
      <c r="R17" s="20">
        <f t="shared" si="4"/>
        <v>130.02857142857144</v>
      </c>
      <c r="S17" s="20">
        <f t="shared" si="4"/>
        <v>130.02857142857144</v>
      </c>
      <c r="T17" s="20">
        <f t="shared" si="4"/>
        <v>130.51351351351352</v>
      </c>
      <c r="U17" s="20">
        <f t="shared" si="4"/>
        <v>130.625</v>
      </c>
      <c r="V17" s="20">
        <f t="shared" si="4"/>
        <v>129.53488372093022</v>
      </c>
      <c r="W17" s="20">
        <f t="shared" si="4"/>
        <v>129.53488372093022</v>
      </c>
      <c r="X17" s="20">
        <f t="shared" si="4"/>
        <v>129.53488372093022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96</v>
      </c>
      <c r="D18" s="19">
        <f t="shared" si="5"/>
        <v>78</v>
      </c>
      <c r="E18" s="19">
        <f t="shared" si="5"/>
        <v>78</v>
      </c>
      <c r="F18" s="19">
        <f t="shared" si="5"/>
        <v>74</v>
      </c>
      <c r="G18" s="19">
        <f t="shared" si="5"/>
        <v>71</v>
      </c>
      <c r="H18" s="19">
        <f t="shared" si="5"/>
        <v>72</v>
      </c>
      <c r="I18" s="19">
        <f t="shared" si="5"/>
        <v>72</v>
      </c>
      <c r="J18" s="19">
        <f t="shared" si="5"/>
        <v>72</v>
      </c>
      <c r="K18" s="19">
        <f t="shared" si="5"/>
        <v>70</v>
      </c>
      <c r="L18" s="19">
        <f t="shared" si="5"/>
        <v>65</v>
      </c>
      <c r="M18" s="19">
        <f t="shared" si="5"/>
        <v>67</v>
      </c>
      <c r="N18" s="19">
        <f t="shared" si="5"/>
        <v>64</v>
      </c>
      <c r="O18" s="19">
        <f t="shared" si="5"/>
        <v>64</v>
      </c>
      <c r="P18" s="19">
        <f t="shared" si="5"/>
        <v>63</v>
      </c>
      <c r="Q18" s="19">
        <f t="shared" si="5"/>
        <v>64</v>
      </c>
      <c r="R18" s="19">
        <f t="shared" si="5"/>
        <v>63</v>
      </c>
      <c r="S18" s="19">
        <f t="shared" si="5"/>
        <v>63</v>
      </c>
      <c r="T18" s="19">
        <f t="shared" si="5"/>
        <v>63</v>
      </c>
      <c r="U18" s="19">
        <f t="shared" si="5"/>
        <v>62</v>
      </c>
      <c r="V18" s="19">
        <f t="shared" si="5"/>
        <v>63</v>
      </c>
      <c r="W18" s="19">
        <f t="shared" si="5"/>
        <v>63</v>
      </c>
      <c r="X18" s="19">
        <f t="shared" si="5"/>
        <v>63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6</v>
      </c>
      <c r="E19" s="19">
        <f t="shared" si="6"/>
        <v>6</v>
      </c>
      <c r="F19" s="19">
        <f t="shared" si="6"/>
        <v>9</v>
      </c>
      <c r="G19" s="19">
        <f t="shared" si="6"/>
        <v>12</v>
      </c>
      <c r="H19" s="19">
        <f t="shared" si="6"/>
        <v>15</v>
      </c>
      <c r="I19" s="19">
        <f t="shared" si="6"/>
        <v>15</v>
      </c>
      <c r="J19" s="19">
        <f t="shared" si="6"/>
        <v>15</v>
      </c>
      <c r="K19" s="19">
        <f t="shared" si="6"/>
        <v>17</v>
      </c>
      <c r="L19" s="19">
        <f t="shared" si="6"/>
        <v>20</v>
      </c>
      <c r="M19" s="19">
        <f t="shared" si="6"/>
        <v>23</v>
      </c>
      <c r="N19" s="19">
        <f t="shared" si="6"/>
        <v>26</v>
      </c>
      <c r="O19" s="19">
        <f t="shared" si="6"/>
        <v>26</v>
      </c>
      <c r="P19" s="19">
        <f t="shared" si="6"/>
        <v>29</v>
      </c>
      <c r="Q19" s="19">
        <f t="shared" si="6"/>
        <v>32</v>
      </c>
      <c r="R19" s="19">
        <f t="shared" si="6"/>
        <v>35</v>
      </c>
      <c r="S19" s="19">
        <f t="shared" si="6"/>
        <v>35</v>
      </c>
      <c r="T19" s="19">
        <f t="shared" si="6"/>
        <v>37</v>
      </c>
      <c r="U19" s="19">
        <f t="shared" si="6"/>
        <v>40</v>
      </c>
      <c r="V19" s="19">
        <f t="shared" si="6"/>
        <v>43</v>
      </c>
      <c r="W19" s="19">
        <f t="shared" si="6"/>
        <v>43</v>
      </c>
      <c r="X19" s="19">
        <f t="shared" si="6"/>
        <v>43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101</v>
      </c>
      <c r="D20" s="19">
        <f t="shared" si="7"/>
        <v>166</v>
      </c>
      <c r="E20" s="19">
        <f t="shared" si="7"/>
        <v>0</v>
      </c>
      <c r="F20" s="19">
        <f t="shared" si="7"/>
        <v>145</v>
      </c>
      <c r="G20" s="19">
        <f t="shared" si="7"/>
        <v>199</v>
      </c>
      <c r="H20" s="19">
        <f t="shared" si="7"/>
        <v>133</v>
      </c>
      <c r="I20" s="19">
        <f t="shared" si="7"/>
        <v>0</v>
      </c>
      <c r="J20" s="19">
        <f t="shared" si="7"/>
        <v>0</v>
      </c>
      <c r="K20" s="19">
        <f t="shared" si="7"/>
        <v>153</v>
      </c>
      <c r="L20" s="19">
        <f t="shared" si="7"/>
        <v>179</v>
      </c>
      <c r="M20" s="19">
        <f t="shared" si="7"/>
        <v>128</v>
      </c>
      <c r="N20" s="19">
        <f t="shared" si="7"/>
        <v>162</v>
      </c>
      <c r="O20" s="19">
        <f t="shared" si="7"/>
        <v>0</v>
      </c>
      <c r="P20" s="19">
        <f t="shared" si="7"/>
        <v>142</v>
      </c>
      <c r="Q20" s="19">
        <f t="shared" si="7"/>
        <v>134</v>
      </c>
      <c r="R20" s="19">
        <f t="shared" si="7"/>
        <v>152</v>
      </c>
      <c r="S20" s="19">
        <f t="shared" si="7"/>
        <v>0</v>
      </c>
      <c r="T20" s="19">
        <f t="shared" si="7"/>
        <v>160</v>
      </c>
      <c r="U20" s="19">
        <f t="shared" si="7"/>
        <v>150</v>
      </c>
      <c r="V20" s="19">
        <f t="shared" si="7"/>
        <v>139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MAX(C$9:C$14)+C18</f>
        <v>197</v>
      </c>
      <c r="D21" s="19">
        <f t="shared" ref="D21" si="8">MAX(D$9:D$14)+C18</f>
        <v>262</v>
      </c>
      <c r="E21" s="19">
        <f t="shared" ref="E21:X21" si="9">MAX(E$9:E$14)+D18</f>
        <v>78</v>
      </c>
      <c r="F21" s="19">
        <f t="shared" si="9"/>
        <v>223</v>
      </c>
      <c r="G21" s="19">
        <f t="shared" si="9"/>
        <v>273</v>
      </c>
      <c r="H21" s="19">
        <f t="shared" si="9"/>
        <v>204</v>
      </c>
      <c r="I21" s="19">
        <f t="shared" si="9"/>
        <v>72</v>
      </c>
      <c r="J21" s="19">
        <f t="shared" si="9"/>
        <v>72</v>
      </c>
      <c r="K21" s="19">
        <f t="shared" si="9"/>
        <v>225</v>
      </c>
      <c r="L21" s="19">
        <f t="shared" si="9"/>
        <v>249</v>
      </c>
      <c r="M21" s="19">
        <f t="shared" si="9"/>
        <v>193</v>
      </c>
      <c r="N21" s="19">
        <f t="shared" si="9"/>
        <v>229</v>
      </c>
      <c r="O21" s="19">
        <f t="shared" si="9"/>
        <v>64</v>
      </c>
      <c r="P21" s="19">
        <f t="shared" si="9"/>
        <v>206</v>
      </c>
      <c r="Q21" s="19">
        <f t="shared" si="9"/>
        <v>197</v>
      </c>
      <c r="R21" s="19">
        <f t="shared" si="9"/>
        <v>216</v>
      </c>
      <c r="S21" s="19">
        <f t="shared" si="9"/>
        <v>63</v>
      </c>
      <c r="T21" s="19">
        <f t="shared" si="9"/>
        <v>223</v>
      </c>
      <c r="U21" s="19">
        <f t="shared" si="9"/>
        <v>213</v>
      </c>
      <c r="V21" s="19">
        <f t="shared" si="9"/>
        <v>201</v>
      </c>
      <c r="W21" s="19">
        <f t="shared" si="9"/>
        <v>63</v>
      </c>
      <c r="X21" s="19">
        <f t="shared" si="9"/>
        <v>63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279</v>
      </c>
      <c r="D22" s="19">
        <f t="shared" ref="D22:X22" si="10">MAX(SUM(D$9:D$11),SUM(D$12:D$14))</f>
        <v>401</v>
      </c>
      <c r="E22" s="19">
        <f t="shared" si="10"/>
        <v>0</v>
      </c>
      <c r="F22" s="19">
        <f t="shared" si="10"/>
        <v>384</v>
      </c>
      <c r="G22" s="19">
        <f t="shared" si="10"/>
        <v>392</v>
      </c>
      <c r="H22" s="19">
        <f t="shared" si="10"/>
        <v>350</v>
      </c>
      <c r="I22" s="19">
        <f t="shared" si="10"/>
        <v>0</v>
      </c>
      <c r="J22" s="19">
        <f t="shared" si="10"/>
        <v>0</v>
      </c>
      <c r="K22" s="19">
        <f t="shared" si="10"/>
        <v>272</v>
      </c>
      <c r="L22" s="19">
        <f t="shared" si="10"/>
        <v>468</v>
      </c>
      <c r="M22" s="19">
        <f t="shared" si="10"/>
        <v>350</v>
      </c>
      <c r="N22" s="19">
        <f t="shared" si="10"/>
        <v>442</v>
      </c>
      <c r="O22" s="19">
        <f t="shared" si="10"/>
        <v>0</v>
      </c>
      <c r="P22" s="19">
        <f t="shared" si="10"/>
        <v>416</v>
      </c>
      <c r="Q22" s="19">
        <f t="shared" si="10"/>
        <v>369</v>
      </c>
      <c r="R22" s="19">
        <f t="shared" si="10"/>
        <v>428</v>
      </c>
      <c r="S22" s="19">
        <f t="shared" si="10"/>
        <v>0</v>
      </c>
      <c r="T22" s="19">
        <f t="shared" si="10"/>
        <v>278</v>
      </c>
      <c r="U22" s="19">
        <f t="shared" si="10"/>
        <v>396</v>
      </c>
      <c r="V22" s="19">
        <f t="shared" si="10"/>
        <v>345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308">
        <f>MAX(SUM(C$9:C$11),SUM(C$12:C$14))+C18*3</f>
        <v>567</v>
      </c>
      <c r="D23" s="19">
        <f t="shared" ref="D23" si="11">MAX(SUM(D$9:D$11),SUM(D$12:D$14))+C18*3</f>
        <v>689</v>
      </c>
      <c r="E23" s="19">
        <f t="shared" ref="E23:X23" si="12">MAX(SUM(E$9:E$11),SUM(E$12:E$14))+D18*3</f>
        <v>234</v>
      </c>
      <c r="F23" s="19">
        <f t="shared" si="12"/>
        <v>618</v>
      </c>
      <c r="G23" s="19">
        <f t="shared" si="12"/>
        <v>614</v>
      </c>
      <c r="H23" s="19">
        <f t="shared" si="12"/>
        <v>563</v>
      </c>
      <c r="I23" s="19">
        <f t="shared" si="12"/>
        <v>216</v>
      </c>
      <c r="J23" s="19">
        <f t="shared" si="12"/>
        <v>216</v>
      </c>
      <c r="K23" s="19">
        <f t="shared" si="12"/>
        <v>488</v>
      </c>
      <c r="L23" s="19">
        <f t="shared" si="12"/>
        <v>678</v>
      </c>
      <c r="M23" s="19">
        <f t="shared" si="12"/>
        <v>545</v>
      </c>
      <c r="N23" s="19">
        <f t="shared" si="12"/>
        <v>643</v>
      </c>
      <c r="O23" s="19">
        <f t="shared" si="12"/>
        <v>192</v>
      </c>
      <c r="P23" s="19">
        <f t="shared" si="12"/>
        <v>608</v>
      </c>
      <c r="Q23" s="19">
        <f t="shared" si="12"/>
        <v>558</v>
      </c>
      <c r="R23" s="19">
        <f t="shared" si="12"/>
        <v>620</v>
      </c>
      <c r="S23" s="19">
        <f t="shared" si="12"/>
        <v>189</v>
      </c>
      <c r="T23" s="19">
        <f t="shared" si="12"/>
        <v>467</v>
      </c>
      <c r="U23" s="19">
        <f t="shared" si="12"/>
        <v>585</v>
      </c>
      <c r="V23" s="19">
        <f t="shared" si="12"/>
        <v>531</v>
      </c>
      <c r="W23" s="19">
        <f t="shared" si="12"/>
        <v>189</v>
      </c>
      <c r="X23" s="19">
        <f t="shared" si="12"/>
        <v>189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101</v>
      </c>
      <c r="D27" s="107">
        <f>MAX($C20:D20)</f>
        <v>166</v>
      </c>
      <c r="E27" s="107">
        <f>MAX($C20:E20)</f>
        <v>166</v>
      </c>
      <c r="F27" s="107">
        <f>MAX($C20:F20)</f>
        <v>166</v>
      </c>
      <c r="G27" s="107">
        <f>MAX($C20:G20)</f>
        <v>199</v>
      </c>
      <c r="H27" s="107">
        <f>MAX($C20:H20)</f>
        <v>199</v>
      </c>
      <c r="I27" s="107">
        <f>MAX($C20:I20)</f>
        <v>199</v>
      </c>
      <c r="J27" s="107">
        <f>MAX($C20:J20)</f>
        <v>199</v>
      </c>
      <c r="K27" s="107">
        <f>MAX($C20:K20)</f>
        <v>199</v>
      </c>
      <c r="L27" s="107">
        <f>MAX($C20:L20)</f>
        <v>199</v>
      </c>
      <c r="M27" s="107">
        <f>MAX($C20:M20)</f>
        <v>199</v>
      </c>
      <c r="N27" s="107">
        <f>MAX($C20:N20)</f>
        <v>199</v>
      </c>
      <c r="O27" s="107">
        <f>MAX($C20:O20)</f>
        <v>199</v>
      </c>
      <c r="P27" s="107">
        <f>MAX($C20:P20)</f>
        <v>199</v>
      </c>
      <c r="Q27" s="107">
        <f>MAX($C20:Q20)</f>
        <v>199</v>
      </c>
      <c r="R27" s="107">
        <f>MAX($C20:R20)</f>
        <v>199</v>
      </c>
      <c r="S27" s="107">
        <f>MAX($C20:S20)</f>
        <v>199</v>
      </c>
      <c r="T27" s="107">
        <f>MAX($C20:T20)</f>
        <v>199</v>
      </c>
      <c r="U27" s="107">
        <f>MAX($C20:U20)</f>
        <v>199</v>
      </c>
      <c r="V27" s="107">
        <f>MAX($C20:V20)</f>
        <v>199</v>
      </c>
      <c r="W27" s="107">
        <f>MAX($C20:W20)</f>
        <v>199</v>
      </c>
      <c r="X27" s="107">
        <f>MAX($C20:X20)</f>
        <v>199</v>
      </c>
    </row>
    <row r="28" spans="1:25" ht="13.15" x14ac:dyDescent="0.4">
      <c r="A28">
        <v>22</v>
      </c>
      <c r="B28" s="151" t="s">
        <v>78</v>
      </c>
      <c r="C28" s="19">
        <f>MAX(C21)</f>
        <v>197</v>
      </c>
      <c r="D28" s="107">
        <f>MAX($C21:D21)</f>
        <v>262</v>
      </c>
      <c r="E28" s="107">
        <f>MAX($C21:E21)</f>
        <v>262</v>
      </c>
      <c r="F28" s="107">
        <f>MAX($C21:F21)</f>
        <v>262</v>
      </c>
      <c r="G28" s="107">
        <f>MAX($C21:G21)</f>
        <v>273</v>
      </c>
      <c r="H28" s="107">
        <f>MAX($C21:H21)</f>
        <v>273</v>
      </c>
      <c r="I28" s="107">
        <f>MAX($C21:I21)</f>
        <v>273</v>
      </c>
      <c r="J28" s="107">
        <f>MAX($C21:J21)</f>
        <v>273</v>
      </c>
      <c r="K28" s="107">
        <f>MAX($C21:K21)</f>
        <v>273</v>
      </c>
      <c r="L28" s="107">
        <f>MAX($C21:L21)</f>
        <v>273</v>
      </c>
      <c r="M28" s="107">
        <f>MAX($C21:M21)</f>
        <v>273</v>
      </c>
      <c r="N28" s="107">
        <f>MAX($C21:N21)</f>
        <v>273</v>
      </c>
      <c r="O28" s="107">
        <f>MAX($C21:O21)</f>
        <v>273</v>
      </c>
      <c r="P28" s="107">
        <f>MAX($C21:P21)</f>
        <v>273</v>
      </c>
      <c r="Q28" s="107">
        <f>MAX($C21:Q21)</f>
        <v>273</v>
      </c>
      <c r="R28" s="107">
        <f>MAX($C21:R21)</f>
        <v>273</v>
      </c>
      <c r="S28" s="107">
        <f>MAX($C21:S21)</f>
        <v>273</v>
      </c>
      <c r="T28" s="107">
        <f>MAX($C21:T21)</f>
        <v>273</v>
      </c>
      <c r="U28" s="107">
        <f>MAX($C21:U21)</f>
        <v>273</v>
      </c>
      <c r="V28" s="107">
        <f>MAX($C21:V21)</f>
        <v>273</v>
      </c>
      <c r="W28" s="107">
        <f>MAX($C21:W21)</f>
        <v>273</v>
      </c>
      <c r="X28" s="107">
        <f>MAX($C21:X21)</f>
        <v>273</v>
      </c>
    </row>
    <row r="29" spans="1:25" ht="26.25" x14ac:dyDescent="0.4">
      <c r="A29">
        <v>23</v>
      </c>
      <c r="B29" s="151" t="s">
        <v>79</v>
      </c>
      <c r="C29" s="19">
        <f>MAX(C22)</f>
        <v>279</v>
      </c>
      <c r="D29" s="107">
        <f>MAX($C22:D22)</f>
        <v>401</v>
      </c>
      <c r="E29" s="107">
        <f>MAX($C22:E22)</f>
        <v>401</v>
      </c>
      <c r="F29" s="107">
        <f>MAX($C22:F22)</f>
        <v>401</v>
      </c>
      <c r="G29" s="107">
        <f>MAX($C22:G22)</f>
        <v>401</v>
      </c>
      <c r="H29" s="107">
        <f>MAX($C22:H22)</f>
        <v>401</v>
      </c>
      <c r="I29" s="107">
        <f>MAX($C22:I22)</f>
        <v>401</v>
      </c>
      <c r="J29" s="107">
        <f>MAX($C22:J22)</f>
        <v>401</v>
      </c>
      <c r="K29" s="107">
        <f>MAX($C22:K22)</f>
        <v>401</v>
      </c>
      <c r="L29" s="107">
        <f>MAX($C22:L22)</f>
        <v>468</v>
      </c>
      <c r="M29" s="107">
        <f>MAX($C22:M22)</f>
        <v>468</v>
      </c>
      <c r="N29" s="107">
        <f>MAX($C22:N22)</f>
        <v>468</v>
      </c>
      <c r="O29" s="107">
        <f>MAX($C22:O22)</f>
        <v>468</v>
      </c>
      <c r="P29" s="107">
        <f>MAX($C22:P22)</f>
        <v>468</v>
      </c>
      <c r="Q29" s="107">
        <f>MAX($C22:Q22)</f>
        <v>468</v>
      </c>
      <c r="R29" s="107">
        <f>MAX($C22:R22)</f>
        <v>468</v>
      </c>
      <c r="S29" s="107">
        <f>MAX($C22:S22)</f>
        <v>468</v>
      </c>
      <c r="T29" s="107">
        <f>MAX($C22:T22)</f>
        <v>468</v>
      </c>
      <c r="U29" s="107">
        <f>MAX($C22:U22)</f>
        <v>468</v>
      </c>
      <c r="V29" s="107">
        <f>MAX($C22:V22)</f>
        <v>468</v>
      </c>
      <c r="W29" s="107">
        <f>MAX($C22:W22)</f>
        <v>468</v>
      </c>
      <c r="X29" s="107">
        <f>MAX($C22:X22)</f>
        <v>468</v>
      </c>
    </row>
    <row r="30" spans="1:25" ht="13.15" x14ac:dyDescent="0.4">
      <c r="A30">
        <v>24</v>
      </c>
      <c r="B30" s="151" t="s">
        <v>80</v>
      </c>
      <c r="C30" s="19">
        <f>MAX(C23)</f>
        <v>567</v>
      </c>
      <c r="D30" s="107">
        <f>MAX($C23:D23)</f>
        <v>689</v>
      </c>
      <c r="E30" s="107">
        <f>MAX($C23:E23)</f>
        <v>689</v>
      </c>
      <c r="F30" s="107">
        <f>MAX($C23:F23)</f>
        <v>689</v>
      </c>
      <c r="G30" s="107">
        <f>MAX($C23:G23)</f>
        <v>689</v>
      </c>
      <c r="H30" s="107">
        <f>MAX($C23:H23)</f>
        <v>689</v>
      </c>
      <c r="I30" s="107">
        <f>MAX($C23:I23)</f>
        <v>689</v>
      </c>
      <c r="J30" s="107">
        <f>MAX($C23:J23)</f>
        <v>689</v>
      </c>
      <c r="K30" s="107">
        <f>MAX($C23:K23)</f>
        <v>689</v>
      </c>
      <c r="L30" s="107">
        <f>MAX($C23:L23)</f>
        <v>689</v>
      </c>
      <c r="M30" s="107">
        <f>MAX($C23:M23)</f>
        <v>689</v>
      </c>
      <c r="N30" s="107">
        <f>MAX($C23:N23)</f>
        <v>689</v>
      </c>
      <c r="O30" s="107">
        <f>MAX($C23:O23)</f>
        <v>689</v>
      </c>
      <c r="P30" s="107">
        <f>MAX($C23:P23)</f>
        <v>689</v>
      </c>
      <c r="Q30" s="107">
        <f>MAX($C23:Q23)</f>
        <v>689</v>
      </c>
      <c r="R30" s="107">
        <f>MAX($C23:R23)</f>
        <v>689</v>
      </c>
      <c r="S30" s="107">
        <f>MAX($C23:S23)</f>
        <v>689</v>
      </c>
      <c r="T30" s="107">
        <f>MAX($C23:T23)</f>
        <v>689</v>
      </c>
      <c r="U30" s="107">
        <f>MAX($C23:U23)</f>
        <v>689</v>
      </c>
      <c r="V30" s="107">
        <f>MAX($C23:V23)</f>
        <v>689</v>
      </c>
      <c r="W30" s="107">
        <f>MAX($C23:W23)</f>
        <v>689</v>
      </c>
      <c r="X30" s="107">
        <f>MAX($C23:X23)</f>
        <v>689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204</v>
      </c>
      <c r="G2" s="203" t="s">
        <v>205</v>
      </c>
      <c r="H2" s="224">
        <v>3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41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39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89</v>
      </c>
      <c r="D9">
        <v>155</v>
      </c>
      <c r="E9">
        <v>146</v>
      </c>
      <c r="F9">
        <v>153</v>
      </c>
      <c r="G9">
        <v>153</v>
      </c>
      <c r="H9">
        <v>199</v>
      </c>
      <c r="I9">
        <v>147</v>
      </c>
      <c r="J9">
        <v>117</v>
      </c>
      <c r="K9">
        <v>129</v>
      </c>
      <c r="L9">
        <v>139</v>
      </c>
      <c r="N9">
        <v>179</v>
      </c>
      <c r="O9">
        <v>100</v>
      </c>
      <c r="P9">
        <v>166</v>
      </c>
      <c r="Q9">
        <v>127</v>
      </c>
      <c r="S9">
        <v>129</v>
      </c>
      <c r="T9">
        <v>127</v>
      </c>
    </row>
    <row r="10" spans="1:24" ht="13.15" x14ac:dyDescent="0.4">
      <c r="A10">
        <v>4</v>
      </c>
      <c r="B10" s="3" t="s">
        <v>15</v>
      </c>
      <c r="C10">
        <v>178</v>
      </c>
      <c r="D10">
        <v>159</v>
      </c>
      <c r="E10">
        <v>133</v>
      </c>
      <c r="F10">
        <v>163</v>
      </c>
      <c r="G10">
        <v>136</v>
      </c>
      <c r="H10">
        <v>187</v>
      </c>
      <c r="I10">
        <v>201</v>
      </c>
      <c r="J10">
        <v>134</v>
      </c>
      <c r="K10">
        <v>143</v>
      </c>
      <c r="L10">
        <v>136</v>
      </c>
      <c r="N10">
        <v>162</v>
      </c>
      <c r="O10">
        <v>124</v>
      </c>
      <c r="P10">
        <v>146</v>
      </c>
      <c r="Q10">
        <v>173</v>
      </c>
      <c r="S10">
        <v>150</v>
      </c>
      <c r="T10">
        <v>205</v>
      </c>
    </row>
    <row r="11" spans="1:24" ht="13.15" x14ac:dyDescent="0.4">
      <c r="A11">
        <v>5</v>
      </c>
      <c r="B11" s="3" t="s">
        <v>16</v>
      </c>
      <c r="C11">
        <v>169</v>
      </c>
      <c r="D11">
        <v>191</v>
      </c>
      <c r="E11">
        <v>178</v>
      </c>
      <c r="F11">
        <v>179</v>
      </c>
      <c r="G11">
        <v>133</v>
      </c>
      <c r="H11">
        <v>186</v>
      </c>
      <c r="I11">
        <v>131</v>
      </c>
      <c r="J11">
        <v>147</v>
      </c>
      <c r="K11">
        <v>198</v>
      </c>
      <c r="N11">
        <v>147</v>
      </c>
      <c r="O11">
        <v>170</v>
      </c>
      <c r="P11">
        <v>204</v>
      </c>
      <c r="S11">
        <v>136</v>
      </c>
      <c r="T11">
        <v>152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436</v>
      </c>
      <c r="D15" s="18">
        <f t="shared" si="2"/>
        <v>505</v>
      </c>
      <c r="E15" s="18">
        <f t="shared" si="2"/>
        <v>457</v>
      </c>
      <c r="F15" s="18">
        <f t="shared" si="2"/>
        <v>495</v>
      </c>
      <c r="G15" s="18">
        <f t="shared" si="2"/>
        <v>422</v>
      </c>
      <c r="H15" s="18">
        <f t="shared" si="2"/>
        <v>572</v>
      </c>
      <c r="I15" s="18">
        <f t="shared" si="2"/>
        <v>479</v>
      </c>
      <c r="J15" s="18">
        <f t="shared" si="2"/>
        <v>398</v>
      </c>
      <c r="K15" s="18">
        <f t="shared" si="2"/>
        <v>470</v>
      </c>
      <c r="L15" s="18">
        <f t="shared" si="2"/>
        <v>275</v>
      </c>
      <c r="M15" s="18">
        <f t="shared" si="2"/>
        <v>0</v>
      </c>
      <c r="N15" s="18">
        <f t="shared" si="2"/>
        <v>488</v>
      </c>
      <c r="O15" s="18">
        <f t="shared" si="2"/>
        <v>394</v>
      </c>
      <c r="P15" s="18">
        <f t="shared" si="2"/>
        <v>516</v>
      </c>
      <c r="Q15" s="18">
        <f t="shared" si="2"/>
        <v>300</v>
      </c>
      <c r="R15" s="18">
        <f t="shared" si="2"/>
        <v>0</v>
      </c>
      <c r="S15" s="18">
        <f t="shared" si="2"/>
        <v>415</v>
      </c>
      <c r="T15" s="18">
        <f t="shared" si="2"/>
        <v>484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436</v>
      </c>
      <c r="D16" s="19">
        <f t="shared" ref="D16:X16" si="3">+D15+C16</f>
        <v>941</v>
      </c>
      <c r="E16" s="19">
        <f t="shared" si="3"/>
        <v>1398</v>
      </c>
      <c r="F16" s="19">
        <f t="shared" si="3"/>
        <v>1893</v>
      </c>
      <c r="G16" s="19">
        <f t="shared" si="3"/>
        <v>2315</v>
      </c>
      <c r="H16" s="19">
        <f t="shared" si="3"/>
        <v>2887</v>
      </c>
      <c r="I16" s="19">
        <f t="shared" si="3"/>
        <v>3366</v>
      </c>
      <c r="J16" s="19">
        <f t="shared" si="3"/>
        <v>3764</v>
      </c>
      <c r="K16" s="19">
        <f t="shared" si="3"/>
        <v>4234</v>
      </c>
      <c r="L16" s="19">
        <f t="shared" si="3"/>
        <v>4509</v>
      </c>
      <c r="M16" s="19">
        <f t="shared" si="3"/>
        <v>4509</v>
      </c>
      <c r="N16" s="19">
        <f t="shared" si="3"/>
        <v>4997</v>
      </c>
      <c r="O16" s="19">
        <f t="shared" si="3"/>
        <v>5391</v>
      </c>
      <c r="P16" s="19">
        <f t="shared" si="3"/>
        <v>5907</v>
      </c>
      <c r="Q16" s="19">
        <f t="shared" si="3"/>
        <v>6207</v>
      </c>
      <c r="R16" s="19">
        <f t="shared" si="3"/>
        <v>6207</v>
      </c>
      <c r="S16" s="19">
        <f t="shared" si="3"/>
        <v>6622</v>
      </c>
      <c r="T16" s="19">
        <f t="shared" si="3"/>
        <v>7106</v>
      </c>
      <c r="U16" s="19">
        <f t="shared" si="3"/>
        <v>7106</v>
      </c>
      <c r="V16" s="19">
        <f t="shared" si="3"/>
        <v>7106</v>
      </c>
      <c r="W16" s="19">
        <f t="shared" si="3"/>
        <v>7106</v>
      </c>
      <c r="X16" s="19">
        <f t="shared" si="3"/>
        <v>7106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145.33333333333334</v>
      </c>
      <c r="D17" s="20">
        <f t="shared" si="4"/>
        <v>156.83333333333334</v>
      </c>
      <c r="E17" s="20">
        <f t="shared" si="4"/>
        <v>155.33333333333334</v>
      </c>
      <c r="F17" s="20">
        <f t="shared" si="4"/>
        <v>157.75</v>
      </c>
      <c r="G17" s="20">
        <f t="shared" si="4"/>
        <v>154.33333333333334</v>
      </c>
      <c r="H17" s="20">
        <f t="shared" si="4"/>
        <v>160.38888888888889</v>
      </c>
      <c r="I17" s="20">
        <f t="shared" si="4"/>
        <v>160.28571428571428</v>
      </c>
      <c r="J17" s="20">
        <f t="shared" si="4"/>
        <v>156.83333333333334</v>
      </c>
      <c r="K17" s="20">
        <f t="shared" si="4"/>
        <v>156.81481481481481</v>
      </c>
      <c r="L17" s="20">
        <f t="shared" si="4"/>
        <v>155.48275862068965</v>
      </c>
      <c r="M17" s="20">
        <f t="shared" si="4"/>
        <v>155.48275862068965</v>
      </c>
      <c r="N17" s="20">
        <f t="shared" si="4"/>
        <v>156.15625</v>
      </c>
      <c r="O17" s="20">
        <f t="shared" si="4"/>
        <v>154.02857142857144</v>
      </c>
      <c r="P17" s="20">
        <f t="shared" si="4"/>
        <v>155.44736842105263</v>
      </c>
      <c r="Q17" s="20">
        <f t="shared" si="4"/>
        <v>155.17500000000001</v>
      </c>
      <c r="R17" s="20">
        <f t="shared" si="4"/>
        <v>155.17500000000001</v>
      </c>
      <c r="S17" s="20">
        <f t="shared" si="4"/>
        <v>154</v>
      </c>
      <c r="T17" s="20">
        <f t="shared" si="4"/>
        <v>154.47826086956522</v>
      </c>
      <c r="U17" s="20">
        <f t="shared" si="4"/>
        <v>154.47826086956522</v>
      </c>
      <c r="V17" s="20">
        <f t="shared" si="4"/>
        <v>154.47826086956522</v>
      </c>
      <c r="W17" s="20">
        <f t="shared" si="4"/>
        <v>154.47826086956522</v>
      </c>
      <c r="X17" s="20">
        <f t="shared" si="4"/>
        <v>154.47826086956522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49</v>
      </c>
      <c r="D18" s="19">
        <f t="shared" si="5"/>
        <v>39</v>
      </c>
      <c r="E18" s="19">
        <f t="shared" si="5"/>
        <v>40</v>
      </c>
      <c r="F18" s="19">
        <f t="shared" si="5"/>
        <v>38</v>
      </c>
      <c r="G18" s="19">
        <f t="shared" si="5"/>
        <v>41</v>
      </c>
      <c r="H18" s="19">
        <f t="shared" si="5"/>
        <v>36</v>
      </c>
      <c r="I18" s="19">
        <f t="shared" si="5"/>
        <v>36</v>
      </c>
      <c r="J18" s="19">
        <f t="shared" si="5"/>
        <v>39</v>
      </c>
      <c r="K18" s="19">
        <f t="shared" si="5"/>
        <v>39</v>
      </c>
      <c r="L18" s="19">
        <f t="shared" si="5"/>
        <v>40</v>
      </c>
      <c r="M18" s="19">
        <f t="shared" si="5"/>
        <v>40</v>
      </c>
      <c r="N18" s="19">
        <f t="shared" si="5"/>
        <v>39</v>
      </c>
      <c r="O18" s="19">
        <f t="shared" si="5"/>
        <v>41</v>
      </c>
      <c r="P18" s="19">
        <f t="shared" si="5"/>
        <v>40</v>
      </c>
      <c r="Q18" s="19">
        <f t="shared" si="5"/>
        <v>40</v>
      </c>
      <c r="R18" s="19">
        <f t="shared" si="5"/>
        <v>40</v>
      </c>
      <c r="S18" s="19">
        <f t="shared" si="5"/>
        <v>41</v>
      </c>
      <c r="T18" s="19">
        <f t="shared" si="5"/>
        <v>41</v>
      </c>
      <c r="U18" s="19">
        <f t="shared" si="5"/>
        <v>41</v>
      </c>
      <c r="V18" s="19">
        <f t="shared" si="5"/>
        <v>41</v>
      </c>
      <c r="W18" s="19">
        <f t="shared" si="5"/>
        <v>41</v>
      </c>
      <c r="X18" s="19">
        <f t="shared" si="5"/>
        <v>41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6</v>
      </c>
      <c r="E19" s="19">
        <f t="shared" si="6"/>
        <v>9</v>
      </c>
      <c r="F19" s="19">
        <f t="shared" si="6"/>
        <v>12</v>
      </c>
      <c r="G19" s="19">
        <f t="shared" si="6"/>
        <v>15</v>
      </c>
      <c r="H19" s="19">
        <f t="shared" si="6"/>
        <v>18</v>
      </c>
      <c r="I19" s="19">
        <f t="shared" si="6"/>
        <v>21</v>
      </c>
      <c r="J19" s="19">
        <f t="shared" si="6"/>
        <v>24</v>
      </c>
      <c r="K19" s="19">
        <f t="shared" si="6"/>
        <v>27</v>
      </c>
      <c r="L19" s="19">
        <f t="shared" si="6"/>
        <v>29</v>
      </c>
      <c r="M19" s="19">
        <f t="shared" si="6"/>
        <v>29</v>
      </c>
      <c r="N19" s="19">
        <f t="shared" si="6"/>
        <v>32</v>
      </c>
      <c r="O19" s="19">
        <f t="shared" si="6"/>
        <v>35</v>
      </c>
      <c r="P19" s="19">
        <f t="shared" si="6"/>
        <v>38</v>
      </c>
      <c r="Q19" s="19">
        <f t="shared" si="6"/>
        <v>40</v>
      </c>
      <c r="R19" s="19">
        <f t="shared" si="6"/>
        <v>40</v>
      </c>
      <c r="S19" s="19">
        <f t="shared" si="6"/>
        <v>43</v>
      </c>
      <c r="T19" s="19">
        <f t="shared" si="6"/>
        <v>46</v>
      </c>
      <c r="U19" s="19">
        <f t="shared" si="6"/>
        <v>46</v>
      </c>
      <c r="V19" s="19">
        <f t="shared" si="6"/>
        <v>46</v>
      </c>
      <c r="W19" s="19">
        <f t="shared" si="6"/>
        <v>46</v>
      </c>
      <c r="X19" s="19">
        <f t="shared" si="6"/>
        <v>46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178</v>
      </c>
      <c r="D20" s="19">
        <f t="shared" si="7"/>
        <v>191</v>
      </c>
      <c r="E20" s="19">
        <f t="shared" si="7"/>
        <v>178</v>
      </c>
      <c r="F20" s="19">
        <f t="shared" si="7"/>
        <v>179</v>
      </c>
      <c r="G20" s="19">
        <f t="shared" si="7"/>
        <v>153</v>
      </c>
      <c r="H20" s="19">
        <f t="shared" si="7"/>
        <v>199</v>
      </c>
      <c r="I20" s="19">
        <f t="shared" si="7"/>
        <v>201</v>
      </c>
      <c r="J20" s="19">
        <f t="shared" si="7"/>
        <v>147</v>
      </c>
      <c r="K20" s="19">
        <f t="shared" si="7"/>
        <v>198</v>
      </c>
      <c r="L20" s="19">
        <f t="shared" si="7"/>
        <v>139</v>
      </c>
      <c r="M20" s="19">
        <f t="shared" si="7"/>
        <v>0</v>
      </c>
      <c r="N20" s="19">
        <f t="shared" si="7"/>
        <v>179</v>
      </c>
      <c r="O20" s="19">
        <f t="shared" si="7"/>
        <v>170</v>
      </c>
      <c r="P20" s="19">
        <f t="shared" si="7"/>
        <v>204</v>
      </c>
      <c r="Q20" s="19">
        <f t="shared" si="7"/>
        <v>173</v>
      </c>
      <c r="R20" s="19">
        <f t="shared" si="7"/>
        <v>0</v>
      </c>
      <c r="S20" s="19">
        <f t="shared" si="7"/>
        <v>150</v>
      </c>
      <c r="T20" s="19">
        <f t="shared" si="7"/>
        <v>205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217</v>
      </c>
      <c r="D21" s="19">
        <f>MAX(D$9:D$14)+$I$5</f>
        <v>230</v>
      </c>
      <c r="E21" s="19">
        <f t="shared" ref="E21:X21" si="8">MAX(E$9:E$14)+D18</f>
        <v>217</v>
      </c>
      <c r="F21" s="19">
        <f t="shared" si="8"/>
        <v>219</v>
      </c>
      <c r="G21" s="19">
        <f t="shared" si="8"/>
        <v>191</v>
      </c>
      <c r="H21" s="19">
        <f t="shared" si="8"/>
        <v>240</v>
      </c>
      <c r="I21" s="19">
        <f t="shared" si="8"/>
        <v>237</v>
      </c>
      <c r="J21" s="19">
        <f t="shared" si="8"/>
        <v>183</v>
      </c>
      <c r="K21" s="19">
        <f t="shared" si="8"/>
        <v>237</v>
      </c>
      <c r="L21" s="19">
        <f t="shared" si="8"/>
        <v>178</v>
      </c>
      <c r="M21" s="19">
        <f t="shared" si="8"/>
        <v>40</v>
      </c>
      <c r="N21" s="19">
        <f t="shared" si="8"/>
        <v>219</v>
      </c>
      <c r="O21" s="19">
        <f t="shared" si="8"/>
        <v>209</v>
      </c>
      <c r="P21" s="19">
        <f t="shared" si="8"/>
        <v>245</v>
      </c>
      <c r="Q21" s="19">
        <f t="shared" si="8"/>
        <v>213</v>
      </c>
      <c r="R21" s="19">
        <f t="shared" si="8"/>
        <v>40</v>
      </c>
      <c r="S21" s="19">
        <f t="shared" si="8"/>
        <v>190</v>
      </c>
      <c r="T21" s="19">
        <f t="shared" si="8"/>
        <v>246</v>
      </c>
      <c r="U21" s="19">
        <f t="shared" si="8"/>
        <v>41</v>
      </c>
      <c r="V21" s="19">
        <f t="shared" si="8"/>
        <v>41</v>
      </c>
      <c r="W21" s="19">
        <f t="shared" si="8"/>
        <v>41</v>
      </c>
      <c r="X21" s="19">
        <f t="shared" si="8"/>
        <v>41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436</v>
      </c>
      <c r="D22" s="19">
        <f t="shared" ref="D22:X22" si="9">MAX(SUM(D$9:D$11),SUM(D$12:D$14))</f>
        <v>505</v>
      </c>
      <c r="E22" s="19">
        <f t="shared" si="9"/>
        <v>457</v>
      </c>
      <c r="F22" s="19">
        <f t="shared" si="9"/>
        <v>495</v>
      </c>
      <c r="G22" s="19">
        <f t="shared" si="9"/>
        <v>422</v>
      </c>
      <c r="H22" s="19">
        <f t="shared" si="9"/>
        <v>572</v>
      </c>
      <c r="I22" s="19">
        <f t="shared" si="9"/>
        <v>479</v>
      </c>
      <c r="J22" s="19">
        <f t="shared" si="9"/>
        <v>398</v>
      </c>
      <c r="K22" s="19">
        <f t="shared" si="9"/>
        <v>470</v>
      </c>
      <c r="L22" s="19">
        <f t="shared" si="9"/>
        <v>275</v>
      </c>
      <c r="M22" s="19">
        <f t="shared" si="9"/>
        <v>0</v>
      </c>
      <c r="N22" s="19">
        <f t="shared" si="9"/>
        <v>488</v>
      </c>
      <c r="O22" s="19">
        <f t="shared" si="9"/>
        <v>394</v>
      </c>
      <c r="P22" s="19">
        <f t="shared" si="9"/>
        <v>516</v>
      </c>
      <c r="Q22" s="19">
        <f t="shared" si="9"/>
        <v>300</v>
      </c>
      <c r="R22" s="19">
        <f t="shared" si="9"/>
        <v>0</v>
      </c>
      <c r="S22" s="19">
        <f t="shared" si="9"/>
        <v>415</v>
      </c>
      <c r="T22" s="19">
        <f t="shared" si="9"/>
        <v>484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553</v>
      </c>
      <c r="D23" s="19">
        <f>MAX(SUM(D$9:D$11),SUM(D$12:D$14))+$I$5*3</f>
        <v>622</v>
      </c>
      <c r="E23" s="19">
        <f t="shared" ref="E23:X23" si="10">MAX(SUM(E$9:E$11),SUM(E$12:E$14))+D18*3</f>
        <v>574</v>
      </c>
      <c r="F23" s="19">
        <f t="shared" si="10"/>
        <v>615</v>
      </c>
      <c r="G23" s="19">
        <f t="shared" si="10"/>
        <v>536</v>
      </c>
      <c r="H23" s="19">
        <f t="shared" si="10"/>
        <v>695</v>
      </c>
      <c r="I23" s="19">
        <f t="shared" si="10"/>
        <v>587</v>
      </c>
      <c r="J23" s="19">
        <f t="shared" si="10"/>
        <v>506</v>
      </c>
      <c r="K23" s="19">
        <f t="shared" si="10"/>
        <v>587</v>
      </c>
      <c r="L23" s="19">
        <f t="shared" si="10"/>
        <v>392</v>
      </c>
      <c r="M23" s="19">
        <f t="shared" si="10"/>
        <v>120</v>
      </c>
      <c r="N23" s="19">
        <f t="shared" si="10"/>
        <v>608</v>
      </c>
      <c r="O23" s="19">
        <f t="shared" si="10"/>
        <v>511</v>
      </c>
      <c r="P23" s="19">
        <f t="shared" si="10"/>
        <v>639</v>
      </c>
      <c r="Q23" s="19">
        <f t="shared" si="10"/>
        <v>420</v>
      </c>
      <c r="R23" s="19">
        <f t="shared" si="10"/>
        <v>120</v>
      </c>
      <c r="S23" s="19">
        <f t="shared" si="10"/>
        <v>535</v>
      </c>
      <c r="T23" s="19">
        <f t="shared" si="10"/>
        <v>607</v>
      </c>
      <c r="U23" s="19">
        <f t="shared" si="10"/>
        <v>123</v>
      </c>
      <c r="V23" s="19">
        <f t="shared" si="10"/>
        <v>123</v>
      </c>
      <c r="W23" s="19">
        <f t="shared" si="10"/>
        <v>123</v>
      </c>
      <c r="X23" s="19">
        <f t="shared" si="10"/>
        <v>123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178</v>
      </c>
      <c r="D27" s="107">
        <f>MAX($C20:D20)</f>
        <v>191</v>
      </c>
      <c r="E27" s="107">
        <f>MAX($C20:E20)</f>
        <v>191</v>
      </c>
      <c r="F27" s="107">
        <f>MAX($C20:F20)</f>
        <v>191</v>
      </c>
      <c r="G27" s="107">
        <f>MAX($C20:G20)</f>
        <v>191</v>
      </c>
      <c r="H27" s="107">
        <f>MAX($C20:H20)</f>
        <v>199</v>
      </c>
      <c r="I27" s="107">
        <f>MAX($C20:I20)</f>
        <v>201</v>
      </c>
      <c r="J27" s="107">
        <f>MAX($C20:J20)</f>
        <v>201</v>
      </c>
      <c r="K27" s="107">
        <f>MAX($C20:K20)</f>
        <v>201</v>
      </c>
      <c r="L27" s="107">
        <f>MAX($C20:L20)</f>
        <v>201</v>
      </c>
      <c r="M27" s="107">
        <f>MAX($C20:M20)</f>
        <v>201</v>
      </c>
      <c r="N27" s="107">
        <f>MAX($C20:N20)</f>
        <v>201</v>
      </c>
      <c r="O27" s="107">
        <f>MAX($C20:O20)</f>
        <v>201</v>
      </c>
      <c r="P27" s="107">
        <f>MAX($C20:P20)</f>
        <v>204</v>
      </c>
      <c r="Q27" s="107">
        <f>MAX($C20:Q20)</f>
        <v>204</v>
      </c>
      <c r="R27" s="107">
        <f>MAX($C20:R20)</f>
        <v>204</v>
      </c>
      <c r="S27" s="107">
        <f>MAX($C20:S20)</f>
        <v>204</v>
      </c>
      <c r="T27" s="107">
        <f>MAX($C20:T20)</f>
        <v>205</v>
      </c>
      <c r="U27" s="107">
        <f>MAX($C20:U20)</f>
        <v>205</v>
      </c>
      <c r="V27" s="107">
        <f>MAX($C20:V20)</f>
        <v>205</v>
      </c>
      <c r="W27" s="107">
        <f>MAX($C20:W20)</f>
        <v>205</v>
      </c>
      <c r="X27" s="107">
        <f>MAX($C20:X20)</f>
        <v>205</v>
      </c>
    </row>
    <row r="28" spans="1:25" ht="13.15" x14ac:dyDescent="0.4">
      <c r="A28">
        <v>22</v>
      </c>
      <c r="B28" s="151" t="s">
        <v>78</v>
      </c>
      <c r="C28" s="19">
        <f>MAX(C21)</f>
        <v>217</v>
      </c>
      <c r="D28" s="107">
        <f>MAX($C21:D21)</f>
        <v>230</v>
      </c>
      <c r="E28" s="107">
        <f>MAX($C21:E21)</f>
        <v>230</v>
      </c>
      <c r="F28" s="107">
        <f>MAX($C21:F21)</f>
        <v>230</v>
      </c>
      <c r="G28" s="107">
        <f>MAX($C21:G21)</f>
        <v>230</v>
      </c>
      <c r="H28" s="107">
        <f>MAX($C21:H21)</f>
        <v>240</v>
      </c>
      <c r="I28" s="107">
        <f>MAX($C21:I21)</f>
        <v>240</v>
      </c>
      <c r="J28" s="107">
        <f>MAX($C21:J21)</f>
        <v>240</v>
      </c>
      <c r="K28" s="107">
        <f>MAX($C21:K21)</f>
        <v>240</v>
      </c>
      <c r="L28" s="107">
        <f>MAX($C21:L21)</f>
        <v>240</v>
      </c>
      <c r="M28" s="107">
        <f>MAX($C21:M21)</f>
        <v>240</v>
      </c>
      <c r="N28" s="107">
        <f>MAX($C21:N21)</f>
        <v>240</v>
      </c>
      <c r="O28" s="107">
        <f>MAX($C21:O21)</f>
        <v>240</v>
      </c>
      <c r="P28" s="107">
        <f>MAX($C21:P21)</f>
        <v>245</v>
      </c>
      <c r="Q28" s="107">
        <f>MAX($C21:Q21)</f>
        <v>245</v>
      </c>
      <c r="R28" s="107">
        <f>MAX($C21:R21)</f>
        <v>245</v>
      </c>
      <c r="S28" s="107">
        <f>MAX($C21:S21)</f>
        <v>245</v>
      </c>
      <c r="T28" s="107">
        <f>MAX($C21:T21)</f>
        <v>246</v>
      </c>
      <c r="U28" s="107">
        <f>MAX($C21:U21)</f>
        <v>246</v>
      </c>
      <c r="V28" s="107">
        <f>MAX($C21:V21)</f>
        <v>246</v>
      </c>
      <c r="W28" s="107">
        <f>MAX($C21:W21)</f>
        <v>246</v>
      </c>
      <c r="X28" s="107">
        <f>MAX($C21:X21)</f>
        <v>246</v>
      </c>
    </row>
    <row r="29" spans="1:25" ht="26.25" x14ac:dyDescent="0.4">
      <c r="A29">
        <v>23</v>
      </c>
      <c r="B29" s="151" t="s">
        <v>79</v>
      </c>
      <c r="C29" s="19">
        <f>MAX(C22)</f>
        <v>436</v>
      </c>
      <c r="D29" s="107">
        <f>MAX($C22:D22)</f>
        <v>505</v>
      </c>
      <c r="E29" s="107">
        <f>MAX($C22:E22)</f>
        <v>505</v>
      </c>
      <c r="F29" s="107">
        <f>MAX($C22:F22)</f>
        <v>505</v>
      </c>
      <c r="G29" s="107">
        <f>MAX($C22:G22)</f>
        <v>505</v>
      </c>
      <c r="H29" s="107">
        <f>MAX($C22:H22)</f>
        <v>572</v>
      </c>
      <c r="I29" s="107">
        <f>MAX($C22:I22)</f>
        <v>572</v>
      </c>
      <c r="J29" s="107">
        <f>MAX($C22:J22)</f>
        <v>572</v>
      </c>
      <c r="K29" s="107">
        <f>MAX($C22:K22)</f>
        <v>572</v>
      </c>
      <c r="L29" s="107">
        <f>MAX($C22:L22)</f>
        <v>572</v>
      </c>
      <c r="M29" s="107">
        <f>MAX($C22:M22)</f>
        <v>572</v>
      </c>
      <c r="N29" s="107">
        <f>MAX($C22:N22)</f>
        <v>572</v>
      </c>
      <c r="O29" s="107">
        <f>MAX($C22:O22)</f>
        <v>572</v>
      </c>
      <c r="P29" s="107">
        <f>MAX($C22:P22)</f>
        <v>572</v>
      </c>
      <c r="Q29" s="107">
        <f>MAX($C22:Q22)</f>
        <v>572</v>
      </c>
      <c r="R29" s="107">
        <f>MAX($C22:R22)</f>
        <v>572</v>
      </c>
      <c r="S29" s="107">
        <f>MAX($C22:S22)</f>
        <v>572</v>
      </c>
      <c r="T29" s="107">
        <f>MAX($C22:T22)</f>
        <v>572</v>
      </c>
      <c r="U29" s="107">
        <f>MAX($C22:U22)</f>
        <v>572</v>
      </c>
      <c r="V29" s="107">
        <f>MAX($C22:V22)</f>
        <v>572</v>
      </c>
      <c r="W29" s="107">
        <f>MAX($C22:W22)</f>
        <v>572</v>
      </c>
      <c r="X29" s="107">
        <f>MAX($C22:X22)</f>
        <v>572</v>
      </c>
    </row>
    <row r="30" spans="1:25" ht="13.15" x14ac:dyDescent="0.4">
      <c r="A30">
        <v>24</v>
      </c>
      <c r="B30" s="151" t="s">
        <v>80</v>
      </c>
      <c r="C30" s="19">
        <f>MAX(C23)</f>
        <v>553</v>
      </c>
      <c r="D30" s="107">
        <f>MAX($C23:D23)</f>
        <v>622</v>
      </c>
      <c r="E30" s="107">
        <f>MAX($C23:E23)</f>
        <v>622</v>
      </c>
      <c r="F30" s="107">
        <f>MAX($C23:F23)</f>
        <v>622</v>
      </c>
      <c r="G30" s="107">
        <f>MAX($C23:G23)</f>
        <v>622</v>
      </c>
      <c r="H30" s="107">
        <f>MAX($C23:H23)</f>
        <v>695</v>
      </c>
      <c r="I30" s="107">
        <f>MAX($C23:I23)</f>
        <v>695</v>
      </c>
      <c r="J30" s="107">
        <f>MAX($C23:J23)</f>
        <v>695</v>
      </c>
      <c r="K30" s="107">
        <f>MAX($C23:K23)</f>
        <v>695</v>
      </c>
      <c r="L30" s="107">
        <f>MAX($C23:L23)</f>
        <v>695</v>
      </c>
      <c r="M30" s="107">
        <f>MAX($C23:M23)</f>
        <v>695</v>
      </c>
      <c r="N30" s="107">
        <f>MAX($C23:N23)</f>
        <v>695</v>
      </c>
      <c r="O30" s="107">
        <f>MAX($C23:O23)</f>
        <v>695</v>
      </c>
      <c r="P30" s="107">
        <f>MAX($C23:P23)</f>
        <v>695</v>
      </c>
      <c r="Q30" s="107">
        <f>MAX($C23:Q23)</f>
        <v>695</v>
      </c>
      <c r="R30" s="107">
        <f>MAX($C23:R23)</f>
        <v>695</v>
      </c>
      <c r="S30" s="107">
        <f>MAX($C23:S23)</f>
        <v>695</v>
      </c>
      <c r="T30" s="107">
        <f>MAX($C23:T23)</f>
        <v>695</v>
      </c>
      <c r="U30" s="107">
        <f>MAX($C23:U23)</f>
        <v>695</v>
      </c>
      <c r="V30" s="107">
        <f>MAX($C23:V23)</f>
        <v>695</v>
      </c>
      <c r="W30" s="107">
        <f>MAX($C23:W23)</f>
        <v>695</v>
      </c>
      <c r="X30" s="107">
        <f>MAX($C23:X23)</f>
        <v>695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214</v>
      </c>
      <c r="G2" s="203" t="s">
        <v>25</v>
      </c>
      <c r="H2" s="224">
        <v>3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69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75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106</v>
      </c>
      <c r="E9">
        <v>105</v>
      </c>
      <c r="G9">
        <v>141</v>
      </c>
      <c r="H9">
        <v>131</v>
      </c>
      <c r="I9">
        <v>118</v>
      </c>
      <c r="J9">
        <v>129</v>
      </c>
      <c r="K9">
        <v>136</v>
      </c>
      <c r="L9">
        <v>127</v>
      </c>
      <c r="M9">
        <v>144</v>
      </c>
      <c r="N9">
        <v>132</v>
      </c>
      <c r="O9">
        <v>140</v>
      </c>
      <c r="P9">
        <v>130</v>
      </c>
      <c r="Q9">
        <v>109</v>
      </c>
      <c r="R9">
        <v>103</v>
      </c>
      <c r="U9">
        <v>102</v>
      </c>
      <c r="V9">
        <v>134</v>
      </c>
    </row>
    <row r="10" spans="1:24" ht="13.15" x14ac:dyDescent="0.4">
      <c r="A10">
        <v>4</v>
      </c>
      <c r="B10" s="3" t="s">
        <v>15</v>
      </c>
      <c r="C10">
        <v>95</v>
      </c>
      <c r="E10">
        <v>107</v>
      </c>
      <c r="G10">
        <v>120</v>
      </c>
      <c r="H10">
        <v>98</v>
      </c>
      <c r="I10">
        <v>164</v>
      </c>
      <c r="J10">
        <v>176</v>
      </c>
      <c r="K10">
        <v>126</v>
      </c>
      <c r="L10">
        <v>133</v>
      </c>
      <c r="M10">
        <v>106</v>
      </c>
      <c r="N10">
        <v>101</v>
      </c>
      <c r="O10">
        <v>111</v>
      </c>
      <c r="P10">
        <v>96</v>
      </c>
      <c r="Q10">
        <v>114</v>
      </c>
      <c r="R10">
        <v>121</v>
      </c>
      <c r="U10">
        <v>146</v>
      </c>
      <c r="V10">
        <v>150</v>
      </c>
    </row>
    <row r="11" spans="1:24" ht="13.15" x14ac:dyDescent="0.4">
      <c r="A11">
        <v>5</v>
      </c>
      <c r="B11" s="3" t="s">
        <v>16</v>
      </c>
      <c r="C11">
        <v>117</v>
      </c>
      <c r="E11">
        <v>124</v>
      </c>
      <c r="G11">
        <v>126</v>
      </c>
      <c r="H11">
        <v>117</v>
      </c>
      <c r="I11">
        <v>107</v>
      </c>
      <c r="J11">
        <v>122</v>
      </c>
      <c r="K11">
        <v>115</v>
      </c>
      <c r="L11">
        <v>118</v>
      </c>
      <c r="M11">
        <v>111</v>
      </c>
      <c r="N11">
        <v>114</v>
      </c>
      <c r="O11">
        <v>111</v>
      </c>
      <c r="P11">
        <v>155</v>
      </c>
      <c r="Q11">
        <v>137</v>
      </c>
      <c r="R11">
        <v>138</v>
      </c>
      <c r="U11">
        <v>114</v>
      </c>
      <c r="V11">
        <v>139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318</v>
      </c>
      <c r="D15" s="18">
        <f t="shared" si="2"/>
        <v>0</v>
      </c>
      <c r="E15" s="18">
        <f t="shared" si="2"/>
        <v>336</v>
      </c>
      <c r="F15" s="18">
        <f t="shared" si="2"/>
        <v>0</v>
      </c>
      <c r="G15" s="18">
        <f t="shared" si="2"/>
        <v>387</v>
      </c>
      <c r="H15" s="18">
        <f t="shared" si="2"/>
        <v>346</v>
      </c>
      <c r="I15" s="18">
        <f t="shared" si="2"/>
        <v>389</v>
      </c>
      <c r="J15" s="18">
        <f t="shared" si="2"/>
        <v>427</v>
      </c>
      <c r="K15" s="18">
        <f t="shared" si="2"/>
        <v>377</v>
      </c>
      <c r="L15" s="18">
        <f t="shared" si="2"/>
        <v>378</v>
      </c>
      <c r="M15" s="18">
        <f t="shared" si="2"/>
        <v>361</v>
      </c>
      <c r="N15" s="18">
        <f t="shared" si="2"/>
        <v>347</v>
      </c>
      <c r="O15" s="18">
        <f t="shared" si="2"/>
        <v>362</v>
      </c>
      <c r="P15" s="18">
        <f t="shared" si="2"/>
        <v>381</v>
      </c>
      <c r="Q15" s="18">
        <f t="shared" si="2"/>
        <v>360</v>
      </c>
      <c r="R15" s="18">
        <f t="shared" si="2"/>
        <v>362</v>
      </c>
      <c r="S15" s="18">
        <f t="shared" si="2"/>
        <v>0</v>
      </c>
      <c r="T15" s="18">
        <f t="shared" si="2"/>
        <v>0</v>
      </c>
      <c r="U15" s="18">
        <f t="shared" si="2"/>
        <v>362</v>
      </c>
      <c r="V15" s="18">
        <f t="shared" si="2"/>
        <v>423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318</v>
      </c>
      <c r="D16" s="19">
        <f t="shared" ref="D16:X16" si="3">+D15+C16</f>
        <v>318</v>
      </c>
      <c r="E16" s="19">
        <f t="shared" si="3"/>
        <v>654</v>
      </c>
      <c r="F16" s="19">
        <f t="shared" si="3"/>
        <v>654</v>
      </c>
      <c r="G16" s="19">
        <f t="shared" si="3"/>
        <v>1041</v>
      </c>
      <c r="H16" s="19">
        <f t="shared" si="3"/>
        <v>1387</v>
      </c>
      <c r="I16" s="19">
        <f t="shared" si="3"/>
        <v>1776</v>
      </c>
      <c r="J16" s="19">
        <f t="shared" si="3"/>
        <v>2203</v>
      </c>
      <c r="K16" s="19">
        <f t="shared" si="3"/>
        <v>2580</v>
      </c>
      <c r="L16" s="19">
        <f t="shared" si="3"/>
        <v>2958</v>
      </c>
      <c r="M16" s="19">
        <f t="shared" si="3"/>
        <v>3319</v>
      </c>
      <c r="N16" s="19">
        <f t="shared" si="3"/>
        <v>3666</v>
      </c>
      <c r="O16" s="19">
        <f t="shared" si="3"/>
        <v>4028</v>
      </c>
      <c r="P16" s="19">
        <f t="shared" si="3"/>
        <v>4409</v>
      </c>
      <c r="Q16" s="19">
        <f t="shared" si="3"/>
        <v>4769</v>
      </c>
      <c r="R16" s="19">
        <f t="shared" si="3"/>
        <v>5131</v>
      </c>
      <c r="S16" s="19">
        <f t="shared" si="3"/>
        <v>5131</v>
      </c>
      <c r="T16" s="19">
        <f t="shared" si="3"/>
        <v>5131</v>
      </c>
      <c r="U16" s="19">
        <f t="shared" si="3"/>
        <v>5493</v>
      </c>
      <c r="V16" s="19">
        <f t="shared" si="3"/>
        <v>5916</v>
      </c>
      <c r="W16" s="19">
        <f t="shared" si="3"/>
        <v>5916</v>
      </c>
      <c r="X16" s="19">
        <f t="shared" si="3"/>
        <v>5916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106</v>
      </c>
      <c r="D17" s="20">
        <f t="shared" si="4"/>
        <v>106</v>
      </c>
      <c r="E17" s="20">
        <f t="shared" si="4"/>
        <v>109</v>
      </c>
      <c r="F17" s="20">
        <f t="shared" si="4"/>
        <v>109</v>
      </c>
      <c r="G17" s="20">
        <f t="shared" si="4"/>
        <v>115.66666666666667</v>
      </c>
      <c r="H17" s="20">
        <f t="shared" si="4"/>
        <v>115.58333333333333</v>
      </c>
      <c r="I17" s="20">
        <f t="shared" si="4"/>
        <v>118.4</v>
      </c>
      <c r="J17" s="20">
        <f t="shared" si="4"/>
        <v>122.38888888888889</v>
      </c>
      <c r="K17" s="20">
        <f t="shared" si="4"/>
        <v>122.85714285714286</v>
      </c>
      <c r="L17" s="20">
        <f t="shared" si="4"/>
        <v>123.25</v>
      </c>
      <c r="M17" s="20">
        <f t="shared" si="4"/>
        <v>122.92592592592592</v>
      </c>
      <c r="N17" s="20">
        <f t="shared" si="4"/>
        <v>122.2</v>
      </c>
      <c r="O17" s="20">
        <f t="shared" si="4"/>
        <v>122.06060606060606</v>
      </c>
      <c r="P17" s="20">
        <f t="shared" si="4"/>
        <v>122.47222222222223</v>
      </c>
      <c r="Q17" s="20">
        <f t="shared" si="4"/>
        <v>122.28205128205128</v>
      </c>
      <c r="R17" s="20">
        <f t="shared" si="4"/>
        <v>122.16666666666667</v>
      </c>
      <c r="S17" s="20">
        <f t="shared" si="4"/>
        <v>122.16666666666667</v>
      </c>
      <c r="T17" s="20">
        <f t="shared" si="4"/>
        <v>122.16666666666667</v>
      </c>
      <c r="U17" s="20">
        <f t="shared" si="4"/>
        <v>122.06666666666666</v>
      </c>
      <c r="V17" s="20">
        <f t="shared" si="4"/>
        <v>123.25</v>
      </c>
      <c r="W17" s="20">
        <f t="shared" si="4"/>
        <v>123.25</v>
      </c>
      <c r="X17" s="20">
        <f t="shared" si="4"/>
        <v>123.25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85</v>
      </c>
      <c r="D18" s="19">
        <f t="shared" si="5"/>
        <v>85</v>
      </c>
      <c r="E18" s="19">
        <f t="shared" si="5"/>
        <v>82</v>
      </c>
      <c r="F18" s="19">
        <f t="shared" si="5"/>
        <v>82</v>
      </c>
      <c r="G18" s="19">
        <f t="shared" si="5"/>
        <v>76</v>
      </c>
      <c r="H18" s="19">
        <f t="shared" si="5"/>
        <v>76</v>
      </c>
      <c r="I18" s="19">
        <f t="shared" si="5"/>
        <v>73</v>
      </c>
      <c r="J18" s="19">
        <f t="shared" si="5"/>
        <v>70</v>
      </c>
      <c r="K18" s="19">
        <f t="shared" si="5"/>
        <v>69</v>
      </c>
      <c r="L18" s="19">
        <f t="shared" si="5"/>
        <v>69</v>
      </c>
      <c r="M18" s="19">
        <f t="shared" si="5"/>
        <v>69</v>
      </c>
      <c r="N18" s="19">
        <f t="shared" si="5"/>
        <v>70</v>
      </c>
      <c r="O18" s="19">
        <f t="shared" si="5"/>
        <v>70</v>
      </c>
      <c r="P18" s="19">
        <f t="shared" si="5"/>
        <v>70</v>
      </c>
      <c r="Q18" s="19">
        <f t="shared" si="5"/>
        <v>70</v>
      </c>
      <c r="R18" s="19">
        <f t="shared" si="5"/>
        <v>70</v>
      </c>
      <c r="S18" s="19">
        <f t="shared" si="5"/>
        <v>70</v>
      </c>
      <c r="T18" s="19">
        <f t="shared" si="5"/>
        <v>70</v>
      </c>
      <c r="U18" s="19">
        <f t="shared" si="5"/>
        <v>70</v>
      </c>
      <c r="V18" s="19">
        <f t="shared" si="5"/>
        <v>69</v>
      </c>
      <c r="W18" s="19">
        <f t="shared" si="5"/>
        <v>69</v>
      </c>
      <c r="X18" s="19">
        <f t="shared" si="5"/>
        <v>69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6</v>
      </c>
      <c r="G19" s="19">
        <f t="shared" si="6"/>
        <v>9</v>
      </c>
      <c r="H19" s="19">
        <f t="shared" si="6"/>
        <v>12</v>
      </c>
      <c r="I19" s="19">
        <f t="shared" si="6"/>
        <v>15</v>
      </c>
      <c r="J19" s="19">
        <f t="shared" si="6"/>
        <v>18</v>
      </c>
      <c r="K19" s="19">
        <f t="shared" si="6"/>
        <v>21</v>
      </c>
      <c r="L19" s="19">
        <f t="shared" si="6"/>
        <v>24</v>
      </c>
      <c r="M19" s="19">
        <f t="shared" si="6"/>
        <v>27</v>
      </c>
      <c r="N19" s="19">
        <f t="shared" si="6"/>
        <v>30</v>
      </c>
      <c r="O19" s="19">
        <f t="shared" si="6"/>
        <v>33</v>
      </c>
      <c r="P19" s="19">
        <f t="shared" si="6"/>
        <v>36</v>
      </c>
      <c r="Q19" s="19">
        <f t="shared" si="6"/>
        <v>39</v>
      </c>
      <c r="R19" s="19">
        <f t="shared" si="6"/>
        <v>42</v>
      </c>
      <c r="S19" s="19">
        <f t="shared" si="6"/>
        <v>42</v>
      </c>
      <c r="T19" s="19">
        <f t="shared" si="6"/>
        <v>42</v>
      </c>
      <c r="U19" s="19">
        <f t="shared" si="6"/>
        <v>45</v>
      </c>
      <c r="V19" s="19">
        <f t="shared" si="6"/>
        <v>48</v>
      </c>
      <c r="W19" s="19">
        <f t="shared" si="6"/>
        <v>48</v>
      </c>
      <c r="X19" s="19">
        <f t="shared" si="6"/>
        <v>48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117</v>
      </c>
      <c r="D20" s="19">
        <f t="shared" si="7"/>
        <v>0</v>
      </c>
      <c r="E20" s="19">
        <f t="shared" si="7"/>
        <v>124</v>
      </c>
      <c r="F20" s="19">
        <f t="shared" si="7"/>
        <v>0</v>
      </c>
      <c r="G20" s="19">
        <f t="shared" si="7"/>
        <v>141</v>
      </c>
      <c r="H20" s="19">
        <f t="shared" si="7"/>
        <v>131</v>
      </c>
      <c r="I20" s="19">
        <f t="shared" si="7"/>
        <v>164</v>
      </c>
      <c r="J20" s="19">
        <f t="shared" si="7"/>
        <v>176</v>
      </c>
      <c r="K20" s="19">
        <f t="shared" si="7"/>
        <v>136</v>
      </c>
      <c r="L20" s="19">
        <f t="shared" si="7"/>
        <v>133</v>
      </c>
      <c r="M20" s="19">
        <f t="shared" si="7"/>
        <v>144</v>
      </c>
      <c r="N20" s="19">
        <f t="shared" si="7"/>
        <v>132</v>
      </c>
      <c r="O20" s="19">
        <f t="shared" si="7"/>
        <v>140</v>
      </c>
      <c r="P20" s="19">
        <f t="shared" si="7"/>
        <v>155</v>
      </c>
      <c r="Q20" s="19">
        <f t="shared" si="7"/>
        <v>137</v>
      </c>
      <c r="R20" s="19">
        <f t="shared" si="7"/>
        <v>138</v>
      </c>
      <c r="S20" s="19">
        <f t="shared" si="7"/>
        <v>0</v>
      </c>
      <c r="T20" s="19">
        <f t="shared" si="7"/>
        <v>0</v>
      </c>
      <c r="U20" s="19">
        <f t="shared" si="7"/>
        <v>146</v>
      </c>
      <c r="V20" s="19">
        <f t="shared" si="7"/>
        <v>150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192</v>
      </c>
      <c r="D21" s="19">
        <f>MAX(D$9:D$14)+$I$5</f>
        <v>75</v>
      </c>
      <c r="E21" s="19">
        <f>MAX(E$9:E$14)+$I$5</f>
        <v>199</v>
      </c>
      <c r="F21" s="19">
        <f t="shared" ref="F21:X21" si="8">MAX(F$9:F$14)+E18</f>
        <v>82</v>
      </c>
      <c r="G21" s="19">
        <f t="shared" si="8"/>
        <v>223</v>
      </c>
      <c r="H21" s="19">
        <f t="shared" si="8"/>
        <v>207</v>
      </c>
      <c r="I21" s="19">
        <f t="shared" si="8"/>
        <v>240</v>
      </c>
      <c r="J21" s="19">
        <f t="shared" si="8"/>
        <v>249</v>
      </c>
      <c r="K21" s="19">
        <f t="shared" si="8"/>
        <v>206</v>
      </c>
      <c r="L21" s="19">
        <f t="shared" si="8"/>
        <v>202</v>
      </c>
      <c r="M21" s="19">
        <f t="shared" si="8"/>
        <v>213</v>
      </c>
      <c r="N21" s="19">
        <f t="shared" si="8"/>
        <v>201</v>
      </c>
      <c r="O21" s="19">
        <f t="shared" si="8"/>
        <v>210</v>
      </c>
      <c r="P21" s="19">
        <f t="shared" si="8"/>
        <v>225</v>
      </c>
      <c r="Q21" s="19">
        <f t="shared" si="8"/>
        <v>207</v>
      </c>
      <c r="R21" s="19">
        <f t="shared" si="8"/>
        <v>208</v>
      </c>
      <c r="S21" s="19">
        <f t="shared" si="8"/>
        <v>70</v>
      </c>
      <c r="T21" s="19">
        <f t="shared" si="8"/>
        <v>70</v>
      </c>
      <c r="U21" s="19">
        <f t="shared" si="8"/>
        <v>216</v>
      </c>
      <c r="V21" s="19">
        <f t="shared" si="8"/>
        <v>220</v>
      </c>
      <c r="W21" s="19">
        <f t="shared" si="8"/>
        <v>69</v>
      </c>
      <c r="X21" s="19">
        <f t="shared" si="8"/>
        <v>69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318</v>
      </c>
      <c r="D22" s="19">
        <f t="shared" ref="D22:X22" si="9">MAX(SUM(D$9:D$11),SUM(D$12:D$14))</f>
        <v>0</v>
      </c>
      <c r="E22" s="19">
        <f t="shared" si="9"/>
        <v>336</v>
      </c>
      <c r="F22" s="19">
        <f t="shared" si="9"/>
        <v>0</v>
      </c>
      <c r="G22" s="19">
        <f t="shared" si="9"/>
        <v>387</v>
      </c>
      <c r="H22" s="19">
        <f t="shared" si="9"/>
        <v>346</v>
      </c>
      <c r="I22" s="19">
        <f t="shared" si="9"/>
        <v>389</v>
      </c>
      <c r="J22" s="19">
        <f t="shared" si="9"/>
        <v>427</v>
      </c>
      <c r="K22" s="19">
        <f t="shared" si="9"/>
        <v>377</v>
      </c>
      <c r="L22" s="19">
        <f t="shared" si="9"/>
        <v>378</v>
      </c>
      <c r="M22" s="19">
        <f t="shared" si="9"/>
        <v>361</v>
      </c>
      <c r="N22" s="19">
        <f t="shared" si="9"/>
        <v>347</v>
      </c>
      <c r="O22" s="19">
        <f t="shared" si="9"/>
        <v>362</v>
      </c>
      <c r="P22" s="19">
        <f t="shared" si="9"/>
        <v>381</v>
      </c>
      <c r="Q22" s="19">
        <f t="shared" si="9"/>
        <v>360</v>
      </c>
      <c r="R22" s="19">
        <f t="shared" si="9"/>
        <v>362</v>
      </c>
      <c r="S22" s="19">
        <f t="shared" si="9"/>
        <v>0</v>
      </c>
      <c r="T22" s="19">
        <f t="shared" si="9"/>
        <v>0</v>
      </c>
      <c r="U22" s="19">
        <f t="shared" si="9"/>
        <v>362</v>
      </c>
      <c r="V22" s="19">
        <f t="shared" si="9"/>
        <v>423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543</v>
      </c>
      <c r="D23" s="19">
        <f>MAX(SUM(D$9:D$11),SUM(D$12:D$14))+$I$5*3</f>
        <v>225</v>
      </c>
      <c r="E23" s="19">
        <f>MAX(SUM(E$9:E$11),SUM(E$12:E$14))+$I$5*3</f>
        <v>561</v>
      </c>
      <c r="F23" s="19">
        <f t="shared" ref="F23:X23" si="10">MAX(SUM(F$9:F$11),SUM(F$12:F$14))+E18*3</f>
        <v>246</v>
      </c>
      <c r="G23" s="19">
        <f t="shared" si="10"/>
        <v>633</v>
      </c>
      <c r="H23" s="19">
        <f t="shared" si="10"/>
        <v>574</v>
      </c>
      <c r="I23" s="19">
        <f t="shared" si="10"/>
        <v>617</v>
      </c>
      <c r="J23" s="19">
        <f t="shared" si="10"/>
        <v>646</v>
      </c>
      <c r="K23" s="19">
        <f t="shared" si="10"/>
        <v>587</v>
      </c>
      <c r="L23" s="19">
        <f t="shared" si="10"/>
        <v>585</v>
      </c>
      <c r="M23" s="19">
        <f t="shared" si="10"/>
        <v>568</v>
      </c>
      <c r="N23" s="19">
        <f t="shared" si="10"/>
        <v>554</v>
      </c>
      <c r="O23" s="19">
        <f t="shared" si="10"/>
        <v>572</v>
      </c>
      <c r="P23" s="19">
        <f t="shared" si="10"/>
        <v>591</v>
      </c>
      <c r="Q23" s="19">
        <f t="shared" si="10"/>
        <v>570</v>
      </c>
      <c r="R23" s="19">
        <f t="shared" si="10"/>
        <v>572</v>
      </c>
      <c r="S23" s="19">
        <f t="shared" si="10"/>
        <v>210</v>
      </c>
      <c r="T23" s="19">
        <f t="shared" si="10"/>
        <v>210</v>
      </c>
      <c r="U23" s="19">
        <f t="shared" si="10"/>
        <v>572</v>
      </c>
      <c r="V23" s="19">
        <f t="shared" si="10"/>
        <v>633</v>
      </c>
      <c r="W23" s="19">
        <f t="shared" si="10"/>
        <v>207</v>
      </c>
      <c r="X23" s="19">
        <f t="shared" si="10"/>
        <v>207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117</v>
      </c>
      <c r="D27" s="107">
        <f>MAX($C20:D20)</f>
        <v>117</v>
      </c>
      <c r="E27" s="107">
        <f>MAX($C20:E20)</f>
        <v>124</v>
      </c>
      <c r="F27" s="107">
        <f>MAX($C20:F20)</f>
        <v>124</v>
      </c>
      <c r="G27" s="107">
        <f>MAX($C20:G20)</f>
        <v>141</v>
      </c>
      <c r="H27" s="107">
        <f>MAX($C20:H20)</f>
        <v>141</v>
      </c>
      <c r="I27" s="107">
        <f>MAX($C20:I20)</f>
        <v>164</v>
      </c>
      <c r="J27" s="107">
        <f>MAX($C20:J20)</f>
        <v>176</v>
      </c>
      <c r="K27" s="107">
        <f>MAX($C20:K20)</f>
        <v>176</v>
      </c>
      <c r="L27" s="107">
        <f>MAX($C20:L20)</f>
        <v>176</v>
      </c>
      <c r="M27" s="107">
        <f>MAX($C20:M20)</f>
        <v>176</v>
      </c>
      <c r="N27" s="107">
        <f>MAX($C20:N20)</f>
        <v>176</v>
      </c>
      <c r="O27" s="107">
        <f>MAX($C20:O20)</f>
        <v>176</v>
      </c>
      <c r="P27" s="107">
        <f>MAX($C20:P20)</f>
        <v>176</v>
      </c>
      <c r="Q27" s="107">
        <f>MAX($C20:Q20)</f>
        <v>176</v>
      </c>
      <c r="R27" s="107">
        <f>MAX($C20:R20)</f>
        <v>176</v>
      </c>
      <c r="S27" s="107">
        <f>MAX($C20:S20)</f>
        <v>176</v>
      </c>
      <c r="T27" s="107">
        <f>MAX($C20:T20)</f>
        <v>176</v>
      </c>
      <c r="U27" s="107">
        <f>MAX($C20:U20)</f>
        <v>176</v>
      </c>
      <c r="V27" s="107">
        <f>MAX($C20:V20)</f>
        <v>176</v>
      </c>
      <c r="W27" s="107">
        <f>MAX($C20:W20)</f>
        <v>176</v>
      </c>
      <c r="X27" s="107">
        <f>MAX($C20:X20)</f>
        <v>176</v>
      </c>
    </row>
    <row r="28" spans="1:25" ht="13.15" x14ac:dyDescent="0.4">
      <c r="A28">
        <v>22</v>
      </c>
      <c r="B28" s="151" t="s">
        <v>78</v>
      </c>
      <c r="C28" s="19">
        <f>MAX(C21)</f>
        <v>192</v>
      </c>
      <c r="D28" s="107">
        <f>MAX($C21:D21)</f>
        <v>192</v>
      </c>
      <c r="E28" s="107">
        <f>MAX($C21:E21)</f>
        <v>199</v>
      </c>
      <c r="F28" s="107">
        <f>MAX($C21:F21)</f>
        <v>199</v>
      </c>
      <c r="G28" s="107">
        <f>MAX($C21:G21)</f>
        <v>223</v>
      </c>
      <c r="H28" s="107">
        <f>MAX($C21:H21)</f>
        <v>223</v>
      </c>
      <c r="I28" s="107">
        <f>MAX($C21:I21)</f>
        <v>240</v>
      </c>
      <c r="J28" s="107">
        <f>MAX($C21:J21)</f>
        <v>249</v>
      </c>
      <c r="K28" s="107">
        <f>MAX($C21:K21)</f>
        <v>249</v>
      </c>
      <c r="L28" s="107">
        <f>MAX($C21:L21)</f>
        <v>249</v>
      </c>
      <c r="M28" s="107">
        <f>MAX($C21:M21)</f>
        <v>249</v>
      </c>
      <c r="N28" s="107">
        <f>MAX($C21:N21)</f>
        <v>249</v>
      </c>
      <c r="O28" s="107">
        <f>MAX($C21:O21)</f>
        <v>249</v>
      </c>
      <c r="P28" s="107">
        <f>MAX($C21:P21)</f>
        <v>249</v>
      </c>
      <c r="Q28" s="107">
        <f>MAX($C21:Q21)</f>
        <v>249</v>
      </c>
      <c r="R28" s="107">
        <f>MAX($C21:R21)</f>
        <v>249</v>
      </c>
      <c r="S28" s="107">
        <f>MAX($C21:S21)</f>
        <v>249</v>
      </c>
      <c r="T28" s="107">
        <f>MAX($C21:T21)</f>
        <v>249</v>
      </c>
      <c r="U28" s="107">
        <f>MAX($C21:U21)</f>
        <v>249</v>
      </c>
      <c r="V28" s="107">
        <f>MAX($C21:V21)</f>
        <v>249</v>
      </c>
      <c r="W28" s="107">
        <f>MAX($C21:W21)</f>
        <v>249</v>
      </c>
      <c r="X28" s="107">
        <f>MAX($C21:X21)</f>
        <v>249</v>
      </c>
    </row>
    <row r="29" spans="1:25" ht="26.25" x14ac:dyDescent="0.4">
      <c r="A29">
        <v>23</v>
      </c>
      <c r="B29" s="151" t="s">
        <v>79</v>
      </c>
      <c r="C29" s="19">
        <f>MAX(C22)</f>
        <v>318</v>
      </c>
      <c r="D29" s="107">
        <f>MAX($C22:D22)</f>
        <v>318</v>
      </c>
      <c r="E29" s="107">
        <f>MAX($C22:E22)</f>
        <v>336</v>
      </c>
      <c r="F29" s="107">
        <f>MAX($C22:F22)</f>
        <v>336</v>
      </c>
      <c r="G29" s="107">
        <f>MAX($C22:G22)</f>
        <v>387</v>
      </c>
      <c r="H29" s="107">
        <f>MAX($C22:H22)</f>
        <v>387</v>
      </c>
      <c r="I29" s="107">
        <f>MAX($C22:I22)</f>
        <v>389</v>
      </c>
      <c r="J29" s="107">
        <f>MAX($C22:J22)</f>
        <v>427</v>
      </c>
      <c r="K29" s="107">
        <f>MAX($C22:K22)</f>
        <v>427</v>
      </c>
      <c r="L29" s="107">
        <f>MAX($C22:L22)</f>
        <v>427</v>
      </c>
      <c r="M29" s="107">
        <f>MAX($C22:M22)</f>
        <v>427</v>
      </c>
      <c r="N29" s="107">
        <f>MAX($C22:N22)</f>
        <v>427</v>
      </c>
      <c r="O29" s="107">
        <f>MAX($C22:O22)</f>
        <v>427</v>
      </c>
      <c r="P29" s="107">
        <f>MAX($C22:P22)</f>
        <v>427</v>
      </c>
      <c r="Q29" s="107">
        <f>MAX($C22:Q22)</f>
        <v>427</v>
      </c>
      <c r="R29" s="107">
        <f>MAX($C22:R22)</f>
        <v>427</v>
      </c>
      <c r="S29" s="107">
        <f>MAX($C22:S22)</f>
        <v>427</v>
      </c>
      <c r="T29" s="107">
        <f>MAX($C22:T22)</f>
        <v>427</v>
      </c>
      <c r="U29" s="107">
        <f>MAX($C22:U22)</f>
        <v>427</v>
      </c>
      <c r="V29" s="107">
        <f>MAX($C22:V22)</f>
        <v>427</v>
      </c>
      <c r="W29" s="107">
        <f>MAX($C22:W22)</f>
        <v>427</v>
      </c>
      <c r="X29" s="107">
        <f>MAX($C22:X22)</f>
        <v>427</v>
      </c>
    </row>
    <row r="30" spans="1:25" ht="13.15" x14ac:dyDescent="0.4">
      <c r="A30">
        <v>24</v>
      </c>
      <c r="B30" s="151" t="s">
        <v>80</v>
      </c>
      <c r="C30" s="19">
        <f>MAX(C23)</f>
        <v>543</v>
      </c>
      <c r="D30" s="107">
        <f>MAX($C23:D23)</f>
        <v>543</v>
      </c>
      <c r="E30" s="107">
        <f>MAX($C23:E23)</f>
        <v>561</v>
      </c>
      <c r="F30" s="107">
        <f>MAX($C23:F23)</f>
        <v>561</v>
      </c>
      <c r="G30" s="107">
        <f>MAX($C23:G23)</f>
        <v>633</v>
      </c>
      <c r="H30" s="107">
        <f>MAX($C23:H23)</f>
        <v>633</v>
      </c>
      <c r="I30" s="107">
        <f>MAX($C23:I23)</f>
        <v>633</v>
      </c>
      <c r="J30" s="107">
        <f>MAX($C23:J23)</f>
        <v>646</v>
      </c>
      <c r="K30" s="107">
        <f>MAX($C23:K23)</f>
        <v>646</v>
      </c>
      <c r="L30" s="107">
        <f>MAX($C23:L23)</f>
        <v>646</v>
      </c>
      <c r="M30" s="107">
        <f>MAX($C23:M23)</f>
        <v>646</v>
      </c>
      <c r="N30" s="107">
        <f>MAX($C23:N23)</f>
        <v>646</v>
      </c>
      <c r="O30" s="107">
        <f>MAX($C23:O23)</f>
        <v>646</v>
      </c>
      <c r="P30" s="107">
        <f>MAX($C23:P23)</f>
        <v>646</v>
      </c>
      <c r="Q30" s="107">
        <f>MAX($C23:Q23)</f>
        <v>646</v>
      </c>
      <c r="R30" s="107">
        <f>MAX($C23:R23)</f>
        <v>646</v>
      </c>
      <c r="S30" s="107">
        <f>MAX($C23:S23)</f>
        <v>646</v>
      </c>
      <c r="T30" s="107">
        <f>MAX($C23:T23)</f>
        <v>646</v>
      </c>
      <c r="U30" s="107">
        <f>MAX($C23:U23)</f>
        <v>646</v>
      </c>
      <c r="V30" s="107">
        <f>MAX($C23:V23)</f>
        <v>646</v>
      </c>
      <c r="W30" s="107">
        <f>MAX($C23:W23)</f>
        <v>646</v>
      </c>
      <c r="X30" s="107">
        <f>MAX($C23:X23)</f>
        <v>646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248</v>
      </c>
      <c r="G2" s="203" t="s">
        <v>211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61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51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126</v>
      </c>
      <c r="D9">
        <v>93</v>
      </c>
      <c r="E9">
        <v>126</v>
      </c>
      <c r="F9">
        <v>155</v>
      </c>
      <c r="G9">
        <v>149</v>
      </c>
      <c r="H9">
        <v>133</v>
      </c>
      <c r="I9">
        <v>106</v>
      </c>
      <c r="J9">
        <v>130</v>
      </c>
      <c r="K9">
        <v>104</v>
      </c>
      <c r="L9">
        <v>127</v>
      </c>
      <c r="M9">
        <v>131</v>
      </c>
      <c r="O9">
        <v>142</v>
      </c>
      <c r="P9">
        <v>144</v>
      </c>
      <c r="Q9">
        <v>145</v>
      </c>
      <c r="R9">
        <v>130</v>
      </c>
      <c r="T9">
        <v>129</v>
      </c>
      <c r="V9">
        <v>124</v>
      </c>
    </row>
    <row r="10" spans="1:24" ht="13.15" x14ac:dyDescent="0.4">
      <c r="A10">
        <v>4</v>
      </c>
      <c r="B10" s="3" t="s">
        <v>15</v>
      </c>
      <c r="C10">
        <v>132</v>
      </c>
      <c r="D10">
        <v>131</v>
      </c>
      <c r="E10">
        <v>132</v>
      </c>
      <c r="F10">
        <v>128</v>
      </c>
      <c r="G10">
        <v>113</v>
      </c>
      <c r="H10">
        <v>119</v>
      </c>
      <c r="I10">
        <v>117</v>
      </c>
      <c r="J10">
        <v>202</v>
      </c>
      <c r="K10">
        <v>143</v>
      </c>
      <c r="L10">
        <v>149</v>
      </c>
      <c r="M10">
        <v>177</v>
      </c>
      <c r="O10">
        <v>120</v>
      </c>
      <c r="P10">
        <v>127</v>
      </c>
      <c r="Q10">
        <v>153</v>
      </c>
      <c r="R10">
        <v>131</v>
      </c>
      <c r="T10">
        <v>124</v>
      </c>
      <c r="V10">
        <v>141</v>
      </c>
    </row>
    <row r="11" spans="1:24" ht="13.15" x14ac:dyDescent="0.4">
      <c r="A11">
        <v>5</v>
      </c>
      <c r="B11" s="3" t="s">
        <v>16</v>
      </c>
      <c r="C11">
        <v>121</v>
      </c>
      <c r="E11">
        <v>161</v>
      </c>
      <c r="F11">
        <v>93</v>
      </c>
      <c r="G11">
        <v>114</v>
      </c>
      <c r="H11">
        <v>133</v>
      </c>
      <c r="I11">
        <v>139</v>
      </c>
      <c r="J11">
        <v>136</v>
      </c>
      <c r="K11">
        <v>115</v>
      </c>
      <c r="L11">
        <v>146</v>
      </c>
      <c r="M11">
        <v>154</v>
      </c>
      <c r="O11">
        <v>147</v>
      </c>
      <c r="P11">
        <v>113</v>
      </c>
      <c r="Q11">
        <v>164</v>
      </c>
      <c r="R11">
        <v>125</v>
      </c>
      <c r="T11">
        <v>98</v>
      </c>
      <c r="V11">
        <v>112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379</v>
      </c>
      <c r="D15" s="18">
        <f t="shared" si="2"/>
        <v>224</v>
      </c>
      <c r="E15" s="18">
        <f t="shared" si="2"/>
        <v>419</v>
      </c>
      <c r="F15" s="18">
        <f t="shared" si="2"/>
        <v>376</v>
      </c>
      <c r="G15" s="18">
        <f t="shared" si="2"/>
        <v>376</v>
      </c>
      <c r="H15" s="18">
        <f t="shared" si="2"/>
        <v>385</v>
      </c>
      <c r="I15" s="18">
        <f t="shared" si="2"/>
        <v>362</v>
      </c>
      <c r="J15" s="18">
        <f t="shared" si="2"/>
        <v>468</v>
      </c>
      <c r="K15" s="18">
        <f t="shared" si="2"/>
        <v>362</v>
      </c>
      <c r="L15" s="18">
        <f t="shared" si="2"/>
        <v>422</v>
      </c>
      <c r="M15" s="18">
        <f t="shared" si="2"/>
        <v>462</v>
      </c>
      <c r="N15" s="18">
        <f t="shared" si="2"/>
        <v>0</v>
      </c>
      <c r="O15" s="18">
        <f t="shared" si="2"/>
        <v>409</v>
      </c>
      <c r="P15" s="18">
        <f t="shared" si="2"/>
        <v>384</v>
      </c>
      <c r="Q15" s="18">
        <f t="shared" si="2"/>
        <v>462</v>
      </c>
      <c r="R15" s="18">
        <f t="shared" si="2"/>
        <v>386</v>
      </c>
      <c r="S15" s="18">
        <f t="shared" si="2"/>
        <v>0</v>
      </c>
      <c r="T15" s="18">
        <f t="shared" si="2"/>
        <v>351</v>
      </c>
      <c r="U15" s="18">
        <f t="shared" si="2"/>
        <v>0</v>
      </c>
      <c r="V15" s="18">
        <f t="shared" si="2"/>
        <v>377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379</v>
      </c>
      <c r="D16" s="19">
        <f t="shared" ref="D16:X16" si="3">+D15+C16</f>
        <v>603</v>
      </c>
      <c r="E16" s="19">
        <f t="shared" si="3"/>
        <v>1022</v>
      </c>
      <c r="F16" s="19">
        <f t="shared" si="3"/>
        <v>1398</v>
      </c>
      <c r="G16" s="19">
        <f t="shared" si="3"/>
        <v>1774</v>
      </c>
      <c r="H16" s="19">
        <f t="shared" si="3"/>
        <v>2159</v>
      </c>
      <c r="I16" s="19">
        <f t="shared" si="3"/>
        <v>2521</v>
      </c>
      <c r="J16" s="19">
        <f t="shared" si="3"/>
        <v>2989</v>
      </c>
      <c r="K16" s="19">
        <f t="shared" si="3"/>
        <v>3351</v>
      </c>
      <c r="L16" s="19">
        <f t="shared" si="3"/>
        <v>3773</v>
      </c>
      <c r="M16" s="19">
        <f t="shared" si="3"/>
        <v>4235</v>
      </c>
      <c r="N16" s="19">
        <f t="shared" si="3"/>
        <v>4235</v>
      </c>
      <c r="O16" s="19">
        <f t="shared" si="3"/>
        <v>4644</v>
      </c>
      <c r="P16" s="19">
        <f t="shared" si="3"/>
        <v>5028</v>
      </c>
      <c r="Q16" s="19">
        <f t="shared" si="3"/>
        <v>5490</v>
      </c>
      <c r="R16" s="19">
        <f t="shared" si="3"/>
        <v>5876</v>
      </c>
      <c r="S16" s="19">
        <f t="shared" si="3"/>
        <v>5876</v>
      </c>
      <c r="T16" s="19">
        <f t="shared" si="3"/>
        <v>6227</v>
      </c>
      <c r="U16" s="19">
        <f t="shared" si="3"/>
        <v>6227</v>
      </c>
      <c r="V16" s="19">
        <f t="shared" si="3"/>
        <v>6604</v>
      </c>
      <c r="W16" s="19">
        <f t="shared" si="3"/>
        <v>6604</v>
      </c>
      <c r="X16" s="19">
        <f t="shared" si="3"/>
        <v>6604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126.33333333333333</v>
      </c>
      <c r="D17" s="20">
        <f t="shared" si="4"/>
        <v>120.6</v>
      </c>
      <c r="E17" s="20">
        <f t="shared" si="4"/>
        <v>127.75</v>
      </c>
      <c r="F17" s="20">
        <f t="shared" si="4"/>
        <v>127.09090909090909</v>
      </c>
      <c r="G17" s="20">
        <f t="shared" si="4"/>
        <v>126.71428571428571</v>
      </c>
      <c r="H17" s="20">
        <f t="shared" si="4"/>
        <v>127</v>
      </c>
      <c r="I17" s="20">
        <f t="shared" si="4"/>
        <v>126.05</v>
      </c>
      <c r="J17" s="20">
        <f t="shared" si="4"/>
        <v>129.95652173913044</v>
      </c>
      <c r="K17" s="20">
        <f t="shared" si="4"/>
        <v>128.88461538461539</v>
      </c>
      <c r="L17" s="20">
        <f t="shared" si="4"/>
        <v>130.10344827586206</v>
      </c>
      <c r="M17" s="20">
        <f t="shared" si="4"/>
        <v>132.34375</v>
      </c>
      <c r="N17" s="20">
        <f t="shared" si="4"/>
        <v>132.34375</v>
      </c>
      <c r="O17" s="20">
        <f t="shared" si="4"/>
        <v>132.68571428571428</v>
      </c>
      <c r="P17" s="20">
        <f t="shared" si="4"/>
        <v>132.31578947368422</v>
      </c>
      <c r="Q17" s="20">
        <f t="shared" si="4"/>
        <v>133.90243902439025</v>
      </c>
      <c r="R17" s="20">
        <f t="shared" si="4"/>
        <v>133.54545454545453</v>
      </c>
      <c r="S17" s="20">
        <f t="shared" si="4"/>
        <v>133.54545454545453</v>
      </c>
      <c r="T17" s="20">
        <f t="shared" si="4"/>
        <v>132.48936170212767</v>
      </c>
      <c r="U17" s="20">
        <f t="shared" si="4"/>
        <v>132.48936170212767</v>
      </c>
      <c r="V17" s="20">
        <f t="shared" si="4"/>
        <v>132.08000000000001</v>
      </c>
      <c r="W17" s="20">
        <f t="shared" si="4"/>
        <v>132.08000000000001</v>
      </c>
      <c r="X17" s="20">
        <f t="shared" si="4"/>
        <v>132.08000000000001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66</v>
      </c>
      <c r="D18" s="19">
        <f t="shared" si="5"/>
        <v>71</v>
      </c>
      <c r="E18" s="19">
        <f t="shared" si="5"/>
        <v>65</v>
      </c>
      <c r="F18" s="19">
        <f t="shared" si="5"/>
        <v>66</v>
      </c>
      <c r="G18" s="19">
        <f t="shared" si="5"/>
        <v>66</v>
      </c>
      <c r="H18" s="19">
        <f t="shared" si="5"/>
        <v>66</v>
      </c>
      <c r="I18" s="19">
        <f t="shared" si="5"/>
        <v>67</v>
      </c>
      <c r="J18" s="19">
        <f t="shared" si="5"/>
        <v>63</v>
      </c>
      <c r="K18" s="19">
        <f t="shared" si="5"/>
        <v>64</v>
      </c>
      <c r="L18" s="19">
        <f t="shared" si="5"/>
        <v>63</v>
      </c>
      <c r="M18" s="19">
        <f t="shared" si="5"/>
        <v>61</v>
      </c>
      <c r="N18" s="19">
        <f t="shared" si="5"/>
        <v>61</v>
      </c>
      <c r="O18" s="19">
        <f t="shared" si="5"/>
        <v>61</v>
      </c>
      <c r="P18" s="19">
        <f t="shared" si="5"/>
        <v>61</v>
      </c>
      <c r="Q18" s="19">
        <f t="shared" si="5"/>
        <v>59</v>
      </c>
      <c r="R18" s="19">
        <f t="shared" si="5"/>
        <v>60</v>
      </c>
      <c r="S18" s="19">
        <f t="shared" si="5"/>
        <v>60</v>
      </c>
      <c r="T18" s="19">
        <f t="shared" si="5"/>
        <v>61</v>
      </c>
      <c r="U18" s="19">
        <f t="shared" si="5"/>
        <v>61</v>
      </c>
      <c r="V18" s="19">
        <f t="shared" si="5"/>
        <v>61</v>
      </c>
      <c r="W18" s="19">
        <f t="shared" si="5"/>
        <v>61</v>
      </c>
      <c r="X18" s="19">
        <f t="shared" si="5"/>
        <v>61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5</v>
      </c>
      <c r="E19" s="19">
        <f t="shared" si="6"/>
        <v>8</v>
      </c>
      <c r="F19" s="19">
        <f t="shared" si="6"/>
        <v>11</v>
      </c>
      <c r="G19" s="19">
        <f t="shared" si="6"/>
        <v>14</v>
      </c>
      <c r="H19" s="19">
        <f t="shared" si="6"/>
        <v>17</v>
      </c>
      <c r="I19" s="19">
        <f t="shared" si="6"/>
        <v>20</v>
      </c>
      <c r="J19" s="19">
        <f t="shared" si="6"/>
        <v>23</v>
      </c>
      <c r="K19" s="19">
        <f t="shared" si="6"/>
        <v>26</v>
      </c>
      <c r="L19" s="19">
        <f t="shared" si="6"/>
        <v>29</v>
      </c>
      <c r="M19" s="19">
        <f t="shared" si="6"/>
        <v>32</v>
      </c>
      <c r="N19" s="19">
        <f t="shared" si="6"/>
        <v>32</v>
      </c>
      <c r="O19" s="19">
        <f t="shared" si="6"/>
        <v>35</v>
      </c>
      <c r="P19" s="19">
        <f t="shared" si="6"/>
        <v>38</v>
      </c>
      <c r="Q19" s="19">
        <f t="shared" si="6"/>
        <v>41</v>
      </c>
      <c r="R19" s="19">
        <f t="shared" si="6"/>
        <v>44</v>
      </c>
      <c r="S19" s="19">
        <f t="shared" si="6"/>
        <v>44</v>
      </c>
      <c r="T19" s="19">
        <f t="shared" si="6"/>
        <v>47</v>
      </c>
      <c r="U19" s="19">
        <f t="shared" si="6"/>
        <v>47</v>
      </c>
      <c r="V19" s="19">
        <f t="shared" si="6"/>
        <v>50</v>
      </c>
      <c r="W19" s="19">
        <f t="shared" si="6"/>
        <v>50</v>
      </c>
      <c r="X19" s="19">
        <f t="shared" si="6"/>
        <v>50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132</v>
      </c>
      <c r="D20" s="19">
        <f t="shared" si="7"/>
        <v>131</v>
      </c>
      <c r="E20" s="19">
        <f t="shared" si="7"/>
        <v>161</v>
      </c>
      <c r="F20" s="19">
        <f t="shared" si="7"/>
        <v>155</v>
      </c>
      <c r="G20" s="19">
        <f t="shared" si="7"/>
        <v>149</v>
      </c>
      <c r="H20" s="19">
        <f t="shared" si="7"/>
        <v>133</v>
      </c>
      <c r="I20" s="19">
        <f t="shared" si="7"/>
        <v>139</v>
      </c>
      <c r="J20" s="19">
        <f t="shared" si="7"/>
        <v>202</v>
      </c>
      <c r="K20" s="19">
        <f t="shared" si="7"/>
        <v>143</v>
      </c>
      <c r="L20" s="19">
        <f t="shared" si="7"/>
        <v>149</v>
      </c>
      <c r="M20" s="19">
        <f t="shared" si="7"/>
        <v>177</v>
      </c>
      <c r="N20" s="19">
        <f t="shared" si="7"/>
        <v>0</v>
      </c>
      <c r="O20" s="19">
        <f t="shared" si="7"/>
        <v>147</v>
      </c>
      <c r="P20" s="19">
        <f t="shared" si="7"/>
        <v>144</v>
      </c>
      <c r="Q20" s="19">
        <f t="shared" si="7"/>
        <v>164</v>
      </c>
      <c r="R20" s="19">
        <f t="shared" si="7"/>
        <v>131</v>
      </c>
      <c r="S20" s="19">
        <f t="shared" si="7"/>
        <v>0</v>
      </c>
      <c r="T20" s="19">
        <f t="shared" si="7"/>
        <v>129</v>
      </c>
      <c r="U20" s="19">
        <f t="shared" si="7"/>
        <v>0</v>
      </c>
      <c r="V20" s="19">
        <f t="shared" si="7"/>
        <v>141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183</v>
      </c>
      <c r="D21" s="19">
        <f>MAX(D$9:D$14)+$I$5</f>
        <v>182</v>
      </c>
      <c r="E21" s="19">
        <f t="shared" ref="E21:X21" si="8">MAX(E$9:E$14)+D18</f>
        <v>232</v>
      </c>
      <c r="F21" s="19">
        <f t="shared" si="8"/>
        <v>220</v>
      </c>
      <c r="G21" s="19">
        <f t="shared" si="8"/>
        <v>215</v>
      </c>
      <c r="H21" s="19">
        <f t="shared" si="8"/>
        <v>199</v>
      </c>
      <c r="I21" s="19">
        <f t="shared" si="8"/>
        <v>205</v>
      </c>
      <c r="J21" s="19">
        <f t="shared" si="8"/>
        <v>269</v>
      </c>
      <c r="K21" s="19">
        <f t="shared" si="8"/>
        <v>206</v>
      </c>
      <c r="L21" s="19">
        <f t="shared" si="8"/>
        <v>213</v>
      </c>
      <c r="M21" s="19">
        <f t="shared" si="8"/>
        <v>240</v>
      </c>
      <c r="N21" s="19">
        <f t="shared" si="8"/>
        <v>61</v>
      </c>
      <c r="O21" s="19">
        <f t="shared" si="8"/>
        <v>208</v>
      </c>
      <c r="P21" s="19">
        <f t="shared" si="8"/>
        <v>205</v>
      </c>
      <c r="Q21" s="19">
        <f t="shared" si="8"/>
        <v>225</v>
      </c>
      <c r="R21" s="19">
        <f t="shared" si="8"/>
        <v>190</v>
      </c>
      <c r="S21" s="19">
        <f t="shared" si="8"/>
        <v>60</v>
      </c>
      <c r="T21" s="19">
        <f t="shared" si="8"/>
        <v>189</v>
      </c>
      <c r="U21" s="19">
        <f t="shared" si="8"/>
        <v>61</v>
      </c>
      <c r="V21" s="19">
        <f t="shared" si="8"/>
        <v>202</v>
      </c>
      <c r="W21" s="19">
        <f t="shared" si="8"/>
        <v>61</v>
      </c>
      <c r="X21" s="19">
        <f t="shared" si="8"/>
        <v>61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379</v>
      </c>
      <c r="D22" s="19">
        <f t="shared" ref="D22:X22" si="9">MAX(SUM(D$9:D$11),SUM(D$12:D$14))</f>
        <v>224</v>
      </c>
      <c r="E22" s="19">
        <f t="shared" si="9"/>
        <v>419</v>
      </c>
      <c r="F22" s="19">
        <f t="shared" si="9"/>
        <v>376</v>
      </c>
      <c r="G22" s="19">
        <f t="shared" si="9"/>
        <v>376</v>
      </c>
      <c r="H22" s="19">
        <f t="shared" si="9"/>
        <v>385</v>
      </c>
      <c r="I22" s="19">
        <f t="shared" si="9"/>
        <v>362</v>
      </c>
      <c r="J22" s="19">
        <f t="shared" si="9"/>
        <v>468</v>
      </c>
      <c r="K22" s="19">
        <f t="shared" si="9"/>
        <v>362</v>
      </c>
      <c r="L22" s="19">
        <f t="shared" si="9"/>
        <v>422</v>
      </c>
      <c r="M22" s="19">
        <f t="shared" si="9"/>
        <v>462</v>
      </c>
      <c r="N22" s="19">
        <f t="shared" si="9"/>
        <v>0</v>
      </c>
      <c r="O22" s="19">
        <f t="shared" si="9"/>
        <v>409</v>
      </c>
      <c r="P22" s="19">
        <f t="shared" si="9"/>
        <v>384</v>
      </c>
      <c r="Q22" s="19">
        <f t="shared" si="9"/>
        <v>462</v>
      </c>
      <c r="R22" s="19">
        <f t="shared" si="9"/>
        <v>386</v>
      </c>
      <c r="S22" s="19">
        <f t="shared" si="9"/>
        <v>0</v>
      </c>
      <c r="T22" s="19">
        <f t="shared" si="9"/>
        <v>351</v>
      </c>
      <c r="U22" s="19">
        <f t="shared" si="9"/>
        <v>0</v>
      </c>
      <c r="V22" s="19">
        <f t="shared" si="9"/>
        <v>377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532</v>
      </c>
      <c r="D23" s="19">
        <f>MAX(SUM(D$9:D$11),SUM(D$12:D$14))+$I$5*3</f>
        <v>377</v>
      </c>
      <c r="E23" s="19">
        <f t="shared" ref="E23:X23" si="10">MAX(SUM(E$9:E$11),SUM(E$12:E$14))+D18*3</f>
        <v>632</v>
      </c>
      <c r="F23" s="19">
        <f t="shared" si="10"/>
        <v>571</v>
      </c>
      <c r="G23" s="19">
        <f t="shared" si="10"/>
        <v>574</v>
      </c>
      <c r="H23" s="19">
        <f t="shared" si="10"/>
        <v>583</v>
      </c>
      <c r="I23" s="19">
        <f t="shared" si="10"/>
        <v>560</v>
      </c>
      <c r="J23" s="19">
        <f t="shared" si="10"/>
        <v>669</v>
      </c>
      <c r="K23" s="19">
        <f t="shared" si="10"/>
        <v>551</v>
      </c>
      <c r="L23" s="19">
        <f t="shared" si="10"/>
        <v>614</v>
      </c>
      <c r="M23" s="19">
        <f t="shared" si="10"/>
        <v>651</v>
      </c>
      <c r="N23" s="19">
        <f t="shared" si="10"/>
        <v>183</v>
      </c>
      <c r="O23" s="19">
        <f t="shared" si="10"/>
        <v>592</v>
      </c>
      <c r="P23" s="19">
        <f t="shared" si="10"/>
        <v>567</v>
      </c>
      <c r="Q23" s="19">
        <f t="shared" si="10"/>
        <v>645</v>
      </c>
      <c r="R23" s="19">
        <f t="shared" si="10"/>
        <v>563</v>
      </c>
      <c r="S23" s="19">
        <f t="shared" si="10"/>
        <v>180</v>
      </c>
      <c r="T23" s="19">
        <f t="shared" si="10"/>
        <v>531</v>
      </c>
      <c r="U23" s="19">
        <f t="shared" si="10"/>
        <v>183</v>
      </c>
      <c r="V23" s="19">
        <f t="shared" si="10"/>
        <v>560</v>
      </c>
      <c r="W23" s="19">
        <f t="shared" si="10"/>
        <v>183</v>
      </c>
      <c r="X23" s="19">
        <f t="shared" si="10"/>
        <v>183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132</v>
      </c>
      <c r="D27" s="107">
        <f>MAX($C20:D20)</f>
        <v>132</v>
      </c>
      <c r="E27" s="107">
        <f>MAX($C20:E20)</f>
        <v>161</v>
      </c>
      <c r="F27" s="107">
        <f>MAX($C20:F20)</f>
        <v>161</v>
      </c>
      <c r="G27" s="107">
        <f>MAX($C20:G20)</f>
        <v>161</v>
      </c>
      <c r="H27" s="107">
        <f>MAX($C20:H20)</f>
        <v>161</v>
      </c>
      <c r="I27" s="107">
        <f>MAX($C20:I20)</f>
        <v>161</v>
      </c>
      <c r="J27" s="107">
        <f>MAX($C20:J20)</f>
        <v>202</v>
      </c>
      <c r="K27" s="107">
        <f>MAX($C20:K20)</f>
        <v>202</v>
      </c>
      <c r="L27" s="107">
        <f>MAX($C20:L20)</f>
        <v>202</v>
      </c>
      <c r="M27" s="107">
        <f>MAX($C20:M20)</f>
        <v>202</v>
      </c>
      <c r="N27" s="107">
        <f>MAX($C20:N20)</f>
        <v>202</v>
      </c>
      <c r="O27" s="107">
        <f>MAX($C20:O20)</f>
        <v>202</v>
      </c>
      <c r="P27" s="107">
        <f>MAX($C20:P20)</f>
        <v>202</v>
      </c>
      <c r="Q27" s="107">
        <f>MAX($C20:Q20)</f>
        <v>202</v>
      </c>
      <c r="R27" s="107">
        <f>MAX($C20:R20)</f>
        <v>202</v>
      </c>
      <c r="S27" s="107">
        <f>MAX($C20:S20)</f>
        <v>202</v>
      </c>
      <c r="T27" s="107">
        <f>MAX($C20:T20)</f>
        <v>202</v>
      </c>
      <c r="U27" s="107">
        <f>MAX($C20:U20)</f>
        <v>202</v>
      </c>
      <c r="V27" s="107">
        <f>MAX($C20:V20)</f>
        <v>202</v>
      </c>
      <c r="W27" s="107">
        <f>MAX($C20:W20)</f>
        <v>202</v>
      </c>
      <c r="X27" s="107">
        <f>MAX($C20:X20)</f>
        <v>202</v>
      </c>
    </row>
    <row r="28" spans="1:25" ht="13.15" x14ac:dyDescent="0.4">
      <c r="A28">
        <v>22</v>
      </c>
      <c r="B28" s="151" t="s">
        <v>78</v>
      </c>
      <c r="C28" s="19">
        <f>MAX(C21)</f>
        <v>183</v>
      </c>
      <c r="D28" s="107">
        <f>MAX($C21:D21)</f>
        <v>183</v>
      </c>
      <c r="E28" s="107">
        <f>MAX($C21:E21)</f>
        <v>232</v>
      </c>
      <c r="F28" s="107">
        <f>MAX($C21:F21)</f>
        <v>232</v>
      </c>
      <c r="G28" s="107">
        <f>MAX($C21:G21)</f>
        <v>232</v>
      </c>
      <c r="H28" s="107">
        <f>MAX($C21:H21)</f>
        <v>232</v>
      </c>
      <c r="I28" s="107">
        <f>MAX($C21:I21)</f>
        <v>232</v>
      </c>
      <c r="J28" s="107">
        <f>MAX($C21:J21)</f>
        <v>269</v>
      </c>
      <c r="K28" s="107">
        <f>MAX($C21:K21)</f>
        <v>269</v>
      </c>
      <c r="L28" s="107">
        <f>MAX($C21:L21)</f>
        <v>269</v>
      </c>
      <c r="M28" s="107">
        <f>MAX($C21:M21)</f>
        <v>269</v>
      </c>
      <c r="N28" s="107">
        <f>MAX($C21:N21)</f>
        <v>269</v>
      </c>
      <c r="O28" s="107">
        <f>MAX($C21:O21)</f>
        <v>269</v>
      </c>
      <c r="P28" s="107">
        <f>MAX($C21:P21)</f>
        <v>269</v>
      </c>
      <c r="Q28" s="107">
        <f>MAX($C21:Q21)</f>
        <v>269</v>
      </c>
      <c r="R28" s="107">
        <f>MAX($C21:R21)</f>
        <v>269</v>
      </c>
      <c r="S28" s="107">
        <f>MAX($C21:S21)</f>
        <v>269</v>
      </c>
      <c r="T28" s="107">
        <f>MAX($C21:T21)</f>
        <v>269</v>
      </c>
      <c r="U28" s="107">
        <f>MAX($C21:U21)</f>
        <v>269</v>
      </c>
      <c r="V28" s="107">
        <f>MAX($C21:V21)</f>
        <v>269</v>
      </c>
      <c r="W28" s="107">
        <f>MAX($C21:W21)</f>
        <v>269</v>
      </c>
      <c r="X28" s="107">
        <f>MAX($C21:X21)</f>
        <v>269</v>
      </c>
    </row>
    <row r="29" spans="1:25" ht="26.25" x14ac:dyDescent="0.4">
      <c r="A29">
        <v>23</v>
      </c>
      <c r="B29" s="151" t="s">
        <v>79</v>
      </c>
      <c r="C29" s="19">
        <f>MAX(C22)</f>
        <v>379</v>
      </c>
      <c r="D29" s="107">
        <f>MAX($C22:D22)</f>
        <v>379</v>
      </c>
      <c r="E29" s="107">
        <f>MAX($C22:E22)</f>
        <v>419</v>
      </c>
      <c r="F29" s="107">
        <f>MAX($C22:F22)</f>
        <v>419</v>
      </c>
      <c r="G29" s="107">
        <f>MAX($C22:G22)</f>
        <v>419</v>
      </c>
      <c r="H29" s="107">
        <f>MAX($C22:H22)</f>
        <v>419</v>
      </c>
      <c r="I29" s="107">
        <f>MAX($C22:I22)</f>
        <v>419</v>
      </c>
      <c r="J29" s="107">
        <f>MAX($C22:J22)</f>
        <v>468</v>
      </c>
      <c r="K29" s="107">
        <f>MAX($C22:K22)</f>
        <v>468</v>
      </c>
      <c r="L29" s="107">
        <f>MAX($C22:L22)</f>
        <v>468</v>
      </c>
      <c r="M29" s="107">
        <f>MAX($C22:M22)</f>
        <v>468</v>
      </c>
      <c r="N29" s="107">
        <f>MAX($C22:N22)</f>
        <v>468</v>
      </c>
      <c r="O29" s="107">
        <f>MAX($C22:O22)</f>
        <v>468</v>
      </c>
      <c r="P29" s="107">
        <f>MAX($C22:P22)</f>
        <v>468</v>
      </c>
      <c r="Q29" s="107">
        <f>MAX($C22:Q22)</f>
        <v>468</v>
      </c>
      <c r="R29" s="107">
        <f>MAX($C22:R22)</f>
        <v>468</v>
      </c>
      <c r="S29" s="107">
        <f>MAX($C22:S22)</f>
        <v>468</v>
      </c>
      <c r="T29" s="107">
        <f>MAX($C22:T22)</f>
        <v>468</v>
      </c>
      <c r="U29" s="107">
        <f>MAX($C22:U22)</f>
        <v>468</v>
      </c>
      <c r="V29" s="107">
        <f>MAX($C22:V22)</f>
        <v>468</v>
      </c>
      <c r="W29" s="107">
        <f>MAX($C22:W22)</f>
        <v>468</v>
      </c>
      <c r="X29" s="107">
        <f>MAX($C22:X22)</f>
        <v>468</v>
      </c>
    </row>
    <row r="30" spans="1:25" ht="13.15" x14ac:dyDescent="0.4">
      <c r="A30">
        <v>24</v>
      </c>
      <c r="B30" s="151" t="s">
        <v>80</v>
      </c>
      <c r="C30" s="19">
        <f>MAX(C23)</f>
        <v>532</v>
      </c>
      <c r="D30" s="107">
        <f>MAX($C23:D23)</f>
        <v>532</v>
      </c>
      <c r="E30" s="107">
        <f>MAX($C23:E23)</f>
        <v>632</v>
      </c>
      <c r="F30" s="107">
        <f>MAX($C23:F23)</f>
        <v>632</v>
      </c>
      <c r="G30" s="107">
        <f>MAX($C23:G23)</f>
        <v>632</v>
      </c>
      <c r="H30" s="107">
        <f>MAX($C23:H23)</f>
        <v>632</v>
      </c>
      <c r="I30" s="107">
        <f>MAX($C23:I23)</f>
        <v>632</v>
      </c>
      <c r="J30" s="107">
        <f>MAX($C23:J23)</f>
        <v>669</v>
      </c>
      <c r="K30" s="107">
        <f>MAX($C23:K23)</f>
        <v>669</v>
      </c>
      <c r="L30" s="107">
        <f>MAX($C23:L23)</f>
        <v>669</v>
      </c>
      <c r="M30" s="107">
        <f>MAX($C23:M23)</f>
        <v>669</v>
      </c>
      <c r="N30" s="107">
        <f>MAX($C23:N23)</f>
        <v>669</v>
      </c>
      <c r="O30" s="107">
        <f>MAX($C23:O23)</f>
        <v>669</v>
      </c>
      <c r="P30" s="107">
        <f>MAX($C23:P23)</f>
        <v>669</v>
      </c>
      <c r="Q30" s="107">
        <f>MAX($C23:Q23)</f>
        <v>669</v>
      </c>
      <c r="R30" s="107">
        <f>MAX($C23:R23)</f>
        <v>669</v>
      </c>
      <c r="S30" s="107">
        <f>MAX($C23:S23)</f>
        <v>669</v>
      </c>
      <c r="T30" s="107">
        <f>MAX($C23:T23)</f>
        <v>669</v>
      </c>
      <c r="U30" s="107">
        <f>MAX($C23:U23)</f>
        <v>669</v>
      </c>
      <c r="V30" s="107">
        <f>MAX($C23:V23)</f>
        <v>669</v>
      </c>
      <c r="W30" s="107">
        <f>MAX($C23:W23)</f>
        <v>669</v>
      </c>
      <c r="X30" s="107">
        <f>MAX($C23:X23)</f>
        <v>669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02" t="s">
        <v>177</v>
      </c>
      <c r="G2" s="203" t="s">
        <v>17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49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53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E9">
        <v>138</v>
      </c>
      <c r="F9">
        <v>154</v>
      </c>
      <c r="H9">
        <v>133</v>
      </c>
      <c r="J9">
        <v>150</v>
      </c>
      <c r="L9">
        <v>152</v>
      </c>
      <c r="M9">
        <v>155</v>
      </c>
      <c r="O9">
        <v>167</v>
      </c>
      <c r="R9">
        <v>187</v>
      </c>
      <c r="U9">
        <v>163</v>
      </c>
    </row>
    <row r="10" spans="1:24" ht="13.15" x14ac:dyDescent="0.4">
      <c r="A10">
        <v>4</v>
      </c>
      <c r="B10" s="3" t="s">
        <v>15</v>
      </c>
      <c r="E10">
        <v>147</v>
      </c>
      <c r="F10">
        <v>103</v>
      </c>
      <c r="H10">
        <v>161</v>
      </c>
      <c r="J10">
        <v>168</v>
      </c>
      <c r="L10">
        <v>142</v>
      </c>
      <c r="M10">
        <v>155</v>
      </c>
      <c r="O10">
        <v>108</v>
      </c>
      <c r="R10">
        <v>123</v>
      </c>
      <c r="U10">
        <v>111</v>
      </c>
    </row>
    <row r="11" spans="1:24" ht="13.15" x14ac:dyDescent="0.4">
      <c r="A11">
        <v>5</v>
      </c>
      <c r="B11" s="3" t="s">
        <v>16</v>
      </c>
      <c r="E11">
        <v>154</v>
      </c>
      <c r="F11">
        <v>137</v>
      </c>
      <c r="J11">
        <v>171</v>
      </c>
      <c r="O11">
        <v>119</v>
      </c>
      <c r="U11">
        <v>144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439</v>
      </c>
      <c r="F15" s="18">
        <f t="shared" si="2"/>
        <v>394</v>
      </c>
      <c r="G15" s="18">
        <f t="shared" si="2"/>
        <v>0</v>
      </c>
      <c r="H15" s="18">
        <f t="shared" si="2"/>
        <v>294</v>
      </c>
      <c r="I15" s="18">
        <f t="shared" si="2"/>
        <v>0</v>
      </c>
      <c r="J15" s="18">
        <f t="shared" si="2"/>
        <v>489</v>
      </c>
      <c r="K15" s="18">
        <f t="shared" si="2"/>
        <v>0</v>
      </c>
      <c r="L15" s="18">
        <f t="shared" si="2"/>
        <v>294</v>
      </c>
      <c r="M15" s="18">
        <f t="shared" si="2"/>
        <v>310</v>
      </c>
      <c r="N15" s="18">
        <f t="shared" si="2"/>
        <v>0</v>
      </c>
      <c r="O15" s="18">
        <f t="shared" si="2"/>
        <v>394</v>
      </c>
      <c r="P15" s="18">
        <f t="shared" si="2"/>
        <v>0</v>
      </c>
      <c r="Q15" s="18">
        <f t="shared" si="2"/>
        <v>0</v>
      </c>
      <c r="R15" s="18">
        <f t="shared" si="2"/>
        <v>310</v>
      </c>
      <c r="S15" s="18">
        <f t="shared" si="2"/>
        <v>0</v>
      </c>
      <c r="T15" s="18">
        <f t="shared" si="2"/>
        <v>0</v>
      </c>
      <c r="U15" s="18">
        <f t="shared" si="2"/>
        <v>418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439</v>
      </c>
      <c r="F16" s="19">
        <f t="shared" si="3"/>
        <v>833</v>
      </c>
      <c r="G16" s="19">
        <f t="shared" si="3"/>
        <v>833</v>
      </c>
      <c r="H16" s="19">
        <f t="shared" si="3"/>
        <v>1127</v>
      </c>
      <c r="I16" s="19">
        <f t="shared" si="3"/>
        <v>1127</v>
      </c>
      <c r="J16" s="19">
        <f t="shared" si="3"/>
        <v>1616</v>
      </c>
      <c r="K16" s="19">
        <f t="shared" si="3"/>
        <v>1616</v>
      </c>
      <c r="L16" s="19">
        <f t="shared" si="3"/>
        <v>1910</v>
      </c>
      <c r="M16" s="19">
        <f t="shared" si="3"/>
        <v>2220</v>
      </c>
      <c r="N16" s="19">
        <f t="shared" si="3"/>
        <v>2220</v>
      </c>
      <c r="O16" s="19">
        <f t="shared" si="3"/>
        <v>2614</v>
      </c>
      <c r="P16" s="19">
        <f t="shared" si="3"/>
        <v>2614</v>
      </c>
      <c r="Q16" s="19">
        <f t="shared" si="3"/>
        <v>2614</v>
      </c>
      <c r="R16" s="19">
        <f t="shared" si="3"/>
        <v>2924</v>
      </c>
      <c r="S16" s="19">
        <f t="shared" si="3"/>
        <v>2924</v>
      </c>
      <c r="T16" s="19">
        <f t="shared" si="3"/>
        <v>2924</v>
      </c>
      <c r="U16" s="19">
        <f t="shared" si="3"/>
        <v>3342</v>
      </c>
      <c r="V16" s="19">
        <f t="shared" si="3"/>
        <v>3342</v>
      </c>
      <c r="W16" s="19">
        <f t="shared" si="3"/>
        <v>3342</v>
      </c>
      <c r="X16" s="19">
        <f t="shared" si="3"/>
        <v>3342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>
        <f t="shared" si="4"/>
        <v>146.33333333333334</v>
      </c>
      <c r="F17" s="20">
        <f t="shared" si="4"/>
        <v>138.83333333333334</v>
      </c>
      <c r="G17" s="20">
        <f t="shared" si="4"/>
        <v>138.83333333333334</v>
      </c>
      <c r="H17" s="20">
        <f t="shared" si="4"/>
        <v>140.875</v>
      </c>
      <c r="I17" s="20">
        <f t="shared" si="4"/>
        <v>140.875</v>
      </c>
      <c r="J17" s="20">
        <f t="shared" si="4"/>
        <v>146.90909090909091</v>
      </c>
      <c r="K17" s="20">
        <f t="shared" si="4"/>
        <v>146.90909090909091</v>
      </c>
      <c r="L17" s="20">
        <f t="shared" si="4"/>
        <v>146.92307692307693</v>
      </c>
      <c r="M17" s="20">
        <f t="shared" si="4"/>
        <v>148</v>
      </c>
      <c r="N17" s="20">
        <f t="shared" si="4"/>
        <v>148</v>
      </c>
      <c r="O17" s="20">
        <f t="shared" si="4"/>
        <v>145.22222222222223</v>
      </c>
      <c r="P17" s="20">
        <f t="shared" si="4"/>
        <v>145.22222222222223</v>
      </c>
      <c r="Q17" s="20">
        <f t="shared" si="4"/>
        <v>145.22222222222223</v>
      </c>
      <c r="R17" s="20">
        <f t="shared" si="4"/>
        <v>146.19999999999999</v>
      </c>
      <c r="S17" s="20">
        <f t="shared" si="4"/>
        <v>146.19999999999999</v>
      </c>
      <c r="T17" s="20">
        <f t="shared" si="4"/>
        <v>146.19999999999999</v>
      </c>
      <c r="U17" s="20">
        <f t="shared" si="4"/>
        <v>145.30434782608697</v>
      </c>
      <c r="V17" s="20">
        <f t="shared" si="4"/>
        <v>145.30434782608697</v>
      </c>
      <c r="W17" s="20">
        <f t="shared" si="4"/>
        <v>145.30434782608697</v>
      </c>
      <c r="X17" s="20">
        <f t="shared" si="4"/>
        <v>145.30434782608697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>
        <f t="shared" si="5"/>
        <v>48</v>
      </c>
      <c r="F18" s="19">
        <f t="shared" si="5"/>
        <v>55</v>
      </c>
      <c r="G18" s="19">
        <f t="shared" si="5"/>
        <v>55</v>
      </c>
      <c r="H18" s="19">
        <f t="shared" si="5"/>
        <v>53</v>
      </c>
      <c r="I18" s="19">
        <f t="shared" si="5"/>
        <v>53</v>
      </c>
      <c r="J18" s="19">
        <f t="shared" si="5"/>
        <v>48</v>
      </c>
      <c r="K18" s="19">
        <f t="shared" si="5"/>
        <v>48</v>
      </c>
      <c r="L18" s="19">
        <f t="shared" si="5"/>
        <v>48</v>
      </c>
      <c r="M18" s="19">
        <f t="shared" si="5"/>
        <v>47</v>
      </c>
      <c r="N18" s="19">
        <f t="shared" si="5"/>
        <v>47</v>
      </c>
      <c r="O18" s="19">
        <f t="shared" si="5"/>
        <v>49</v>
      </c>
      <c r="P18" s="19">
        <f t="shared" si="5"/>
        <v>49</v>
      </c>
      <c r="Q18" s="19">
        <f t="shared" si="5"/>
        <v>49</v>
      </c>
      <c r="R18" s="19">
        <f t="shared" si="5"/>
        <v>48</v>
      </c>
      <c r="S18" s="19">
        <f t="shared" si="5"/>
        <v>48</v>
      </c>
      <c r="T18" s="19">
        <f t="shared" si="5"/>
        <v>48</v>
      </c>
      <c r="U18" s="19">
        <f t="shared" si="5"/>
        <v>49</v>
      </c>
      <c r="V18" s="19">
        <f t="shared" si="5"/>
        <v>49</v>
      </c>
      <c r="W18" s="19">
        <f t="shared" si="5"/>
        <v>49</v>
      </c>
      <c r="X18" s="19">
        <f t="shared" si="5"/>
        <v>49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3</v>
      </c>
      <c r="F19" s="19">
        <f t="shared" si="6"/>
        <v>6</v>
      </c>
      <c r="G19" s="19">
        <f t="shared" si="6"/>
        <v>6</v>
      </c>
      <c r="H19" s="19">
        <f t="shared" si="6"/>
        <v>8</v>
      </c>
      <c r="I19" s="19">
        <f t="shared" si="6"/>
        <v>8</v>
      </c>
      <c r="J19" s="19">
        <f t="shared" si="6"/>
        <v>11</v>
      </c>
      <c r="K19" s="19">
        <f t="shared" si="6"/>
        <v>11</v>
      </c>
      <c r="L19" s="19">
        <f t="shared" si="6"/>
        <v>13</v>
      </c>
      <c r="M19" s="19">
        <f t="shared" si="6"/>
        <v>15</v>
      </c>
      <c r="N19" s="19">
        <f t="shared" si="6"/>
        <v>15</v>
      </c>
      <c r="O19" s="19">
        <f t="shared" si="6"/>
        <v>18</v>
      </c>
      <c r="P19" s="19">
        <f t="shared" si="6"/>
        <v>18</v>
      </c>
      <c r="Q19" s="19">
        <f t="shared" si="6"/>
        <v>18</v>
      </c>
      <c r="R19" s="19">
        <f t="shared" si="6"/>
        <v>20</v>
      </c>
      <c r="S19" s="19">
        <f t="shared" si="6"/>
        <v>20</v>
      </c>
      <c r="T19" s="19">
        <f t="shared" si="6"/>
        <v>20</v>
      </c>
      <c r="U19" s="19">
        <f t="shared" si="6"/>
        <v>23</v>
      </c>
      <c r="V19" s="19">
        <f t="shared" si="6"/>
        <v>23</v>
      </c>
      <c r="W19" s="19">
        <f t="shared" si="6"/>
        <v>23</v>
      </c>
      <c r="X19" s="19">
        <f t="shared" si="6"/>
        <v>23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154</v>
      </c>
      <c r="F20" s="19">
        <f t="shared" si="7"/>
        <v>154</v>
      </c>
      <c r="G20" s="19">
        <f t="shared" si="7"/>
        <v>0</v>
      </c>
      <c r="H20" s="19">
        <f t="shared" si="7"/>
        <v>161</v>
      </c>
      <c r="I20" s="19">
        <f t="shared" si="7"/>
        <v>0</v>
      </c>
      <c r="J20" s="19">
        <f t="shared" si="7"/>
        <v>171</v>
      </c>
      <c r="K20" s="19">
        <f t="shared" si="7"/>
        <v>0</v>
      </c>
      <c r="L20" s="19">
        <f t="shared" si="7"/>
        <v>152</v>
      </c>
      <c r="M20" s="19">
        <f t="shared" si="7"/>
        <v>155</v>
      </c>
      <c r="N20" s="19">
        <f t="shared" si="7"/>
        <v>0</v>
      </c>
      <c r="O20" s="19">
        <f t="shared" si="7"/>
        <v>167</v>
      </c>
      <c r="P20" s="19">
        <f t="shared" si="7"/>
        <v>0</v>
      </c>
      <c r="Q20" s="19">
        <f t="shared" si="7"/>
        <v>0</v>
      </c>
      <c r="R20" s="19">
        <f t="shared" si="7"/>
        <v>187</v>
      </c>
      <c r="S20" s="19">
        <f t="shared" si="7"/>
        <v>0</v>
      </c>
      <c r="T20" s="19">
        <f t="shared" si="7"/>
        <v>0</v>
      </c>
      <c r="U20" s="19">
        <f t="shared" si="7"/>
        <v>163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53</v>
      </c>
      <c r="D21" s="19">
        <f>MAX(D$9:D$14)+$I$5</f>
        <v>53</v>
      </c>
      <c r="E21" s="19">
        <f>MAX(E$9:E$14)+$I$5</f>
        <v>207</v>
      </c>
      <c r="F21" s="19">
        <f>MAX(F$9:F$14)+$I$5</f>
        <v>207</v>
      </c>
      <c r="G21" s="19">
        <f t="shared" ref="G21:X21" si="8">MAX(G$9:G$14)+F18</f>
        <v>55</v>
      </c>
      <c r="H21" s="19">
        <f t="shared" si="8"/>
        <v>216</v>
      </c>
      <c r="I21" s="19">
        <f t="shared" si="8"/>
        <v>53</v>
      </c>
      <c r="J21" s="19">
        <f t="shared" si="8"/>
        <v>224</v>
      </c>
      <c r="K21" s="19">
        <f t="shared" si="8"/>
        <v>48</v>
      </c>
      <c r="L21" s="19">
        <f t="shared" si="8"/>
        <v>200</v>
      </c>
      <c r="M21" s="19">
        <f t="shared" si="8"/>
        <v>203</v>
      </c>
      <c r="N21" s="19">
        <f t="shared" si="8"/>
        <v>47</v>
      </c>
      <c r="O21" s="19">
        <f t="shared" si="8"/>
        <v>214</v>
      </c>
      <c r="P21" s="19">
        <f t="shared" si="8"/>
        <v>49</v>
      </c>
      <c r="Q21" s="19">
        <f t="shared" si="8"/>
        <v>49</v>
      </c>
      <c r="R21" s="19">
        <f t="shared" si="8"/>
        <v>236</v>
      </c>
      <c r="S21" s="19">
        <f t="shared" si="8"/>
        <v>48</v>
      </c>
      <c r="T21" s="19">
        <f t="shared" si="8"/>
        <v>48</v>
      </c>
      <c r="U21" s="19">
        <f t="shared" si="8"/>
        <v>211</v>
      </c>
      <c r="V21" s="19">
        <f t="shared" si="8"/>
        <v>49</v>
      </c>
      <c r="W21" s="19">
        <f t="shared" si="8"/>
        <v>49</v>
      </c>
      <c r="X21" s="19">
        <f t="shared" si="8"/>
        <v>49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439</v>
      </c>
      <c r="F22" s="19">
        <f t="shared" si="9"/>
        <v>394</v>
      </c>
      <c r="G22" s="19">
        <f t="shared" si="9"/>
        <v>0</v>
      </c>
      <c r="H22" s="19">
        <f t="shared" si="9"/>
        <v>294</v>
      </c>
      <c r="I22" s="19">
        <f t="shared" si="9"/>
        <v>0</v>
      </c>
      <c r="J22" s="19">
        <f t="shared" si="9"/>
        <v>489</v>
      </c>
      <c r="K22" s="19">
        <f t="shared" si="9"/>
        <v>0</v>
      </c>
      <c r="L22" s="19">
        <f t="shared" si="9"/>
        <v>294</v>
      </c>
      <c r="M22" s="19">
        <f t="shared" si="9"/>
        <v>310</v>
      </c>
      <c r="N22" s="19">
        <f t="shared" si="9"/>
        <v>0</v>
      </c>
      <c r="O22" s="19">
        <f t="shared" si="9"/>
        <v>394</v>
      </c>
      <c r="P22" s="19">
        <f t="shared" si="9"/>
        <v>0</v>
      </c>
      <c r="Q22" s="19">
        <f t="shared" si="9"/>
        <v>0</v>
      </c>
      <c r="R22" s="19">
        <f t="shared" si="9"/>
        <v>310</v>
      </c>
      <c r="S22" s="19">
        <f t="shared" si="9"/>
        <v>0</v>
      </c>
      <c r="T22" s="19">
        <f t="shared" si="9"/>
        <v>0</v>
      </c>
      <c r="U22" s="19">
        <f t="shared" si="9"/>
        <v>418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159</v>
      </c>
      <c r="D23" s="19">
        <f>MAX(SUM(D$9:D$11),SUM(D$12:D$14))+$I$5*3</f>
        <v>159</v>
      </c>
      <c r="E23" s="19">
        <f>MAX(SUM(E$9:E$11),SUM(E$12:E$14))+$I$5*3</f>
        <v>598</v>
      </c>
      <c r="F23" s="19">
        <f>MAX(SUM(F$9:F$11),SUM(F$12:F$14))+$I$5*3</f>
        <v>553</v>
      </c>
      <c r="G23" s="19">
        <f t="shared" ref="G23:X23" si="10">MAX(SUM(G$9:G$11),SUM(G$12:G$14))+F18*3</f>
        <v>165</v>
      </c>
      <c r="H23" s="19">
        <f t="shared" si="10"/>
        <v>459</v>
      </c>
      <c r="I23" s="19">
        <f t="shared" si="10"/>
        <v>159</v>
      </c>
      <c r="J23" s="19">
        <f t="shared" si="10"/>
        <v>648</v>
      </c>
      <c r="K23" s="19">
        <f t="shared" si="10"/>
        <v>144</v>
      </c>
      <c r="L23" s="19">
        <f t="shared" si="10"/>
        <v>438</v>
      </c>
      <c r="M23" s="19">
        <f t="shared" si="10"/>
        <v>454</v>
      </c>
      <c r="N23" s="19">
        <f t="shared" si="10"/>
        <v>141</v>
      </c>
      <c r="O23" s="19">
        <f t="shared" si="10"/>
        <v>535</v>
      </c>
      <c r="P23" s="19">
        <f t="shared" si="10"/>
        <v>147</v>
      </c>
      <c r="Q23" s="19">
        <f t="shared" si="10"/>
        <v>147</v>
      </c>
      <c r="R23" s="19">
        <f t="shared" si="10"/>
        <v>457</v>
      </c>
      <c r="S23" s="19">
        <f t="shared" si="10"/>
        <v>144</v>
      </c>
      <c r="T23" s="19">
        <f t="shared" si="10"/>
        <v>144</v>
      </c>
      <c r="U23" s="19">
        <f t="shared" si="10"/>
        <v>562</v>
      </c>
      <c r="V23" s="19">
        <f t="shared" si="10"/>
        <v>147</v>
      </c>
      <c r="W23" s="19">
        <f t="shared" si="10"/>
        <v>147</v>
      </c>
      <c r="X23" s="19">
        <f t="shared" si="10"/>
        <v>147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154</v>
      </c>
      <c r="F27" s="107">
        <f>MAX($C20:F20)</f>
        <v>154</v>
      </c>
      <c r="G27" s="107">
        <f>MAX($C20:G20)</f>
        <v>154</v>
      </c>
      <c r="H27" s="107">
        <f>MAX($C20:H20)</f>
        <v>161</v>
      </c>
      <c r="I27" s="107">
        <f>MAX($C20:I20)</f>
        <v>161</v>
      </c>
      <c r="J27" s="107">
        <f>MAX($C20:J20)</f>
        <v>171</v>
      </c>
      <c r="K27" s="107">
        <f>MAX($C20:K20)</f>
        <v>171</v>
      </c>
      <c r="L27" s="107">
        <f>MAX($C20:L20)</f>
        <v>171</v>
      </c>
      <c r="M27" s="107">
        <f>MAX($C20:M20)</f>
        <v>171</v>
      </c>
      <c r="N27" s="107">
        <f>MAX($C20:N20)</f>
        <v>171</v>
      </c>
      <c r="O27" s="107">
        <f>MAX($C20:O20)</f>
        <v>171</v>
      </c>
      <c r="P27" s="107">
        <f>MAX($C20:P20)</f>
        <v>171</v>
      </c>
      <c r="Q27" s="107">
        <f>MAX($C20:Q20)</f>
        <v>171</v>
      </c>
      <c r="R27" s="107">
        <f>MAX($C20:R20)</f>
        <v>187</v>
      </c>
      <c r="S27" s="107">
        <f>MAX($C20:S20)</f>
        <v>187</v>
      </c>
      <c r="T27" s="107">
        <f>MAX($C20:T20)</f>
        <v>187</v>
      </c>
      <c r="U27" s="107">
        <f>MAX($C20:U20)</f>
        <v>187</v>
      </c>
      <c r="V27" s="107">
        <f>MAX($C20:V20)</f>
        <v>187</v>
      </c>
      <c r="W27" s="107">
        <f>MAX($C20:W20)</f>
        <v>187</v>
      </c>
      <c r="X27" s="107">
        <f>MAX($C20:X20)</f>
        <v>187</v>
      </c>
    </row>
    <row r="28" spans="1:25" ht="13.15" x14ac:dyDescent="0.4">
      <c r="A28">
        <v>22</v>
      </c>
      <c r="B28" s="151" t="s">
        <v>78</v>
      </c>
      <c r="C28" s="19">
        <f>MAX(C21)</f>
        <v>53</v>
      </c>
      <c r="D28" s="107">
        <f>MAX($C21:D21)</f>
        <v>53</v>
      </c>
      <c r="E28" s="107">
        <f>MAX($C21:E21)</f>
        <v>207</v>
      </c>
      <c r="F28" s="107">
        <f>MAX($C21:F21)</f>
        <v>207</v>
      </c>
      <c r="G28" s="107">
        <f>MAX($C21:G21)</f>
        <v>207</v>
      </c>
      <c r="H28" s="107">
        <f>MAX($C21:H21)</f>
        <v>216</v>
      </c>
      <c r="I28" s="107">
        <f>MAX($C21:I21)</f>
        <v>216</v>
      </c>
      <c r="J28" s="107">
        <f>MAX($C21:J21)</f>
        <v>224</v>
      </c>
      <c r="K28" s="107">
        <f>MAX($C21:K21)</f>
        <v>224</v>
      </c>
      <c r="L28" s="107">
        <f>MAX($C21:L21)</f>
        <v>224</v>
      </c>
      <c r="M28" s="107">
        <f>MAX($C21:M21)</f>
        <v>224</v>
      </c>
      <c r="N28" s="107">
        <f>MAX($C21:N21)</f>
        <v>224</v>
      </c>
      <c r="O28" s="107">
        <f>MAX($C21:O21)</f>
        <v>224</v>
      </c>
      <c r="P28" s="107">
        <f>MAX($C21:P21)</f>
        <v>224</v>
      </c>
      <c r="Q28" s="107">
        <f>MAX($C21:Q21)</f>
        <v>224</v>
      </c>
      <c r="R28" s="107">
        <f>MAX($C21:R21)</f>
        <v>236</v>
      </c>
      <c r="S28" s="107">
        <f>MAX($C21:S21)</f>
        <v>236</v>
      </c>
      <c r="T28" s="107">
        <f>MAX($C21:T21)</f>
        <v>236</v>
      </c>
      <c r="U28" s="107">
        <f>MAX($C21:U21)</f>
        <v>236</v>
      </c>
      <c r="V28" s="107">
        <f>MAX($C21:V21)</f>
        <v>236</v>
      </c>
      <c r="W28" s="107">
        <f>MAX($C21:W21)</f>
        <v>236</v>
      </c>
      <c r="X28" s="107">
        <f>MAX($C21:X21)</f>
        <v>236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439</v>
      </c>
      <c r="F29" s="107">
        <f>MAX($C22:F22)</f>
        <v>439</v>
      </c>
      <c r="G29" s="107">
        <f>MAX($C22:G22)</f>
        <v>439</v>
      </c>
      <c r="H29" s="107">
        <f>MAX($C22:H22)</f>
        <v>439</v>
      </c>
      <c r="I29" s="107">
        <f>MAX($C22:I22)</f>
        <v>439</v>
      </c>
      <c r="J29" s="107">
        <f>MAX($C22:J22)</f>
        <v>489</v>
      </c>
      <c r="K29" s="107">
        <f>MAX($C22:K22)</f>
        <v>489</v>
      </c>
      <c r="L29" s="107">
        <f>MAX($C22:L22)</f>
        <v>489</v>
      </c>
      <c r="M29" s="107">
        <f>MAX($C22:M22)</f>
        <v>489</v>
      </c>
      <c r="N29" s="107">
        <f>MAX($C22:N22)</f>
        <v>489</v>
      </c>
      <c r="O29" s="107">
        <f>MAX($C22:O22)</f>
        <v>489</v>
      </c>
      <c r="P29" s="107">
        <f>MAX($C22:P22)</f>
        <v>489</v>
      </c>
      <c r="Q29" s="107">
        <f>MAX($C22:Q22)</f>
        <v>489</v>
      </c>
      <c r="R29" s="107">
        <f>MAX($C22:R22)</f>
        <v>489</v>
      </c>
      <c r="S29" s="107">
        <f>MAX($C22:S22)</f>
        <v>489</v>
      </c>
      <c r="T29" s="107">
        <f>MAX($C22:T22)</f>
        <v>489</v>
      </c>
      <c r="U29" s="107">
        <f>MAX($C22:U22)</f>
        <v>489</v>
      </c>
      <c r="V29" s="107">
        <f>MAX($C22:V22)</f>
        <v>489</v>
      </c>
      <c r="W29" s="107">
        <f>MAX($C22:W22)</f>
        <v>489</v>
      </c>
      <c r="X29" s="107">
        <f>MAX($C22:X22)</f>
        <v>489</v>
      </c>
    </row>
    <row r="30" spans="1:25" ht="13.15" x14ac:dyDescent="0.4">
      <c r="A30">
        <v>24</v>
      </c>
      <c r="B30" s="151" t="s">
        <v>80</v>
      </c>
      <c r="C30" s="19">
        <f>MAX(C23)</f>
        <v>159</v>
      </c>
      <c r="D30" s="107">
        <f>MAX($C23:D23)</f>
        <v>159</v>
      </c>
      <c r="E30" s="107">
        <f>MAX($C23:E23)</f>
        <v>598</v>
      </c>
      <c r="F30" s="107">
        <f>MAX($C23:F23)</f>
        <v>598</v>
      </c>
      <c r="G30" s="107">
        <f>MAX($C23:G23)</f>
        <v>598</v>
      </c>
      <c r="H30" s="107">
        <f>MAX($C23:H23)</f>
        <v>598</v>
      </c>
      <c r="I30" s="107">
        <f>MAX($C23:I23)</f>
        <v>598</v>
      </c>
      <c r="J30" s="107">
        <f>MAX($C23:J23)</f>
        <v>648</v>
      </c>
      <c r="K30" s="107">
        <f>MAX($C23:K23)</f>
        <v>648</v>
      </c>
      <c r="L30" s="107">
        <f>MAX($C23:L23)</f>
        <v>648</v>
      </c>
      <c r="M30" s="107">
        <f>MAX($C23:M23)</f>
        <v>648</v>
      </c>
      <c r="N30" s="107">
        <f>MAX($C23:N23)</f>
        <v>648</v>
      </c>
      <c r="O30" s="107">
        <f>MAX($C23:O23)</f>
        <v>648</v>
      </c>
      <c r="P30" s="107">
        <f>MAX($C23:P23)</f>
        <v>648</v>
      </c>
      <c r="Q30" s="107">
        <f>MAX($C23:Q23)</f>
        <v>648</v>
      </c>
      <c r="R30" s="107">
        <f>MAX($C23:R23)</f>
        <v>648</v>
      </c>
      <c r="S30" s="107">
        <f>MAX($C23:S23)</f>
        <v>648</v>
      </c>
      <c r="T30" s="107">
        <f>MAX($C23:T23)</f>
        <v>648</v>
      </c>
      <c r="U30" s="107">
        <f>MAX($C23:U23)</f>
        <v>648</v>
      </c>
      <c r="V30" s="107">
        <f>MAX($C23:V23)</f>
        <v>648</v>
      </c>
      <c r="W30" s="107">
        <f>MAX($C23:W23)</f>
        <v>648</v>
      </c>
      <c r="X30" s="107">
        <f>MAX($C23:X23)</f>
        <v>648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honeticPr fontId="0" type="noConversion"/>
  <pageMargins left="0.22" right="0.46" top="0.49" bottom="1" header="0.5" footer="0.5"/>
  <pageSetup scale="59" orientation="landscape" horizontalDpi="4294967293" r:id="rId1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324</v>
      </c>
      <c r="G2" s="203" t="s">
        <v>211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56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F9">
        <v>118</v>
      </c>
      <c r="G9">
        <v>143</v>
      </c>
      <c r="H9">
        <v>133</v>
      </c>
      <c r="N9">
        <v>128</v>
      </c>
      <c r="R9">
        <v>178</v>
      </c>
      <c r="V9">
        <v>162</v>
      </c>
    </row>
    <row r="10" spans="1:24" ht="13.15" x14ac:dyDescent="0.4">
      <c r="A10">
        <v>4</v>
      </c>
      <c r="B10" s="3" t="s">
        <v>15</v>
      </c>
      <c r="F10">
        <v>147</v>
      </c>
      <c r="G10">
        <v>121</v>
      </c>
      <c r="H10">
        <v>141</v>
      </c>
      <c r="N10">
        <v>142</v>
      </c>
      <c r="R10">
        <v>137</v>
      </c>
      <c r="V10">
        <v>127</v>
      </c>
    </row>
    <row r="11" spans="1:24" ht="13.15" x14ac:dyDescent="0.4">
      <c r="A11">
        <v>5</v>
      </c>
      <c r="B11" s="3" t="s">
        <v>16</v>
      </c>
      <c r="F11">
        <v>143</v>
      </c>
      <c r="G11">
        <v>141</v>
      </c>
      <c r="H11">
        <v>139</v>
      </c>
      <c r="N11">
        <v>133</v>
      </c>
      <c r="R11">
        <v>133</v>
      </c>
      <c r="V11">
        <v>117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408</v>
      </c>
      <c r="G15" s="18">
        <f t="shared" si="2"/>
        <v>405</v>
      </c>
      <c r="H15" s="18">
        <f t="shared" si="2"/>
        <v>413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403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448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406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408</v>
      </c>
      <c r="G16" s="19">
        <f t="shared" si="3"/>
        <v>813</v>
      </c>
      <c r="H16" s="19">
        <f t="shared" si="3"/>
        <v>1226</v>
      </c>
      <c r="I16" s="19">
        <f t="shared" si="3"/>
        <v>1226</v>
      </c>
      <c r="J16" s="19">
        <f t="shared" si="3"/>
        <v>1226</v>
      </c>
      <c r="K16" s="19">
        <f t="shared" si="3"/>
        <v>1226</v>
      </c>
      <c r="L16" s="19">
        <f t="shared" si="3"/>
        <v>1226</v>
      </c>
      <c r="M16" s="19">
        <f t="shared" si="3"/>
        <v>1226</v>
      </c>
      <c r="N16" s="19">
        <f t="shared" si="3"/>
        <v>1629</v>
      </c>
      <c r="O16" s="19">
        <f t="shared" si="3"/>
        <v>1629</v>
      </c>
      <c r="P16" s="19">
        <f t="shared" si="3"/>
        <v>1629</v>
      </c>
      <c r="Q16" s="19">
        <f t="shared" si="3"/>
        <v>1629</v>
      </c>
      <c r="R16" s="19">
        <f t="shared" si="3"/>
        <v>2077</v>
      </c>
      <c r="S16" s="19">
        <f t="shared" si="3"/>
        <v>2077</v>
      </c>
      <c r="T16" s="19">
        <f t="shared" si="3"/>
        <v>2077</v>
      </c>
      <c r="U16" s="19">
        <f t="shared" si="3"/>
        <v>2077</v>
      </c>
      <c r="V16" s="19">
        <f t="shared" si="3"/>
        <v>2483</v>
      </c>
      <c r="W16" s="19">
        <f t="shared" si="3"/>
        <v>2483</v>
      </c>
      <c r="X16" s="19">
        <f t="shared" si="3"/>
        <v>2483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>
        <f t="shared" si="4"/>
        <v>136</v>
      </c>
      <c r="G17" s="20">
        <f t="shared" si="4"/>
        <v>135.5</v>
      </c>
      <c r="H17" s="20">
        <f t="shared" si="4"/>
        <v>136.22222222222223</v>
      </c>
      <c r="I17" s="20">
        <f t="shared" si="4"/>
        <v>136.22222222222223</v>
      </c>
      <c r="J17" s="20">
        <f t="shared" si="4"/>
        <v>136.22222222222223</v>
      </c>
      <c r="K17" s="20">
        <f t="shared" si="4"/>
        <v>136.22222222222223</v>
      </c>
      <c r="L17" s="20">
        <f t="shared" si="4"/>
        <v>136.22222222222223</v>
      </c>
      <c r="M17" s="20">
        <f t="shared" si="4"/>
        <v>136.22222222222223</v>
      </c>
      <c r="N17" s="20">
        <f t="shared" si="4"/>
        <v>135.75</v>
      </c>
      <c r="O17" s="20">
        <f t="shared" si="4"/>
        <v>135.75</v>
      </c>
      <c r="P17" s="20">
        <f t="shared" si="4"/>
        <v>135.75</v>
      </c>
      <c r="Q17" s="20">
        <f t="shared" si="4"/>
        <v>135.75</v>
      </c>
      <c r="R17" s="20">
        <f t="shared" si="4"/>
        <v>138.46666666666667</v>
      </c>
      <c r="S17" s="20">
        <f t="shared" si="4"/>
        <v>138.46666666666667</v>
      </c>
      <c r="T17" s="20">
        <f t="shared" si="4"/>
        <v>138.46666666666667</v>
      </c>
      <c r="U17" s="20">
        <f t="shared" si="4"/>
        <v>138.46666666666667</v>
      </c>
      <c r="V17" s="20">
        <f t="shared" si="4"/>
        <v>137.94444444444446</v>
      </c>
      <c r="W17" s="20">
        <f t="shared" si="4"/>
        <v>137.94444444444446</v>
      </c>
      <c r="X17" s="20">
        <f t="shared" si="4"/>
        <v>137.94444444444446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>
        <f t="shared" si="5"/>
        <v>58</v>
      </c>
      <c r="G18" s="19">
        <f t="shared" si="5"/>
        <v>58</v>
      </c>
      <c r="H18" s="19">
        <f t="shared" si="5"/>
        <v>57</v>
      </c>
      <c r="I18" s="19">
        <f t="shared" si="5"/>
        <v>57</v>
      </c>
      <c r="J18" s="19">
        <f t="shared" si="5"/>
        <v>57</v>
      </c>
      <c r="K18" s="19">
        <f t="shared" si="5"/>
        <v>57</v>
      </c>
      <c r="L18" s="19">
        <f t="shared" si="5"/>
        <v>57</v>
      </c>
      <c r="M18" s="19">
        <f t="shared" si="5"/>
        <v>57</v>
      </c>
      <c r="N18" s="19">
        <f t="shared" si="5"/>
        <v>58</v>
      </c>
      <c r="O18" s="19">
        <f t="shared" si="5"/>
        <v>58</v>
      </c>
      <c r="P18" s="19">
        <f t="shared" si="5"/>
        <v>58</v>
      </c>
      <c r="Q18" s="19">
        <f t="shared" si="5"/>
        <v>58</v>
      </c>
      <c r="R18" s="19">
        <f t="shared" si="5"/>
        <v>55</v>
      </c>
      <c r="S18" s="19">
        <f t="shared" si="5"/>
        <v>55</v>
      </c>
      <c r="T18" s="19">
        <f t="shared" si="5"/>
        <v>55</v>
      </c>
      <c r="U18" s="19">
        <f t="shared" si="5"/>
        <v>55</v>
      </c>
      <c r="V18" s="19">
        <f t="shared" si="5"/>
        <v>56</v>
      </c>
      <c r="W18" s="19">
        <f t="shared" si="5"/>
        <v>56</v>
      </c>
      <c r="X18" s="19">
        <f t="shared" si="5"/>
        <v>56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3</v>
      </c>
      <c r="G19" s="19">
        <f t="shared" si="6"/>
        <v>6</v>
      </c>
      <c r="H19" s="19">
        <f t="shared" si="6"/>
        <v>9</v>
      </c>
      <c r="I19" s="19">
        <f t="shared" si="6"/>
        <v>9</v>
      </c>
      <c r="J19" s="19">
        <f t="shared" si="6"/>
        <v>9</v>
      </c>
      <c r="K19" s="19">
        <f t="shared" si="6"/>
        <v>9</v>
      </c>
      <c r="L19" s="19">
        <f t="shared" si="6"/>
        <v>9</v>
      </c>
      <c r="M19" s="19">
        <f t="shared" si="6"/>
        <v>9</v>
      </c>
      <c r="N19" s="19">
        <f t="shared" si="6"/>
        <v>12</v>
      </c>
      <c r="O19" s="19">
        <f t="shared" si="6"/>
        <v>12</v>
      </c>
      <c r="P19" s="19">
        <f t="shared" si="6"/>
        <v>12</v>
      </c>
      <c r="Q19" s="19">
        <f t="shared" si="6"/>
        <v>12</v>
      </c>
      <c r="R19" s="19">
        <f t="shared" si="6"/>
        <v>15</v>
      </c>
      <c r="S19" s="19">
        <f t="shared" si="6"/>
        <v>15</v>
      </c>
      <c r="T19" s="19">
        <f t="shared" si="6"/>
        <v>15</v>
      </c>
      <c r="U19" s="19">
        <f t="shared" si="6"/>
        <v>15</v>
      </c>
      <c r="V19" s="19">
        <f t="shared" si="6"/>
        <v>18</v>
      </c>
      <c r="W19" s="19">
        <f t="shared" si="6"/>
        <v>18</v>
      </c>
      <c r="X19" s="19">
        <f t="shared" si="6"/>
        <v>18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147</v>
      </c>
      <c r="G20" s="19">
        <f t="shared" si="7"/>
        <v>143</v>
      </c>
      <c r="H20" s="19">
        <f t="shared" si="7"/>
        <v>141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142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178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162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0</v>
      </c>
      <c r="D21" s="19">
        <f>MAX(D$9:D$14)+$I$5</f>
        <v>0</v>
      </c>
      <c r="E21" s="19" t="e">
        <f t="shared" ref="E21:X21" si="8">MAX(E$9:E$14)+D18</f>
        <v>#DIV/0!</v>
      </c>
      <c r="F21" s="19">
        <f>MAX(F$9:F$14)+F18</f>
        <v>205</v>
      </c>
      <c r="G21" s="19">
        <f t="shared" si="8"/>
        <v>201</v>
      </c>
      <c r="H21" s="19">
        <f t="shared" si="8"/>
        <v>199</v>
      </c>
      <c r="I21" s="19">
        <f t="shared" si="8"/>
        <v>57</v>
      </c>
      <c r="J21" s="19">
        <f t="shared" si="8"/>
        <v>57</v>
      </c>
      <c r="K21" s="19">
        <f t="shared" si="8"/>
        <v>57</v>
      </c>
      <c r="L21" s="19">
        <f t="shared" si="8"/>
        <v>57</v>
      </c>
      <c r="M21" s="19">
        <f t="shared" si="8"/>
        <v>57</v>
      </c>
      <c r="N21" s="19">
        <f t="shared" si="8"/>
        <v>199</v>
      </c>
      <c r="O21" s="19">
        <f t="shared" si="8"/>
        <v>58</v>
      </c>
      <c r="P21" s="19">
        <f t="shared" si="8"/>
        <v>58</v>
      </c>
      <c r="Q21" s="19">
        <f t="shared" si="8"/>
        <v>58</v>
      </c>
      <c r="R21" s="19">
        <f t="shared" si="8"/>
        <v>236</v>
      </c>
      <c r="S21" s="19">
        <f t="shared" si="8"/>
        <v>55</v>
      </c>
      <c r="T21" s="19">
        <f t="shared" si="8"/>
        <v>55</v>
      </c>
      <c r="U21" s="19">
        <f t="shared" si="8"/>
        <v>55</v>
      </c>
      <c r="V21" s="19">
        <f t="shared" si="8"/>
        <v>217</v>
      </c>
      <c r="W21" s="19">
        <f t="shared" si="8"/>
        <v>56</v>
      </c>
      <c r="X21" s="19">
        <f t="shared" si="8"/>
        <v>56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0</v>
      </c>
      <c r="E22" s="19">
        <f t="shared" si="9"/>
        <v>0</v>
      </c>
      <c r="F22" s="19">
        <f t="shared" si="9"/>
        <v>408</v>
      </c>
      <c r="G22" s="19">
        <f t="shared" si="9"/>
        <v>405</v>
      </c>
      <c r="H22" s="19">
        <f t="shared" si="9"/>
        <v>413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403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448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406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0</v>
      </c>
      <c r="D23" s="19">
        <f>MAX(SUM(D$9:D$11),SUM(D$12:D$14))+$I$5*3</f>
        <v>0</v>
      </c>
      <c r="E23" s="19" t="e">
        <f t="shared" ref="E23:X23" si="10">MAX(SUM(E$9:E$11),SUM(E$12:E$14))+D18*3</f>
        <v>#DIV/0!</v>
      </c>
      <c r="F23" s="19">
        <f>MAX(SUM(F$9:F$11),SUM(F$12:F$14))+F18*3</f>
        <v>582</v>
      </c>
      <c r="G23" s="19">
        <f t="shared" si="10"/>
        <v>579</v>
      </c>
      <c r="H23" s="19">
        <f t="shared" si="10"/>
        <v>587</v>
      </c>
      <c r="I23" s="19">
        <f t="shared" si="10"/>
        <v>171</v>
      </c>
      <c r="J23" s="19">
        <f t="shared" si="10"/>
        <v>171</v>
      </c>
      <c r="K23" s="19">
        <f t="shared" si="10"/>
        <v>171</v>
      </c>
      <c r="L23" s="19">
        <f t="shared" si="10"/>
        <v>171</v>
      </c>
      <c r="M23" s="19">
        <f t="shared" si="10"/>
        <v>171</v>
      </c>
      <c r="N23" s="19">
        <f t="shared" si="10"/>
        <v>574</v>
      </c>
      <c r="O23" s="19">
        <f t="shared" si="10"/>
        <v>174</v>
      </c>
      <c r="P23" s="19">
        <f t="shared" si="10"/>
        <v>174</v>
      </c>
      <c r="Q23" s="19">
        <f t="shared" si="10"/>
        <v>174</v>
      </c>
      <c r="R23" s="19">
        <f t="shared" si="10"/>
        <v>622</v>
      </c>
      <c r="S23" s="19">
        <f t="shared" si="10"/>
        <v>165</v>
      </c>
      <c r="T23" s="19">
        <f t="shared" si="10"/>
        <v>165</v>
      </c>
      <c r="U23" s="19">
        <f t="shared" si="10"/>
        <v>165</v>
      </c>
      <c r="V23" s="19">
        <f t="shared" si="10"/>
        <v>571</v>
      </c>
      <c r="W23" s="19">
        <f t="shared" si="10"/>
        <v>168</v>
      </c>
      <c r="X23" s="19">
        <f t="shared" si="10"/>
        <v>168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147</v>
      </c>
      <c r="G27" s="107">
        <f>MAX($C20:G20)</f>
        <v>147</v>
      </c>
      <c r="H27" s="107">
        <f>MAX($C20:H20)</f>
        <v>147</v>
      </c>
      <c r="I27" s="107">
        <f>MAX($C20:I20)</f>
        <v>147</v>
      </c>
      <c r="J27" s="107">
        <f>MAX($C20:J20)</f>
        <v>147</v>
      </c>
      <c r="K27" s="107">
        <f>MAX($C20:K20)</f>
        <v>147</v>
      </c>
      <c r="L27" s="107">
        <f>MAX($C20:L20)</f>
        <v>147</v>
      </c>
      <c r="M27" s="107">
        <f>MAX($C20:M20)</f>
        <v>147</v>
      </c>
      <c r="N27" s="107">
        <f>MAX($C20:N20)</f>
        <v>147</v>
      </c>
      <c r="O27" s="107">
        <f>MAX($C20:O20)</f>
        <v>147</v>
      </c>
      <c r="P27" s="107">
        <f>MAX($C20:P20)</f>
        <v>147</v>
      </c>
      <c r="Q27" s="107">
        <f>MAX($C20:Q20)</f>
        <v>147</v>
      </c>
      <c r="R27" s="107">
        <f>MAX($C20:R20)</f>
        <v>178</v>
      </c>
      <c r="S27" s="107">
        <f>MAX($C20:S20)</f>
        <v>178</v>
      </c>
      <c r="T27" s="107">
        <f>MAX($C20:T20)</f>
        <v>178</v>
      </c>
      <c r="U27" s="107">
        <f>MAX($C20:U20)</f>
        <v>178</v>
      </c>
      <c r="V27" s="107">
        <f>MAX($C20:V20)</f>
        <v>178</v>
      </c>
      <c r="W27" s="107">
        <f>MAX($C20:W20)</f>
        <v>178</v>
      </c>
      <c r="X27" s="107">
        <f>MAX($C20:X20)</f>
        <v>178</v>
      </c>
    </row>
    <row r="28" spans="1:25" ht="13.15" x14ac:dyDescent="0.4">
      <c r="A28">
        <v>22</v>
      </c>
      <c r="B28" s="151" t="s">
        <v>78</v>
      </c>
      <c r="C28" s="19">
        <f>MAX(C21)</f>
        <v>0</v>
      </c>
      <c r="D28" s="107">
        <f>MAX($C21:D21)</f>
        <v>0</v>
      </c>
      <c r="E28" s="107" t="e">
        <f>MAX($C21:E21)</f>
        <v>#DIV/0!</v>
      </c>
      <c r="F28" s="107" t="e">
        <f>MAX($C21:F21)</f>
        <v>#DIV/0!</v>
      </c>
      <c r="G28" s="107" t="e">
        <f>MAX($C21:G21)</f>
        <v>#DIV/0!</v>
      </c>
      <c r="H28" s="107" t="e">
        <f>MAX($C21:H21)</f>
        <v>#DIV/0!</v>
      </c>
      <c r="I28" s="107" t="e">
        <f>MAX($C21:I21)</f>
        <v>#DIV/0!</v>
      </c>
      <c r="J28" s="107" t="e">
        <f>MAX($C21:J21)</f>
        <v>#DIV/0!</v>
      </c>
      <c r="K28" s="107" t="e">
        <f>MAX($C21:K21)</f>
        <v>#DIV/0!</v>
      </c>
      <c r="L28" s="107" t="e">
        <f>MAX($C21:L21)</f>
        <v>#DIV/0!</v>
      </c>
      <c r="M28" s="107" t="e">
        <f>MAX($C21:M21)</f>
        <v>#DIV/0!</v>
      </c>
      <c r="N28" s="107" t="e">
        <f>MAX($C21:N21)</f>
        <v>#DIV/0!</v>
      </c>
      <c r="O28" s="107" t="e">
        <f>MAX($C21:O21)</f>
        <v>#DIV/0!</v>
      </c>
      <c r="P28" s="107" t="e">
        <f>MAX($C21:P21)</f>
        <v>#DIV/0!</v>
      </c>
      <c r="Q28" s="107" t="e">
        <f>MAX($C21:Q21)</f>
        <v>#DIV/0!</v>
      </c>
      <c r="R28" s="107" t="e">
        <f>MAX($C21:R21)</f>
        <v>#DIV/0!</v>
      </c>
      <c r="S28" s="107" t="e">
        <f>MAX($C21:S21)</f>
        <v>#DIV/0!</v>
      </c>
      <c r="T28" s="107" t="e">
        <f>MAX($C21:T21)</f>
        <v>#DIV/0!</v>
      </c>
      <c r="U28" s="107" t="e">
        <f>MAX($C21:U21)</f>
        <v>#DIV/0!</v>
      </c>
      <c r="V28" s="107" t="e">
        <f>MAX($C21:V21)</f>
        <v>#DIV/0!</v>
      </c>
      <c r="W28" s="107" t="e">
        <f>MAX($C21:W21)</f>
        <v>#DIV/0!</v>
      </c>
      <c r="X28" s="107" t="e">
        <f>MAX($C21:X21)</f>
        <v>#DIV/0!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408</v>
      </c>
      <c r="G29" s="107">
        <f>MAX($C22:G22)</f>
        <v>408</v>
      </c>
      <c r="H29" s="107">
        <f>MAX($C22:H22)</f>
        <v>413</v>
      </c>
      <c r="I29" s="107">
        <f>MAX($C22:I22)</f>
        <v>413</v>
      </c>
      <c r="J29" s="107">
        <f>MAX($C22:J22)</f>
        <v>413</v>
      </c>
      <c r="K29" s="107">
        <f>MAX($C22:K22)</f>
        <v>413</v>
      </c>
      <c r="L29" s="107">
        <f>MAX($C22:L22)</f>
        <v>413</v>
      </c>
      <c r="M29" s="107">
        <f>MAX($C22:M22)</f>
        <v>413</v>
      </c>
      <c r="N29" s="107">
        <f>MAX($C22:N22)</f>
        <v>413</v>
      </c>
      <c r="O29" s="107">
        <f>MAX($C22:O22)</f>
        <v>413</v>
      </c>
      <c r="P29" s="107">
        <f>MAX($C22:P22)</f>
        <v>413</v>
      </c>
      <c r="Q29" s="107">
        <f>MAX($C22:Q22)</f>
        <v>413</v>
      </c>
      <c r="R29" s="107">
        <f>MAX($C22:R22)</f>
        <v>448</v>
      </c>
      <c r="S29" s="107">
        <f>MAX($C22:S22)</f>
        <v>448</v>
      </c>
      <c r="T29" s="107">
        <f>MAX($C22:T22)</f>
        <v>448</v>
      </c>
      <c r="U29" s="107">
        <f>MAX($C22:U22)</f>
        <v>448</v>
      </c>
      <c r="V29" s="107">
        <f>MAX($C22:V22)</f>
        <v>448</v>
      </c>
      <c r="W29" s="107">
        <f>MAX($C22:W22)</f>
        <v>448</v>
      </c>
      <c r="X29" s="107">
        <f>MAX($C22:X22)</f>
        <v>448</v>
      </c>
    </row>
    <row r="30" spans="1:25" ht="13.15" x14ac:dyDescent="0.4">
      <c r="A30">
        <v>24</v>
      </c>
      <c r="B30" s="151" t="s">
        <v>80</v>
      </c>
      <c r="C30" s="19">
        <f>MAX(C23)</f>
        <v>0</v>
      </c>
      <c r="D30" s="107">
        <f>MAX($C23:D23)</f>
        <v>0</v>
      </c>
      <c r="E30" s="107" t="e">
        <f>MAX($C23:E23)</f>
        <v>#DIV/0!</v>
      </c>
      <c r="F30" s="107" t="e">
        <f>MAX($C23:F23)</f>
        <v>#DIV/0!</v>
      </c>
      <c r="G30" s="107" t="e">
        <f>MAX($C23:G23)</f>
        <v>#DIV/0!</v>
      </c>
      <c r="H30" s="107" t="e">
        <f>MAX($C23:H23)</f>
        <v>#DIV/0!</v>
      </c>
      <c r="I30" s="107" t="e">
        <f>MAX($C23:I23)</f>
        <v>#DIV/0!</v>
      </c>
      <c r="J30" s="107" t="e">
        <f>MAX($C23:J23)</f>
        <v>#DIV/0!</v>
      </c>
      <c r="K30" s="107" t="e">
        <f>MAX($C23:K23)</f>
        <v>#DIV/0!</v>
      </c>
      <c r="L30" s="107" t="e">
        <f>MAX($C23:L23)</f>
        <v>#DIV/0!</v>
      </c>
      <c r="M30" s="107" t="e">
        <f>MAX($C23:M23)</f>
        <v>#DIV/0!</v>
      </c>
      <c r="N30" s="107" t="e">
        <f>MAX($C23:N23)</f>
        <v>#DIV/0!</v>
      </c>
      <c r="O30" s="107" t="e">
        <f>MAX($C23:O23)</f>
        <v>#DIV/0!</v>
      </c>
      <c r="P30" s="107" t="e">
        <f>MAX($C23:P23)</f>
        <v>#DIV/0!</v>
      </c>
      <c r="Q30" s="107" t="e">
        <f>MAX($C23:Q23)</f>
        <v>#DIV/0!</v>
      </c>
      <c r="R30" s="107" t="e">
        <f>MAX($C23:R23)</f>
        <v>#DIV/0!</v>
      </c>
      <c r="S30" s="107" t="e">
        <f>MAX($C23:S23)</f>
        <v>#DIV/0!</v>
      </c>
      <c r="T30" s="107" t="e">
        <f>MAX($C23:T23)</f>
        <v>#DIV/0!</v>
      </c>
      <c r="U30" s="107" t="e">
        <f>MAX($C23:U23)</f>
        <v>#DIV/0!</v>
      </c>
      <c r="V30" s="107" t="e">
        <f>MAX($C23:V23)</f>
        <v>#DIV/0!</v>
      </c>
      <c r="W30" s="107" t="e">
        <f>MAX($C23:W23)</f>
        <v>#DIV/0!</v>
      </c>
      <c r="X30" s="107" t="e">
        <f>MAX($C23:X23)</f>
        <v>#DIV/0!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273</v>
      </c>
      <c r="G2" s="203" t="s">
        <v>274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78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84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F9">
        <v>96</v>
      </c>
      <c r="I9">
        <v>111</v>
      </c>
      <c r="K9">
        <v>102</v>
      </c>
      <c r="L9">
        <v>103</v>
      </c>
      <c r="N9">
        <v>114</v>
      </c>
      <c r="O9">
        <v>85</v>
      </c>
      <c r="P9">
        <v>156</v>
      </c>
      <c r="R9">
        <v>117</v>
      </c>
      <c r="U9">
        <v>96</v>
      </c>
      <c r="V9">
        <v>120</v>
      </c>
    </row>
    <row r="10" spans="1:24" ht="13.15" x14ac:dyDescent="0.4">
      <c r="A10">
        <v>4</v>
      </c>
      <c r="B10" s="3" t="s">
        <v>15</v>
      </c>
      <c r="F10">
        <v>101</v>
      </c>
      <c r="I10">
        <v>112</v>
      </c>
      <c r="K10">
        <v>80</v>
      </c>
      <c r="L10">
        <v>95</v>
      </c>
      <c r="N10">
        <v>126</v>
      </c>
      <c r="O10">
        <v>80</v>
      </c>
      <c r="P10">
        <v>106</v>
      </c>
      <c r="R10">
        <v>131</v>
      </c>
      <c r="U10">
        <v>109</v>
      </c>
      <c r="V10">
        <v>181</v>
      </c>
    </row>
    <row r="11" spans="1:24" ht="13.15" x14ac:dyDescent="0.4">
      <c r="A11">
        <v>5</v>
      </c>
      <c r="B11" s="3" t="s">
        <v>16</v>
      </c>
      <c r="F11">
        <v>99</v>
      </c>
      <c r="I11">
        <v>98</v>
      </c>
      <c r="K11">
        <v>97</v>
      </c>
      <c r="L11">
        <v>124</v>
      </c>
      <c r="N11">
        <v>116</v>
      </c>
      <c r="O11">
        <v>115</v>
      </c>
      <c r="P11">
        <v>136</v>
      </c>
      <c r="R11">
        <v>139</v>
      </c>
      <c r="U11">
        <v>121</v>
      </c>
      <c r="V11">
        <v>139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296</v>
      </c>
      <c r="G15" s="18">
        <f t="shared" si="2"/>
        <v>0</v>
      </c>
      <c r="H15" s="18">
        <f t="shared" si="2"/>
        <v>0</v>
      </c>
      <c r="I15" s="18">
        <f t="shared" si="2"/>
        <v>321</v>
      </c>
      <c r="J15" s="18">
        <f t="shared" si="2"/>
        <v>0</v>
      </c>
      <c r="K15" s="18">
        <f t="shared" si="2"/>
        <v>279</v>
      </c>
      <c r="L15" s="18">
        <f t="shared" si="2"/>
        <v>322</v>
      </c>
      <c r="M15" s="18">
        <f t="shared" si="2"/>
        <v>0</v>
      </c>
      <c r="N15" s="18">
        <f t="shared" si="2"/>
        <v>356</v>
      </c>
      <c r="O15" s="18">
        <f t="shared" si="2"/>
        <v>280</v>
      </c>
      <c r="P15" s="18">
        <f t="shared" si="2"/>
        <v>398</v>
      </c>
      <c r="Q15" s="18">
        <f t="shared" si="2"/>
        <v>0</v>
      </c>
      <c r="R15" s="18">
        <f t="shared" si="2"/>
        <v>387</v>
      </c>
      <c r="S15" s="18">
        <f t="shared" si="2"/>
        <v>0</v>
      </c>
      <c r="T15" s="18">
        <f t="shared" si="2"/>
        <v>0</v>
      </c>
      <c r="U15" s="18">
        <f t="shared" si="2"/>
        <v>326</v>
      </c>
      <c r="V15" s="18">
        <f t="shared" si="2"/>
        <v>440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296</v>
      </c>
      <c r="G16" s="19">
        <f t="shared" si="3"/>
        <v>296</v>
      </c>
      <c r="H16" s="19">
        <f t="shared" si="3"/>
        <v>296</v>
      </c>
      <c r="I16" s="19">
        <f t="shared" si="3"/>
        <v>617</v>
      </c>
      <c r="J16" s="19">
        <f t="shared" si="3"/>
        <v>617</v>
      </c>
      <c r="K16" s="19">
        <f t="shared" si="3"/>
        <v>896</v>
      </c>
      <c r="L16" s="19">
        <f t="shared" si="3"/>
        <v>1218</v>
      </c>
      <c r="M16" s="19">
        <f t="shared" si="3"/>
        <v>1218</v>
      </c>
      <c r="N16" s="19">
        <f t="shared" si="3"/>
        <v>1574</v>
      </c>
      <c r="O16" s="19">
        <f t="shared" si="3"/>
        <v>1854</v>
      </c>
      <c r="P16" s="19">
        <f t="shared" si="3"/>
        <v>2252</v>
      </c>
      <c r="Q16" s="19">
        <f t="shared" si="3"/>
        <v>2252</v>
      </c>
      <c r="R16" s="19">
        <f t="shared" si="3"/>
        <v>2639</v>
      </c>
      <c r="S16" s="19">
        <f t="shared" si="3"/>
        <v>2639</v>
      </c>
      <c r="T16" s="19">
        <f t="shared" si="3"/>
        <v>2639</v>
      </c>
      <c r="U16" s="19">
        <f t="shared" si="3"/>
        <v>2965</v>
      </c>
      <c r="V16" s="19">
        <f t="shared" si="3"/>
        <v>3405</v>
      </c>
      <c r="W16" s="19">
        <f t="shared" si="3"/>
        <v>3405</v>
      </c>
      <c r="X16" s="19">
        <f t="shared" si="3"/>
        <v>3405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>
        <f t="shared" si="4"/>
        <v>98.666666666666671</v>
      </c>
      <c r="G17" s="20">
        <f t="shared" si="4"/>
        <v>98.666666666666671</v>
      </c>
      <c r="H17" s="20">
        <f t="shared" si="4"/>
        <v>98.666666666666671</v>
      </c>
      <c r="I17" s="20">
        <f t="shared" si="4"/>
        <v>102.83333333333333</v>
      </c>
      <c r="J17" s="20">
        <f t="shared" si="4"/>
        <v>102.83333333333333</v>
      </c>
      <c r="K17" s="20">
        <f t="shared" si="4"/>
        <v>99.555555555555557</v>
      </c>
      <c r="L17" s="20">
        <f t="shared" si="4"/>
        <v>101.5</v>
      </c>
      <c r="M17" s="20">
        <f t="shared" si="4"/>
        <v>101.5</v>
      </c>
      <c r="N17" s="20">
        <f t="shared" si="4"/>
        <v>104.93333333333334</v>
      </c>
      <c r="O17" s="20">
        <f t="shared" si="4"/>
        <v>103</v>
      </c>
      <c r="P17" s="20">
        <f t="shared" si="4"/>
        <v>107.23809523809524</v>
      </c>
      <c r="Q17" s="20">
        <f t="shared" si="4"/>
        <v>107.23809523809524</v>
      </c>
      <c r="R17" s="20">
        <f t="shared" si="4"/>
        <v>109.95833333333333</v>
      </c>
      <c r="S17" s="20">
        <f t="shared" si="4"/>
        <v>109.95833333333333</v>
      </c>
      <c r="T17" s="20">
        <f t="shared" si="4"/>
        <v>109.95833333333333</v>
      </c>
      <c r="U17" s="20">
        <f t="shared" si="4"/>
        <v>109.81481481481481</v>
      </c>
      <c r="V17" s="20">
        <f t="shared" si="4"/>
        <v>113.5</v>
      </c>
      <c r="W17" s="20">
        <f t="shared" si="4"/>
        <v>113.5</v>
      </c>
      <c r="X17" s="20">
        <f t="shared" si="4"/>
        <v>113.5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>
        <f t="shared" si="5"/>
        <v>91</v>
      </c>
      <c r="G18" s="19">
        <f t="shared" si="5"/>
        <v>91</v>
      </c>
      <c r="H18" s="19">
        <f t="shared" si="5"/>
        <v>91</v>
      </c>
      <c r="I18" s="19">
        <f t="shared" si="5"/>
        <v>87</v>
      </c>
      <c r="J18" s="19">
        <f t="shared" si="5"/>
        <v>87</v>
      </c>
      <c r="K18" s="19">
        <f t="shared" si="5"/>
        <v>90</v>
      </c>
      <c r="L18" s="19">
        <f t="shared" si="5"/>
        <v>89</v>
      </c>
      <c r="M18" s="19">
        <f t="shared" si="5"/>
        <v>89</v>
      </c>
      <c r="N18" s="19">
        <f t="shared" si="5"/>
        <v>86</v>
      </c>
      <c r="O18" s="19">
        <f t="shared" si="5"/>
        <v>87</v>
      </c>
      <c r="P18" s="19">
        <f t="shared" si="5"/>
        <v>83</v>
      </c>
      <c r="Q18" s="19">
        <f t="shared" si="5"/>
        <v>83</v>
      </c>
      <c r="R18" s="19">
        <f t="shared" si="5"/>
        <v>81</v>
      </c>
      <c r="S18" s="19">
        <f t="shared" si="5"/>
        <v>81</v>
      </c>
      <c r="T18" s="19">
        <f t="shared" si="5"/>
        <v>81</v>
      </c>
      <c r="U18" s="19">
        <f t="shared" si="5"/>
        <v>81</v>
      </c>
      <c r="V18" s="19">
        <f t="shared" si="5"/>
        <v>78</v>
      </c>
      <c r="W18" s="19">
        <f t="shared" si="5"/>
        <v>78</v>
      </c>
      <c r="X18" s="19">
        <f t="shared" si="5"/>
        <v>78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3</v>
      </c>
      <c r="G19" s="19">
        <f t="shared" si="6"/>
        <v>3</v>
      </c>
      <c r="H19" s="19">
        <f t="shared" si="6"/>
        <v>3</v>
      </c>
      <c r="I19" s="19">
        <f t="shared" si="6"/>
        <v>6</v>
      </c>
      <c r="J19" s="19">
        <f t="shared" si="6"/>
        <v>6</v>
      </c>
      <c r="K19" s="19">
        <f t="shared" si="6"/>
        <v>9</v>
      </c>
      <c r="L19" s="19">
        <f t="shared" si="6"/>
        <v>12</v>
      </c>
      <c r="M19" s="19">
        <f t="shared" si="6"/>
        <v>12</v>
      </c>
      <c r="N19" s="19">
        <f t="shared" si="6"/>
        <v>15</v>
      </c>
      <c r="O19" s="19">
        <f t="shared" si="6"/>
        <v>18</v>
      </c>
      <c r="P19" s="19">
        <f t="shared" si="6"/>
        <v>21</v>
      </c>
      <c r="Q19" s="19">
        <f t="shared" si="6"/>
        <v>21</v>
      </c>
      <c r="R19" s="19">
        <f t="shared" si="6"/>
        <v>24</v>
      </c>
      <c r="S19" s="19">
        <f t="shared" si="6"/>
        <v>24</v>
      </c>
      <c r="T19" s="19">
        <f t="shared" si="6"/>
        <v>24</v>
      </c>
      <c r="U19" s="19">
        <f t="shared" si="6"/>
        <v>27</v>
      </c>
      <c r="V19" s="19">
        <f t="shared" si="6"/>
        <v>30</v>
      </c>
      <c r="W19" s="19">
        <f t="shared" si="6"/>
        <v>30</v>
      </c>
      <c r="X19" s="19">
        <f t="shared" si="6"/>
        <v>30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101</v>
      </c>
      <c r="G20" s="19">
        <f t="shared" si="7"/>
        <v>0</v>
      </c>
      <c r="H20" s="19">
        <f t="shared" si="7"/>
        <v>0</v>
      </c>
      <c r="I20" s="19">
        <f t="shared" si="7"/>
        <v>112</v>
      </c>
      <c r="J20" s="19">
        <f t="shared" si="7"/>
        <v>0</v>
      </c>
      <c r="K20" s="19">
        <f t="shared" si="7"/>
        <v>102</v>
      </c>
      <c r="L20" s="19">
        <f t="shared" si="7"/>
        <v>124</v>
      </c>
      <c r="M20" s="19">
        <f t="shared" si="7"/>
        <v>0</v>
      </c>
      <c r="N20" s="19">
        <f t="shared" si="7"/>
        <v>126</v>
      </c>
      <c r="O20" s="19">
        <f t="shared" si="7"/>
        <v>115</v>
      </c>
      <c r="P20" s="19">
        <f t="shared" si="7"/>
        <v>156</v>
      </c>
      <c r="Q20" s="19">
        <f t="shared" si="7"/>
        <v>0</v>
      </c>
      <c r="R20" s="19">
        <f t="shared" si="7"/>
        <v>139</v>
      </c>
      <c r="S20" s="19">
        <f t="shared" si="7"/>
        <v>0</v>
      </c>
      <c r="T20" s="19">
        <f t="shared" si="7"/>
        <v>0</v>
      </c>
      <c r="U20" s="19">
        <f t="shared" si="7"/>
        <v>121</v>
      </c>
      <c r="V20" s="19">
        <f t="shared" si="7"/>
        <v>181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I21" si="8">MAX(C$9:C$14)+$I$5</f>
        <v>84</v>
      </c>
      <c r="D21" s="19">
        <f t="shared" si="8"/>
        <v>84</v>
      </c>
      <c r="E21" s="19">
        <f t="shared" si="8"/>
        <v>84</v>
      </c>
      <c r="F21" s="19">
        <f t="shared" si="8"/>
        <v>185</v>
      </c>
      <c r="G21" s="19">
        <f t="shared" si="8"/>
        <v>84</v>
      </c>
      <c r="H21" s="19">
        <f t="shared" si="8"/>
        <v>84</v>
      </c>
      <c r="I21" s="19">
        <f t="shared" si="8"/>
        <v>196</v>
      </c>
      <c r="J21" s="19">
        <f t="shared" ref="J21:X21" si="9">MAX(J$9:J$14)+I18</f>
        <v>87</v>
      </c>
      <c r="K21" s="19">
        <f t="shared" si="9"/>
        <v>189</v>
      </c>
      <c r="L21" s="19">
        <f t="shared" si="9"/>
        <v>214</v>
      </c>
      <c r="M21" s="19">
        <f t="shared" si="9"/>
        <v>89</v>
      </c>
      <c r="N21" s="19">
        <f t="shared" si="9"/>
        <v>215</v>
      </c>
      <c r="O21" s="19">
        <f t="shared" si="9"/>
        <v>201</v>
      </c>
      <c r="P21" s="19">
        <f t="shared" si="9"/>
        <v>243</v>
      </c>
      <c r="Q21" s="19">
        <f t="shared" si="9"/>
        <v>83</v>
      </c>
      <c r="R21" s="19">
        <f t="shared" si="9"/>
        <v>222</v>
      </c>
      <c r="S21" s="19">
        <f t="shared" si="9"/>
        <v>81</v>
      </c>
      <c r="T21" s="19">
        <f t="shared" si="9"/>
        <v>81</v>
      </c>
      <c r="U21" s="19">
        <f t="shared" si="9"/>
        <v>202</v>
      </c>
      <c r="V21" s="19">
        <f t="shared" si="9"/>
        <v>262</v>
      </c>
      <c r="W21" s="19">
        <f t="shared" si="9"/>
        <v>78</v>
      </c>
      <c r="X21" s="19">
        <f t="shared" si="9"/>
        <v>78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0</v>
      </c>
      <c r="F22" s="19">
        <f t="shared" si="10"/>
        <v>296</v>
      </c>
      <c r="G22" s="19">
        <f t="shared" si="10"/>
        <v>0</v>
      </c>
      <c r="H22" s="19">
        <f t="shared" si="10"/>
        <v>0</v>
      </c>
      <c r="I22" s="19">
        <f t="shared" si="10"/>
        <v>321</v>
      </c>
      <c r="J22" s="19">
        <f t="shared" si="10"/>
        <v>0</v>
      </c>
      <c r="K22" s="19">
        <f t="shared" si="10"/>
        <v>279</v>
      </c>
      <c r="L22" s="19">
        <f t="shared" si="10"/>
        <v>322</v>
      </c>
      <c r="M22" s="19">
        <f t="shared" si="10"/>
        <v>0</v>
      </c>
      <c r="N22" s="19">
        <f t="shared" si="10"/>
        <v>356</v>
      </c>
      <c r="O22" s="19">
        <f t="shared" si="10"/>
        <v>280</v>
      </c>
      <c r="P22" s="19">
        <f t="shared" si="10"/>
        <v>398</v>
      </c>
      <c r="Q22" s="19">
        <f t="shared" si="10"/>
        <v>0</v>
      </c>
      <c r="R22" s="19">
        <f t="shared" si="10"/>
        <v>387</v>
      </c>
      <c r="S22" s="19">
        <f t="shared" si="10"/>
        <v>0</v>
      </c>
      <c r="T22" s="19">
        <f t="shared" si="10"/>
        <v>0</v>
      </c>
      <c r="U22" s="19">
        <f t="shared" si="10"/>
        <v>326</v>
      </c>
      <c r="V22" s="19">
        <f t="shared" si="10"/>
        <v>440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252</v>
      </c>
      <c r="D23" s="19">
        <f t="shared" ref="D23:I23" si="11">MAX(SUM(D$9:D$11),SUM(D$12:D$14))+$I$5*3</f>
        <v>252</v>
      </c>
      <c r="E23" s="19">
        <f t="shared" si="11"/>
        <v>252</v>
      </c>
      <c r="F23" s="19">
        <f t="shared" si="11"/>
        <v>548</v>
      </c>
      <c r="G23" s="19">
        <f t="shared" si="11"/>
        <v>252</v>
      </c>
      <c r="H23" s="19">
        <f t="shared" si="11"/>
        <v>252</v>
      </c>
      <c r="I23" s="19">
        <f t="shared" si="11"/>
        <v>573</v>
      </c>
      <c r="J23" s="19">
        <f t="shared" ref="J23:X23" si="12">MAX(SUM(J$9:J$11),SUM(J$12:J$14))+I18*3</f>
        <v>261</v>
      </c>
      <c r="K23" s="19">
        <f t="shared" si="12"/>
        <v>540</v>
      </c>
      <c r="L23" s="19">
        <f t="shared" si="12"/>
        <v>592</v>
      </c>
      <c r="M23" s="19">
        <f t="shared" si="12"/>
        <v>267</v>
      </c>
      <c r="N23" s="19">
        <f t="shared" si="12"/>
        <v>623</v>
      </c>
      <c r="O23" s="19">
        <f t="shared" si="12"/>
        <v>538</v>
      </c>
      <c r="P23" s="19">
        <f t="shared" si="12"/>
        <v>659</v>
      </c>
      <c r="Q23" s="19">
        <f t="shared" si="12"/>
        <v>249</v>
      </c>
      <c r="R23" s="19">
        <f t="shared" si="12"/>
        <v>636</v>
      </c>
      <c r="S23" s="19">
        <f t="shared" si="12"/>
        <v>243</v>
      </c>
      <c r="T23" s="19">
        <f t="shared" si="12"/>
        <v>243</v>
      </c>
      <c r="U23" s="19">
        <f t="shared" si="12"/>
        <v>569</v>
      </c>
      <c r="V23" s="19">
        <f t="shared" si="12"/>
        <v>683</v>
      </c>
      <c r="W23" s="19">
        <f t="shared" si="12"/>
        <v>234</v>
      </c>
      <c r="X23" s="19">
        <f t="shared" si="12"/>
        <v>234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101</v>
      </c>
      <c r="G27" s="107">
        <f>MAX($C20:G20)</f>
        <v>101</v>
      </c>
      <c r="H27" s="107">
        <f>MAX($C20:H20)</f>
        <v>101</v>
      </c>
      <c r="I27" s="107">
        <f>MAX($C20:I20)</f>
        <v>112</v>
      </c>
      <c r="J27" s="107">
        <f>MAX($C20:J20)</f>
        <v>112</v>
      </c>
      <c r="K27" s="107">
        <f>MAX($C20:K20)</f>
        <v>112</v>
      </c>
      <c r="L27" s="107">
        <f>MAX($C20:L20)</f>
        <v>124</v>
      </c>
      <c r="M27" s="107">
        <f>MAX($C20:M20)</f>
        <v>124</v>
      </c>
      <c r="N27" s="107">
        <f>MAX($C20:N20)</f>
        <v>126</v>
      </c>
      <c r="O27" s="107">
        <f>MAX($C20:O20)</f>
        <v>126</v>
      </c>
      <c r="P27" s="107">
        <f>MAX($C20:P20)</f>
        <v>156</v>
      </c>
      <c r="Q27" s="107">
        <f>MAX($C20:Q20)</f>
        <v>156</v>
      </c>
      <c r="R27" s="107">
        <f>MAX($C20:R20)</f>
        <v>156</v>
      </c>
      <c r="S27" s="107">
        <f>MAX($C20:S20)</f>
        <v>156</v>
      </c>
      <c r="T27" s="107">
        <f>MAX($C20:T20)</f>
        <v>156</v>
      </c>
      <c r="U27" s="107">
        <f>MAX($C20:U20)</f>
        <v>156</v>
      </c>
      <c r="V27" s="107">
        <f>MAX($C20:V20)</f>
        <v>181</v>
      </c>
      <c r="W27" s="107">
        <f>MAX($C20:W20)</f>
        <v>181</v>
      </c>
      <c r="X27" s="107">
        <f>MAX($C20:X20)</f>
        <v>181</v>
      </c>
    </row>
    <row r="28" spans="1:25" ht="13.15" x14ac:dyDescent="0.4">
      <c r="A28">
        <v>22</v>
      </c>
      <c r="B28" s="151" t="s">
        <v>78</v>
      </c>
      <c r="C28" s="19">
        <f>MAX(C21)</f>
        <v>84</v>
      </c>
      <c r="D28" s="107">
        <f>MAX($C21:D21)</f>
        <v>84</v>
      </c>
      <c r="E28" s="107">
        <f>MAX($C21:E21)</f>
        <v>84</v>
      </c>
      <c r="F28" s="107">
        <f>MAX($C21:F21)</f>
        <v>185</v>
      </c>
      <c r="G28" s="107">
        <f>MAX($C21:G21)</f>
        <v>185</v>
      </c>
      <c r="H28" s="107">
        <f>MAX($C21:H21)</f>
        <v>185</v>
      </c>
      <c r="I28" s="107">
        <f>MAX($C21:I21)</f>
        <v>196</v>
      </c>
      <c r="J28" s="107">
        <f>MAX($C21:J21)</f>
        <v>196</v>
      </c>
      <c r="K28" s="107">
        <f>MAX($C21:K21)</f>
        <v>196</v>
      </c>
      <c r="L28" s="107">
        <f>MAX($C21:L21)</f>
        <v>214</v>
      </c>
      <c r="M28" s="107">
        <f>MAX($C21:M21)</f>
        <v>214</v>
      </c>
      <c r="N28" s="107">
        <f>MAX($C21:N21)</f>
        <v>215</v>
      </c>
      <c r="O28" s="107">
        <f>MAX($C21:O21)</f>
        <v>215</v>
      </c>
      <c r="P28" s="107">
        <f>MAX($C21:P21)</f>
        <v>243</v>
      </c>
      <c r="Q28" s="107">
        <f>MAX($C21:Q21)</f>
        <v>243</v>
      </c>
      <c r="R28" s="107">
        <f>MAX($C21:R21)</f>
        <v>243</v>
      </c>
      <c r="S28" s="107">
        <f>MAX($C21:S21)</f>
        <v>243</v>
      </c>
      <c r="T28" s="107">
        <f>MAX($C21:T21)</f>
        <v>243</v>
      </c>
      <c r="U28" s="107">
        <f>MAX($C21:U21)</f>
        <v>243</v>
      </c>
      <c r="V28" s="107">
        <f>MAX($C21:V21)</f>
        <v>262</v>
      </c>
      <c r="W28" s="107">
        <f>MAX($C21:W21)</f>
        <v>262</v>
      </c>
      <c r="X28" s="107">
        <f>MAX($C21:X21)</f>
        <v>262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296</v>
      </c>
      <c r="G29" s="107">
        <f>MAX($C22:G22)</f>
        <v>296</v>
      </c>
      <c r="H29" s="107">
        <f>MAX($C22:H22)</f>
        <v>296</v>
      </c>
      <c r="I29" s="107">
        <f>MAX($C22:I22)</f>
        <v>321</v>
      </c>
      <c r="J29" s="107">
        <f>MAX($C22:J22)</f>
        <v>321</v>
      </c>
      <c r="K29" s="107">
        <f>MAX($C22:K22)</f>
        <v>321</v>
      </c>
      <c r="L29" s="107">
        <f>MAX($C22:L22)</f>
        <v>322</v>
      </c>
      <c r="M29" s="107">
        <f>MAX($C22:M22)</f>
        <v>322</v>
      </c>
      <c r="N29" s="107">
        <f>MAX($C22:N22)</f>
        <v>356</v>
      </c>
      <c r="O29" s="107">
        <f>MAX($C22:O22)</f>
        <v>356</v>
      </c>
      <c r="P29" s="107">
        <f>MAX($C22:P22)</f>
        <v>398</v>
      </c>
      <c r="Q29" s="107">
        <f>MAX($C22:Q22)</f>
        <v>398</v>
      </c>
      <c r="R29" s="107">
        <f>MAX($C22:R22)</f>
        <v>398</v>
      </c>
      <c r="S29" s="107">
        <f>MAX($C22:S22)</f>
        <v>398</v>
      </c>
      <c r="T29" s="107">
        <f>MAX($C22:T22)</f>
        <v>398</v>
      </c>
      <c r="U29" s="107">
        <f>MAX($C22:U22)</f>
        <v>398</v>
      </c>
      <c r="V29" s="107">
        <f>MAX($C22:V22)</f>
        <v>440</v>
      </c>
      <c r="W29" s="107">
        <f>MAX($C22:W22)</f>
        <v>440</v>
      </c>
      <c r="X29" s="107">
        <f>MAX($C22:X22)</f>
        <v>440</v>
      </c>
    </row>
    <row r="30" spans="1:25" ht="13.15" x14ac:dyDescent="0.4">
      <c r="A30">
        <v>24</v>
      </c>
      <c r="B30" s="151" t="s">
        <v>80</v>
      </c>
      <c r="C30" s="19">
        <f>MAX(C23)</f>
        <v>252</v>
      </c>
      <c r="D30" s="107">
        <f>MAX($C23:D23)</f>
        <v>252</v>
      </c>
      <c r="E30" s="107">
        <f>MAX($C23:E23)</f>
        <v>252</v>
      </c>
      <c r="F30" s="107">
        <f>MAX($C23:F23)</f>
        <v>548</v>
      </c>
      <c r="G30" s="107">
        <f>MAX($C23:G23)</f>
        <v>548</v>
      </c>
      <c r="H30" s="107">
        <f>MAX($C23:H23)</f>
        <v>548</v>
      </c>
      <c r="I30" s="107">
        <f>MAX($C23:I23)</f>
        <v>573</v>
      </c>
      <c r="J30" s="107">
        <f>MAX($C23:J23)</f>
        <v>573</v>
      </c>
      <c r="K30" s="107">
        <f>MAX($C23:K23)</f>
        <v>573</v>
      </c>
      <c r="L30" s="107">
        <f>MAX($C23:L23)</f>
        <v>592</v>
      </c>
      <c r="M30" s="107">
        <f>MAX($C23:M23)</f>
        <v>592</v>
      </c>
      <c r="N30" s="107">
        <f>MAX($C23:N23)</f>
        <v>623</v>
      </c>
      <c r="O30" s="107">
        <f>MAX($C23:O23)</f>
        <v>623</v>
      </c>
      <c r="P30" s="107">
        <f>MAX($C23:P23)</f>
        <v>659</v>
      </c>
      <c r="Q30" s="107">
        <f>MAX($C23:Q23)</f>
        <v>659</v>
      </c>
      <c r="R30" s="107">
        <f>MAX($C23:R23)</f>
        <v>659</v>
      </c>
      <c r="S30" s="107">
        <f>MAX($C23:S23)</f>
        <v>659</v>
      </c>
      <c r="T30" s="107">
        <f>MAX($C23:T23)</f>
        <v>659</v>
      </c>
      <c r="U30" s="107">
        <f>MAX($C23:U23)</f>
        <v>659</v>
      </c>
      <c r="V30" s="107">
        <f>MAX($C23:V23)</f>
        <v>683</v>
      </c>
      <c r="W30" s="107">
        <f>MAX($C23:W23)</f>
        <v>683</v>
      </c>
      <c r="X30" s="107">
        <f>MAX($C23:X23)</f>
        <v>683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55</v>
      </c>
      <c r="G2" s="203" t="s">
        <v>123</v>
      </c>
      <c r="H2" s="224">
        <v>3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56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54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145</v>
      </c>
      <c r="F9">
        <v>162</v>
      </c>
      <c r="G9">
        <v>162</v>
      </c>
      <c r="I9">
        <v>173</v>
      </c>
      <c r="L9">
        <v>115</v>
      </c>
      <c r="M9">
        <v>144</v>
      </c>
      <c r="O9">
        <v>170</v>
      </c>
      <c r="P9">
        <v>129</v>
      </c>
    </row>
    <row r="10" spans="1:24" ht="13.15" x14ac:dyDescent="0.4">
      <c r="A10">
        <v>4</v>
      </c>
      <c r="B10" s="3" t="s">
        <v>15</v>
      </c>
      <c r="F10">
        <v>143</v>
      </c>
      <c r="I10">
        <v>103</v>
      </c>
      <c r="L10">
        <v>157</v>
      </c>
      <c r="M10">
        <v>157</v>
      </c>
      <c r="O10">
        <v>108</v>
      </c>
      <c r="P10">
        <v>140</v>
      </c>
    </row>
    <row r="11" spans="1:24" ht="13.15" x14ac:dyDescent="0.4">
      <c r="A11">
        <v>5</v>
      </c>
      <c r="B11" s="3" t="s">
        <v>16</v>
      </c>
      <c r="F11">
        <v>112</v>
      </c>
      <c r="L11">
        <v>119</v>
      </c>
      <c r="M11">
        <v>132</v>
      </c>
      <c r="O11">
        <v>118</v>
      </c>
      <c r="P11">
        <v>124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145</v>
      </c>
      <c r="E15" s="18">
        <f t="shared" si="2"/>
        <v>0</v>
      </c>
      <c r="F15" s="18">
        <f t="shared" si="2"/>
        <v>417</v>
      </c>
      <c r="G15" s="18">
        <f t="shared" si="2"/>
        <v>162</v>
      </c>
      <c r="H15" s="18">
        <f t="shared" si="2"/>
        <v>0</v>
      </c>
      <c r="I15" s="18">
        <f t="shared" si="2"/>
        <v>276</v>
      </c>
      <c r="J15" s="18">
        <f t="shared" si="2"/>
        <v>0</v>
      </c>
      <c r="K15" s="18">
        <f t="shared" si="2"/>
        <v>0</v>
      </c>
      <c r="L15" s="18">
        <f t="shared" si="2"/>
        <v>391</v>
      </c>
      <c r="M15" s="18">
        <f t="shared" si="2"/>
        <v>433</v>
      </c>
      <c r="N15" s="18">
        <f t="shared" si="2"/>
        <v>0</v>
      </c>
      <c r="O15" s="18">
        <f t="shared" si="2"/>
        <v>396</v>
      </c>
      <c r="P15" s="18">
        <f t="shared" si="2"/>
        <v>393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145</v>
      </c>
      <c r="E16" s="19">
        <f t="shared" si="3"/>
        <v>145</v>
      </c>
      <c r="F16" s="19">
        <f t="shared" si="3"/>
        <v>562</v>
      </c>
      <c r="G16" s="19">
        <f t="shared" si="3"/>
        <v>724</v>
      </c>
      <c r="H16" s="19">
        <f t="shared" si="3"/>
        <v>724</v>
      </c>
      <c r="I16" s="19">
        <f t="shared" si="3"/>
        <v>1000</v>
      </c>
      <c r="J16" s="19">
        <f t="shared" si="3"/>
        <v>1000</v>
      </c>
      <c r="K16" s="19">
        <f t="shared" si="3"/>
        <v>1000</v>
      </c>
      <c r="L16" s="19">
        <f t="shared" si="3"/>
        <v>1391</v>
      </c>
      <c r="M16" s="19">
        <f t="shared" si="3"/>
        <v>1824</v>
      </c>
      <c r="N16" s="19">
        <f t="shared" si="3"/>
        <v>1824</v>
      </c>
      <c r="O16" s="19">
        <f t="shared" si="3"/>
        <v>2220</v>
      </c>
      <c r="P16" s="19">
        <f t="shared" si="3"/>
        <v>2613</v>
      </c>
      <c r="Q16" s="19">
        <f t="shared" si="3"/>
        <v>2613</v>
      </c>
      <c r="R16" s="19">
        <f t="shared" si="3"/>
        <v>2613</v>
      </c>
      <c r="S16" s="19">
        <f t="shared" si="3"/>
        <v>2613</v>
      </c>
      <c r="T16" s="19">
        <f t="shared" si="3"/>
        <v>2613</v>
      </c>
      <c r="U16" s="19">
        <f t="shared" si="3"/>
        <v>2613</v>
      </c>
      <c r="V16" s="19">
        <f t="shared" si="3"/>
        <v>2613</v>
      </c>
      <c r="W16" s="19">
        <f t="shared" si="3"/>
        <v>2613</v>
      </c>
      <c r="X16" s="19">
        <f t="shared" si="3"/>
        <v>2613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145</v>
      </c>
      <c r="E17" s="20">
        <f t="shared" si="4"/>
        <v>145</v>
      </c>
      <c r="F17" s="20">
        <f t="shared" si="4"/>
        <v>140.5</v>
      </c>
      <c r="G17" s="20">
        <f t="shared" si="4"/>
        <v>144.80000000000001</v>
      </c>
      <c r="H17" s="20">
        <f t="shared" si="4"/>
        <v>144.80000000000001</v>
      </c>
      <c r="I17" s="20">
        <f t="shared" si="4"/>
        <v>142.85714285714286</v>
      </c>
      <c r="J17" s="20">
        <f t="shared" si="4"/>
        <v>142.85714285714286</v>
      </c>
      <c r="K17" s="20">
        <f t="shared" si="4"/>
        <v>142.85714285714286</v>
      </c>
      <c r="L17" s="20">
        <f t="shared" si="4"/>
        <v>139.1</v>
      </c>
      <c r="M17" s="20">
        <f t="shared" si="4"/>
        <v>140.30769230769232</v>
      </c>
      <c r="N17" s="20">
        <f t="shared" si="4"/>
        <v>140.30769230769232</v>
      </c>
      <c r="O17" s="20">
        <f t="shared" si="4"/>
        <v>138.75</v>
      </c>
      <c r="P17" s="20">
        <f t="shared" si="4"/>
        <v>137.52631578947367</v>
      </c>
      <c r="Q17" s="20">
        <f t="shared" si="4"/>
        <v>137.52631578947367</v>
      </c>
      <c r="R17" s="20">
        <f t="shared" si="4"/>
        <v>137.52631578947367</v>
      </c>
      <c r="S17" s="20">
        <f t="shared" si="4"/>
        <v>137.52631578947367</v>
      </c>
      <c r="T17" s="20">
        <f t="shared" si="4"/>
        <v>137.52631578947367</v>
      </c>
      <c r="U17" s="20">
        <f t="shared" si="4"/>
        <v>137.52631578947367</v>
      </c>
      <c r="V17" s="20">
        <f t="shared" si="4"/>
        <v>137.52631578947367</v>
      </c>
      <c r="W17" s="20">
        <f t="shared" si="4"/>
        <v>137.52631578947367</v>
      </c>
      <c r="X17" s="20">
        <f t="shared" si="4"/>
        <v>137.52631578947367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50</v>
      </c>
      <c r="E18" s="19">
        <f t="shared" si="5"/>
        <v>50</v>
      </c>
      <c r="F18" s="19">
        <f t="shared" si="5"/>
        <v>54</v>
      </c>
      <c r="G18" s="19">
        <f t="shared" si="5"/>
        <v>50</v>
      </c>
      <c r="H18" s="19">
        <f t="shared" si="5"/>
        <v>50</v>
      </c>
      <c r="I18" s="19">
        <f t="shared" si="5"/>
        <v>51</v>
      </c>
      <c r="J18" s="19">
        <f t="shared" si="5"/>
        <v>51</v>
      </c>
      <c r="K18" s="19">
        <f t="shared" si="5"/>
        <v>51</v>
      </c>
      <c r="L18" s="19">
        <f t="shared" si="5"/>
        <v>55</v>
      </c>
      <c r="M18" s="19">
        <f t="shared" si="5"/>
        <v>54</v>
      </c>
      <c r="N18" s="19">
        <f t="shared" si="5"/>
        <v>54</v>
      </c>
      <c r="O18" s="19">
        <f t="shared" si="5"/>
        <v>55</v>
      </c>
      <c r="P18" s="19">
        <f t="shared" si="5"/>
        <v>56</v>
      </c>
      <c r="Q18" s="19">
        <f t="shared" si="5"/>
        <v>56</v>
      </c>
      <c r="R18" s="19">
        <f t="shared" si="5"/>
        <v>56</v>
      </c>
      <c r="S18" s="19">
        <f t="shared" si="5"/>
        <v>56</v>
      </c>
      <c r="T18" s="19">
        <f t="shared" si="5"/>
        <v>56</v>
      </c>
      <c r="U18" s="19">
        <f t="shared" si="5"/>
        <v>56</v>
      </c>
      <c r="V18" s="19">
        <f t="shared" si="5"/>
        <v>56</v>
      </c>
      <c r="W18" s="19">
        <f t="shared" si="5"/>
        <v>56</v>
      </c>
      <c r="X18" s="19">
        <f t="shared" si="5"/>
        <v>56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1</v>
      </c>
      <c r="E19" s="19">
        <f t="shared" si="6"/>
        <v>1</v>
      </c>
      <c r="F19" s="19">
        <f t="shared" si="6"/>
        <v>4</v>
      </c>
      <c r="G19" s="19">
        <f t="shared" si="6"/>
        <v>5</v>
      </c>
      <c r="H19" s="19">
        <f t="shared" si="6"/>
        <v>5</v>
      </c>
      <c r="I19" s="19">
        <f t="shared" si="6"/>
        <v>7</v>
      </c>
      <c r="J19" s="19">
        <f t="shared" si="6"/>
        <v>7</v>
      </c>
      <c r="K19" s="19">
        <f t="shared" si="6"/>
        <v>7</v>
      </c>
      <c r="L19" s="19">
        <f t="shared" si="6"/>
        <v>10</v>
      </c>
      <c r="M19" s="19">
        <f t="shared" si="6"/>
        <v>13</v>
      </c>
      <c r="N19" s="19">
        <f t="shared" si="6"/>
        <v>13</v>
      </c>
      <c r="O19" s="19">
        <f t="shared" si="6"/>
        <v>16</v>
      </c>
      <c r="P19" s="19">
        <f t="shared" si="6"/>
        <v>19</v>
      </c>
      <c r="Q19" s="19">
        <f t="shared" si="6"/>
        <v>19</v>
      </c>
      <c r="R19" s="19">
        <f t="shared" si="6"/>
        <v>19</v>
      </c>
      <c r="S19" s="19">
        <f t="shared" si="6"/>
        <v>19</v>
      </c>
      <c r="T19" s="19">
        <f t="shared" si="6"/>
        <v>19</v>
      </c>
      <c r="U19" s="19">
        <f t="shared" si="6"/>
        <v>19</v>
      </c>
      <c r="V19" s="19">
        <f t="shared" si="6"/>
        <v>19</v>
      </c>
      <c r="W19" s="19">
        <f t="shared" si="6"/>
        <v>19</v>
      </c>
      <c r="X19" s="19">
        <f t="shared" si="6"/>
        <v>19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145</v>
      </c>
      <c r="E20" s="19">
        <f t="shared" si="7"/>
        <v>0</v>
      </c>
      <c r="F20" s="19">
        <f t="shared" si="7"/>
        <v>162</v>
      </c>
      <c r="G20" s="19">
        <f t="shared" si="7"/>
        <v>162</v>
      </c>
      <c r="H20" s="19">
        <f t="shared" si="7"/>
        <v>0</v>
      </c>
      <c r="I20" s="19">
        <f t="shared" si="7"/>
        <v>173</v>
      </c>
      <c r="J20" s="19">
        <f t="shared" si="7"/>
        <v>0</v>
      </c>
      <c r="K20" s="19">
        <f t="shared" si="7"/>
        <v>0</v>
      </c>
      <c r="L20" s="19">
        <f t="shared" si="7"/>
        <v>157</v>
      </c>
      <c r="M20" s="19">
        <f t="shared" si="7"/>
        <v>157</v>
      </c>
      <c r="N20" s="19">
        <f t="shared" si="7"/>
        <v>0</v>
      </c>
      <c r="O20" s="19">
        <f t="shared" si="7"/>
        <v>170</v>
      </c>
      <c r="P20" s="19">
        <f t="shared" si="7"/>
        <v>140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54</v>
      </c>
      <c r="D21" s="19">
        <f>MAX(D$9:D$14)+$I$5</f>
        <v>199</v>
      </c>
      <c r="E21" s="19">
        <f>MAX(E$9:E$14)+$I$5</f>
        <v>54</v>
      </c>
      <c r="F21" s="19">
        <f>MAX(F$9:F$14)+$I$5</f>
        <v>216</v>
      </c>
      <c r="G21" s="19">
        <f t="shared" ref="G21:X21" si="8">MAX(G$9:G$14)+F18</f>
        <v>216</v>
      </c>
      <c r="H21" s="19">
        <f t="shared" si="8"/>
        <v>50</v>
      </c>
      <c r="I21" s="19">
        <f t="shared" si="8"/>
        <v>223</v>
      </c>
      <c r="J21" s="19">
        <f t="shared" si="8"/>
        <v>51</v>
      </c>
      <c r="K21" s="19">
        <f t="shared" si="8"/>
        <v>51</v>
      </c>
      <c r="L21" s="19">
        <f t="shared" si="8"/>
        <v>208</v>
      </c>
      <c r="M21" s="19">
        <f t="shared" si="8"/>
        <v>212</v>
      </c>
      <c r="N21" s="19">
        <f t="shared" si="8"/>
        <v>54</v>
      </c>
      <c r="O21" s="19">
        <f t="shared" si="8"/>
        <v>224</v>
      </c>
      <c r="P21" s="19">
        <f t="shared" si="8"/>
        <v>195</v>
      </c>
      <c r="Q21" s="19">
        <f t="shared" si="8"/>
        <v>56</v>
      </c>
      <c r="R21" s="19">
        <f t="shared" si="8"/>
        <v>56</v>
      </c>
      <c r="S21" s="19">
        <f t="shared" si="8"/>
        <v>56</v>
      </c>
      <c r="T21" s="19">
        <f t="shared" si="8"/>
        <v>56</v>
      </c>
      <c r="U21" s="19">
        <f t="shared" si="8"/>
        <v>56</v>
      </c>
      <c r="V21" s="19">
        <f t="shared" si="8"/>
        <v>56</v>
      </c>
      <c r="W21" s="19">
        <f t="shared" si="8"/>
        <v>56</v>
      </c>
      <c r="X21" s="19">
        <f t="shared" si="8"/>
        <v>56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145</v>
      </c>
      <c r="E22" s="19">
        <f t="shared" si="9"/>
        <v>0</v>
      </c>
      <c r="F22" s="19">
        <f t="shared" si="9"/>
        <v>417</v>
      </c>
      <c r="G22" s="19">
        <f t="shared" si="9"/>
        <v>162</v>
      </c>
      <c r="H22" s="19">
        <f t="shared" si="9"/>
        <v>0</v>
      </c>
      <c r="I22" s="19">
        <f t="shared" si="9"/>
        <v>276</v>
      </c>
      <c r="J22" s="19">
        <f t="shared" si="9"/>
        <v>0</v>
      </c>
      <c r="K22" s="19">
        <f t="shared" si="9"/>
        <v>0</v>
      </c>
      <c r="L22" s="19">
        <f t="shared" si="9"/>
        <v>391</v>
      </c>
      <c r="M22" s="19">
        <f t="shared" si="9"/>
        <v>433</v>
      </c>
      <c r="N22" s="19">
        <f t="shared" si="9"/>
        <v>0</v>
      </c>
      <c r="O22" s="19">
        <f t="shared" si="9"/>
        <v>396</v>
      </c>
      <c r="P22" s="19">
        <f t="shared" si="9"/>
        <v>393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162</v>
      </c>
      <c r="D23" s="19">
        <f>MAX(SUM(D$9:D$11),SUM(D$12:D$14))+$I$5*3</f>
        <v>307</v>
      </c>
      <c r="E23" s="19">
        <f>MAX(SUM(E$9:E$11),SUM(E$12:E$14))+$I$5*3</f>
        <v>162</v>
      </c>
      <c r="F23" s="19">
        <f>MAX(SUM(F$9:F$11),SUM(F$12:F$14))+$I$5*3</f>
        <v>579</v>
      </c>
      <c r="G23" s="19">
        <f t="shared" ref="G23:X23" si="10">MAX(SUM(G$9:G$11),SUM(G$12:G$14))+F18*3</f>
        <v>324</v>
      </c>
      <c r="H23" s="19">
        <f t="shared" si="10"/>
        <v>150</v>
      </c>
      <c r="I23" s="19">
        <f t="shared" si="10"/>
        <v>426</v>
      </c>
      <c r="J23" s="19">
        <f t="shared" si="10"/>
        <v>153</v>
      </c>
      <c r="K23" s="19">
        <f t="shared" si="10"/>
        <v>153</v>
      </c>
      <c r="L23" s="19">
        <f t="shared" si="10"/>
        <v>544</v>
      </c>
      <c r="M23" s="19">
        <f t="shared" si="10"/>
        <v>598</v>
      </c>
      <c r="N23" s="19">
        <f t="shared" si="10"/>
        <v>162</v>
      </c>
      <c r="O23" s="19">
        <f t="shared" si="10"/>
        <v>558</v>
      </c>
      <c r="P23" s="19">
        <f t="shared" si="10"/>
        <v>558</v>
      </c>
      <c r="Q23" s="19">
        <f t="shared" si="10"/>
        <v>168</v>
      </c>
      <c r="R23" s="19">
        <f t="shared" si="10"/>
        <v>168</v>
      </c>
      <c r="S23" s="19">
        <f t="shared" si="10"/>
        <v>168</v>
      </c>
      <c r="T23" s="19">
        <f t="shared" si="10"/>
        <v>168</v>
      </c>
      <c r="U23" s="19">
        <f t="shared" si="10"/>
        <v>168</v>
      </c>
      <c r="V23" s="19">
        <f t="shared" si="10"/>
        <v>168</v>
      </c>
      <c r="W23" s="19">
        <f t="shared" si="10"/>
        <v>168</v>
      </c>
      <c r="X23" s="19">
        <f t="shared" si="10"/>
        <v>168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145</v>
      </c>
      <c r="E27" s="107">
        <f>MAX($C20:E20)</f>
        <v>145</v>
      </c>
      <c r="F27" s="107">
        <f>MAX($C20:F20)</f>
        <v>162</v>
      </c>
      <c r="G27" s="107">
        <f>MAX($C20:G20)</f>
        <v>162</v>
      </c>
      <c r="H27" s="107">
        <f>MAX($C20:H20)</f>
        <v>162</v>
      </c>
      <c r="I27" s="107">
        <f>MAX($C20:I20)</f>
        <v>173</v>
      </c>
      <c r="J27" s="107">
        <f>MAX($C20:J20)</f>
        <v>173</v>
      </c>
      <c r="K27" s="107">
        <f>MAX($C20:K20)</f>
        <v>173</v>
      </c>
      <c r="L27" s="107">
        <f>MAX($C20:L20)</f>
        <v>173</v>
      </c>
      <c r="M27" s="107">
        <f>MAX($C20:M20)</f>
        <v>173</v>
      </c>
      <c r="N27" s="107">
        <f>MAX($C20:N20)</f>
        <v>173</v>
      </c>
      <c r="O27" s="107">
        <f>MAX($C20:O20)</f>
        <v>173</v>
      </c>
      <c r="P27" s="107">
        <f>MAX($C20:P20)</f>
        <v>173</v>
      </c>
      <c r="Q27" s="107">
        <f>MAX($C20:Q20)</f>
        <v>173</v>
      </c>
      <c r="R27" s="107">
        <f>MAX($C20:R20)</f>
        <v>173</v>
      </c>
      <c r="S27" s="107">
        <f>MAX($C20:S20)</f>
        <v>173</v>
      </c>
      <c r="T27" s="107">
        <f>MAX($C20:T20)</f>
        <v>173</v>
      </c>
      <c r="U27" s="107">
        <f>MAX($C20:U20)</f>
        <v>173</v>
      </c>
      <c r="V27" s="107">
        <f>MAX($C20:V20)</f>
        <v>173</v>
      </c>
      <c r="W27" s="107">
        <f>MAX($C20:W20)</f>
        <v>173</v>
      </c>
      <c r="X27" s="107">
        <f>MAX($C20:X20)</f>
        <v>173</v>
      </c>
    </row>
    <row r="28" spans="1:25" ht="13.15" x14ac:dyDescent="0.4">
      <c r="A28">
        <v>22</v>
      </c>
      <c r="B28" s="151" t="s">
        <v>78</v>
      </c>
      <c r="C28" s="19">
        <f>MAX(C21)</f>
        <v>54</v>
      </c>
      <c r="D28" s="107">
        <f>MAX($C21:D21)</f>
        <v>199</v>
      </c>
      <c r="E28" s="107">
        <f>MAX($C21:E21)</f>
        <v>199</v>
      </c>
      <c r="F28" s="107">
        <f>MAX($C21:F21)</f>
        <v>216</v>
      </c>
      <c r="G28" s="107">
        <f>MAX($C21:G21)</f>
        <v>216</v>
      </c>
      <c r="H28" s="107">
        <f>MAX($C21:H21)</f>
        <v>216</v>
      </c>
      <c r="I28" s="107">
        <f>MAX($C21:I21)</f>
        <v>223</v>
      </c>
      <c r="J28" s="107">
        <f>MAX($C21:J21)</f>
        <v>223</v>
      </c>
      <c r="K28" s="107">
        <f>MAX($C21:K21)</f>
        <v>223</v>
      </c>
      <c r="L28" s="107">
        <f>MAX($C21:L21)</f>
        <v>223</v>
      </c>
      <c r="M28" s="107">
        <f>MAX($C21:M21)</f>
        <v>223</v>
      </c>
      <c r="N28" s="107">
        <f>MAX($C21:N21)</f>
        <v>223</v>
      </c>
      <c r="O28" s="107">
        <f>MAX($C21:O21)</f>
        <v>224</v>
      </c>
      <c r="P28" s="107">
        <f>MAX($C21:P21)</f>
        <v>224</v>
      </c>
      <c r="Q28" s="107">
        <f>MAX($C21:Q21)</f>
        <v>224</v>
      </c>
      <c r="R28" s="107">
        <f>MAX($C21:R21)</f>
        <v>224</v>
      </c>
      <c r="S28" s="107">
        <f>MAX($C21:S21)</f>
        <v>224</v>
      </c>
      <c r="T28" s="107">
        <f>MAX($C21:T21)</f>
        <v>224</v>
      </c>
      <c r="U28" s="107">
        <f>MAX($C21:U21)</f>
        <v>224</v>
      </c>
      <c r="V28" s="107">
        <f>MAX($C21:V21)</f>
        <v>224</v>
      </c>
      <c r="W28" s="107">
        <f>MAX($C21:W21)</f>
        <v>224</v>
      </c>
      <c r="X28" s="107">
        <f>MAX($C21:X21)</f>
        <v>224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145</v>
      </c>
      <c r="E29" s="107">
        <f>MAX($C22:E22)</f>
        <v>145</v>
      </c>
      <c r="F29" s="107">
        <f>MAX($C22:F22)</f>
        <v>417</v>
      </c>
      <c r="G29" s="107">
        <f>MAX($C22:G22)</f>
        <v>417</v>
      </c>
      <c r="H29" s="107">
        <f>MAX($C22:H22)</f>
        <v>417</v>
      </c>
      <c r="I29" s="107">
        <f>MAX($C22:I22)</f>
        <v>417</v>
      </c>
      <c r="J29" s="107">
        <f>MAX($C22:J22)</f>
        <v>417</v>
      </c>
      <c r="K29" s="107">
        <f>MAX($C22:K22)</f>
        <v>417</v>
      </c>
      <c r="L29" s="107">
        <f>MAX($C22:L22)</f>
        <v>417</v>
      </c>
      <c r="M29" s="107">
        <f>MAX($C22:M22)</f>
        <v>433</v>
      </c>
      <c r="N29" s="107">
        <f>MAX($C22:N22)</f>
        <v>433</v>
      </c>
      <c r="O29" s="107">
        <f>MAX($C22:O22)</f>
        <v>433</v>
      </c>
      <c r="P29" s="107">
        <f>MAX($C22:P22)</f>
        <v>433</v>
      </c>
      <c r="Q29" s="107">
        <f>MAX($C22:Q22)</f>
        <v>433</v>
      </c>
      <c r="R29" s="107">
        <f>MAX($C22:R22)</f>
        <v>433</v>
      </c>
      <c r="S29" s="107">
        <f>MAX($C22:S22)</f>
        <v>433</v>
      </c>
      <c r="T29" s="107">
        <f>MAX($C22:T22)</f>
        <v>433</v>
      </c>
      <c r="U29" s="107">
        <f>MAX($C22:U22)</f>
        <v>433</v>
      </c>
      <c r="V29" s="107">
        <f>MAX($C22:V22)</f>
        <v>433</v>
      </c>
      <c r="W29" s="107">
        <f>MAX($C22:W22)</f>
        <v>433</v>
      </c>
      <c r="X29" s="107">
        <f>MAX($C22:X22)</f>
        <v>433</v>
      </c>
    </row>
    <row r="30" spans="1:25" ht="13.15" x14ac:dyDescent="0.4">
      <c r="A30">
        <v>24</v>
      </c>
      <c r="B30" s="151" t="s">
        <v>80</v>
      </c>
      <c r="C30" s="19">
        <f>MAX(C23)</f>
        <v>162</v>
      </c>
      <c r="D30" s="107">
        <f>MAX($C23:D23)</f>
        <v>307</v>
      </c>
      <c r="E30" s="107">
        <f>MAX($C23:E23)</f>
        <v>307</v>
      </c>
      <c r="F30" s="107">
        <f>MAX($C23:F23)</f>
        <v>579</v>
      </c>
      <c r="G30" s="107">
        <f>MAX($C23:G23)</f>
        <v>579</v>
      </c>
      <c r="H30" s="107">
        <f>MAX($C23:H23)</f>
        <v>579</v>
      </c>
      <c r="I30" s="107">
        <f>MAX($C23:I23)</f>
        <v>579</v>
      </c>
      <c r="J30" s="107">
        <f>MAX($C23:J23)</f>
        <v>579</v>
      </c>
      <c r="K30" s="107">
        <f>MAX($C23:K23)</f>
        <v>579</v>
      </c>
      <c r="L30" s="107">
        <f>MAX($C23:L23)</f>
        <v>579</v>
      </c>
      <c r="M30" s="107">
        <f>MAX($C23:M23)</f>
        <v>598</v>
      </c>
      <c r="N30" s="107">
        <f>MAX($C23:N23)</f>
        <v>598</v>
      </c>
      <c r="O30" s="107">
        <f>MAX($C23:O23)</f>
        <v>598</v>
      </c>
      <c r="P30" s="107">
        <f>MAX($C23:P23)</f>
        <v>598</v>
      </c>
      <c r="Q30" s="107">
        <f>MAX($C23:Q23)</f>
        <v>598</v>
      </c>
      <c r="R30" s="107">
        <f>MAX($C23:R23)</f>
        <v>598</v>
      </c>
      <c r="S30" s="107">
        <f>MAX($C23:S23)</f>
        <v>598</v>
      </c>
      <c r="T30" s="107">
        <f>MAX($C23:T23)</f>
        <v>598</v>
      </c>
      <c r="U30" s="107">
        <f>MAX($C23:U23)</f>
        <v>598</v>
      </c>
      <c r="V30" s="107">
        <f>MAX($C23:V23)</f>
        <v>598</v>
      </c>
      <c r="W30" s="107">
        <f>MAX($C23:W23)</f>
        <v>598</v>
      </c>
      <c r="X30" s="107">
        <f>MAX($C23:X23)</f>
        <v>598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245</v>
      </c>
      <c r="G2" s="203" t="s">
        <v>246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87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76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E9">
        <v>103</v>
      </c>
    </row>
    <row r="10" spans="1:24" ht="13.15" x14ac:dyDescent="0.4">
      <c r="A10">
        <v>4</v>
      </c>
      <c r="B10" s="3" t="s">
        <v>15</v>
      </c>
      <c r="E10">
        <v>93</v>
      </c>
    </row>
    <row r="11" spans="1:24" ht="13.15" x14ac:dyDescent="0.4">
      <c r="A11">
        <v>5</v>
      </c>
      <c r="B11" s="3" t="s">
        <v>16</v>
      </c>
      <c r="E11">
        <v>114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310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0</v>
      </c>
      <c r="K15" s="18">
        <f t="shared" si="2"/>
        <v>0</v>
      </c>
      <c r="L15" s="18">
        <f t="shared" si="2"/>
        <v>0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310</v>
      </c>
      <c r="F16" s="19">
        <f t="shared" si="3"/>
        <v>310</v>
      </c>
      <c r="G16" s="19">
        <f t="shared" si="3"/>
        <v>310</v>
      </c>
      <c r="H16" s="19">
        <f t="shared" si="3"/>
        <v>310</v>
      </c>
      <c r="I16" s="19">
        <f t="shared" si="3"/>
        <v>310</v>
      </c>
      <c r="J16" s="19">
        <f t="shared" si="3"/>
        <v>310</v>
      </c>
      <c r="K16" s="19">
        <f t="shared" si="3"/>
        <v>310</v>
      </c>
      <c r="L16" s="19">
        <f t="shared" si="3"/>
        <v>310</v>
      </c>
      <c r="M16" s="19">
        <f t="shared" si="3"/>
        <v>310</v>
      </c>
      <c r="N16" s="19">
        <f t="shared" si="3"/>
        <v>310</v>
      </c>
      <c r="O16" s="19">
        <f t="shared" si="3"/>
        <v>310</v>
      </c>
      <c r="P16" s="19">
        <f t="shared" si="3"/>
        <v>310</v>
      </c>
      <c r="Q16" s="19">
        <f t="shared" si="3"/>
        <v>310</v>
      </c>
      <c r="R16" s="19">
        <f t="shared" si="3"/>
        <v>310</v>
      </c>
      <c r="S16" s="19">
        <f t="shared" si="3"/>
        <v>310</v>
      </c>
      <c r="T16" s="19">
        <f t="shared" si="3"/>
        <v>310</v>
      </c>
      <c r="U16" s="19">
        <f t="shared" si="3"/>
        <v>310</v>
      </c>
      <c r="V16" s="19">
        <f t="shared" si="3"/>
        <v>310</v>
      </c>
      <c r="W16" s="19">
        <f t="shared" si="3"/>
        <v>310</v>
      </c>
      <c r="X16" s="19">
        <f t="shared" si="3"/>
        <v>310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>
        <f t="shared" si="4"/>
        <v>103.33333333333333</v>
      </c>
      <c r="F17" s="20">
        <f t="shared" si="4"/>
        <v>103.33333333333333</v>
      </c>
      <c r="G17" s="20">
        <f t="shared" si="4"/>
        <v>103.33333333333333</v>
      </c>
      <c r="H17" s="20">
        <f t="shared" si="4"/>
        <v>103.33333333333333</v>
      </c>
      <c r="I17" s="20">
        <f t="shared" si="4"/>
        <v>103.33333333333333</v>
      </c>
      <c r="J17" s="20">
        <f t="shared" si="4"/>
        <v>103.33333333333333</v>
      </c>
      <c r="K17" s="20">
        <f t="shared" si="4"/>
        <v>103.33333333333333</v>
      </c>
      <c r="L17" s="20">
        <f t="shared" si="4"/>
        <v>103.33333333333333</v>
      </c>
      <c r="M17" s="20">
        <f t="shared" si="4"/>
        <v>103.33333333333333</v>
      </c>
      <c r="N17" s="20">
        <f t="shared" si="4"/>
        <v>103.33333333333333</v>
      </c>
      <c r="O17" s="20">
        <f t="shared" si="4"/>
        <v>103.33333333333333</v>
      </c>
      <c r="P17" s="20">
        <f t="shared" si="4"/>
        <v>103.33333333333333</v>
      </c>
      <c r="Q17" s="20">
        <f t="shared" si="4"/>
        <v>103.33333333333333</v>
      </c>
      <c r="R17" s="20">
        <f t="shared" si="4"/>
        <v>103.33333333333333</v>
      </c>
      <c r="S17" s="20">
        <f t="shared" si="4"/>
        <v>103.33333333333333</v>
      </c>
      <c r="T17" s="20">
        <f t="shared" si="4"/>
        <v>103.33333333333333</v>
      </c>
      <c r="U17" s="20">
        <f t="shared" si="4"/>
        <v>103.33333333333333</v>
      </c>
      <c r="V17" s="20">
        <f t="shared" si="4"/>
        <v>103.33333333333333</v>
      </c>
      <c r="W17" s="20">
        <f t="shared" si="4"/>
        <v>103.33333333333333</v>
      </c>
      <c r="X17" s="20">
        <f t="shared" si="4"/>
        <v>103.33333333333333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>
        <f t="shared" si="5"/>
        <v>87</v>
      </c>
      <c r="F18" s="19">
        <f t="shared" si="5"/>
        <v>87</v>
      </c>
      <c r="G18" s="19">
        <f t="shared" si="5"/>
        <v>87</v>
      </c>
      <c r="H18" s="19">
        <f t="shared" si="5"/>
        <v>87</v>
      </c>
      <c r="I18" s="19">
        <f t="shared" si="5"/>
        <v>87</v>
      </c>
      <c r="J18" s="19">
        <f t="shared" si="5"/>
        <v>87</v>
      </c>
      <c r="K18" s="19">
        <f t="shared" si="5"/>
        <v>87</v>
      </c>
      <c r="L18" s="19">
        <f t="shared" si="5"/>
        <v>87</v>
      </c>
      <c r="M18" s="19">
        <f t="shared" si="5"/>
        <v>87</v>
      </c>
      <c r="N18" s="19">
        <f t="shared" si="5"/>
        <v>87</v>
      </c>
      <c r="O18" s="19">
        <f t="shared" si="5"/>
        <v>87</v>
      </c>
      <c r="P18" s="19">
        <f t="shared" si="5"/>
        <v>87</v>
      </c>
      <c r="Q18" s="19">
        <f t="shared" si="5"/>
        <v>87</v>
      </c>
      <c r="R18" s="19">
        <f t="shared" si="5"/>
        <v>87</v>
      </c>
      <c r="S18" s="19">
        <f t="shared" si="5"/>
        <v>87</v>
      </c>
      <c r="T18" s="19">
        <f t="shared" si="5"/>
        <v>87</v>
      </c>
      <c r="U18" s="19">
        <f t="shared" si="5"/>
        <v>87</v>
      </c>
      <c r="V18" s="19">
        <f t="shared" si="5"/>
        <v>87</v>
      </c>
      <c r="W18" s="19">
        <f t="shared" si="5"/>
        <v>87</v>
      </c>
      <c r="X18" s="19">
        <f t="shared" si="5"/>
        <v>87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3</v>
      </c>
      <c r="F19" s="19">
        <f t="shared" si="6"/>
        <v>3</v>
      </c>
      <c r="G19" s="19">
        <f t="shared" si="6"/>
        <v>3</v>
      </c>
      <c r="H19" s="19">
        <f t="shared" si="6"/>
        <v>3</v>
      </c>
      <c r="I19" s="19">
        <f t="shared" si="6"/>
        <v>3</v>
      </c>
      <c r="J19" s="19">
        <f t="shared" si="6"/>
        <v>3</v>
      </c>
      <c r="K19" s="19">
        <f t="shared" si="6"/>
        <v>3</v>
      </c>
      <c r="L19" s="19">
        <f t="shared" si="6"/>
        <v>3</v>
      </c>
      <c r="M19" s="19">
        <f t="shared" si="6"/>
        <v>3</v>
      </c>
      <c r="N19" s="19">
        <f t="shared" si="6"/>
        <v>3</v>
      </c>
      <c r="O19" s="19">
        <f t="shared" si="6"/>
        <v>3</v>
      </c>
      <c r="P19" s="19">
        <f t="shared" si="6"/>
        <v>3</v>
      </c>
      <c r="Q19" s="19">
        <f t="shared" si="6"/>
        <v>3</v>
      </c>
      <c r="R19" s="19">
        <f t="shared" si="6"/>
        <v>3</v>
      </c>
      <c r="S19" s="19">
        <f t="shared" si="6"/>
        <v>3</v>
      </c>
      <c r="T19" s="19">
        <f t="shared" si="6"/>
        <v>3</v>
      </c>
      <c r="U19" s="19">
        <f t="shared" si="6"/>
        <v>3</v>
      </c>
      <c r="V19" s="19">
        <f t="shared" si="6"/>
        <v>3</v>
      </c>
      <c r="W19" s="19">
        <f t="shared" si="6"/>
        <v>3</v>
      </c>
      <c r="X19" s="19">
        <f t="shared" si="6"/>
        <v>3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114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0</v>
      </c>
      <c r="K20" s="19">
        <f t="shared" si="7"/>
        <v>0</v>
      </c>
      <c r="L20" s="19">
        <f t="shared" si="7"/>
        <v>0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W21" si="8">MAX(C$9:C$14)+$I$5</f>
        <v>76</v>
      </c>
      <c r="D21" s="19">
        <f t="shared" si="8"/>
        <v>76</v>
      </c>
      <c r="E21" s="19">
        <f t="shared" si="8"/>
        <v>190</v>
      </c>
      <c r="F21" s="19">
        <f t="shared" si="8"/>
        <v>76</v>
      </c>
      <c r="G21" s="19">
        <f t="shared" si="8"/>
        <v>76</v>
      </c>
      <c r="H21" s="19">
        <f t="shared" si="8"/>
        <v>76</v>
      </c>
      <c r="I21" s="19">
        <f t="shared" si="8"/>
        <v>76</v>
      </c>
      <c r="J21" s="19">
        <f t="shared" si="8"/>
        <v>76</v>
      </c>
      <c r="K21" s="19">
        <f t="shared" si="8"/>
        <v>76</v>
      </c>
      <c r="L21" s="19">
        <f t="shared" si="8"/>
        <v>76</v>
      </c>
      <c r="M21" s="19">
        <f t="shared" si="8"/>
        <v>76</v>
      </c>
      <c r="N21" s="19">
        <f t="shared" si="8"/>
        <v>76</v>
      </c>
      <c r="O21" s="19">
        <f t="shared" si="8"/>
        <v>76</v>
      </c>
      <c r="P21" s="19">
        <f t="shared" si="8"/>
        <v>76</v>
      </c>
      <c r="Q21" s="19">
        <f t="shared" si="8"/>
        <v>76</v>
      </c>
      <c r="R21" s="19">
        <f t="shared" si="8"/>
        <v>76</v>
      </c>
      <c r="S21" s="19">
        <f t="shared" si="8"/>
        <v>76</v>
      </c>
      <c r="T21" s="19">
        <f t="shared" si="8"/>
        <v>76</v>
      </c>
      <c r="U21" s="19">
        <f t="shared" si="8"/>
        <v>76</v>
      </c>
      <c r="V21" s="19">
        <f t="shared" si="8"/>
        <v>76</v>
      </c>
      <c r="W21" s="19">
        <f t="shared" si="8"/>
        <v>76</v>
      </c>
      <c r="X21" s="19">
        <f t="shared" ref="W21:X21" si="9">MAX(X$9:X$14)+W18</f>
        <v>87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310</v>
      </c>
      <c r="F22" s="19">
        <f t="shared" si="10"/>
        <v>0</v>
      </c>
      <c r="G22" s="19">
        <f t="shared" si="10"/>
        <v>0</v>
      </c>
      <c r="H22" s="19">
        <f t="shared" si="10"/>
        <v>0</v>
      </c>
      <c r="I22" s="19">
        <f t="shared" si="10"/>
        <v>0</v>
      </c>
      <c r="J22" s="19">
        <f t="shared" si="10"/>
        <v>0</v>
      </c>
      <c r="K22" s="19">
        <f t="shared" si="10"/>
        <v>0</v>
      </c>
      <c r="L22" s="19">
        <f t="shared" si="10"/>
        <v>0</v>
      </c>
      <c r="M22" s="19">
        <f t="shared" si="10"/>
        <v>0</v>
      </c>
      <c r="N22" s="19">
        <f t="shared" si="10"/>
        <v>0</v>
      </c>
      <c r="O22" s="19">
        <f t="shared" si="10"/>
        <v>0</v>
      </c>
      <c r="P22" s="19">
        <f t="shared" si="10"/>
        <v>0</v>
      </c>
      <c r="Q22" s="19">
        <f t="shared" si="10"/>
        <v>0</v>
      </c>
      <c r="R22" s="19">
        <f t="shared" si="10"/>
        <v>0</v>
      </c>
      <c r="S22" s="19">
        <f t="shared" si="10"/>
        <v>0</v>
      </c>
      <c r="T22" s="19">
        <f t="shared" si="10"/>
        <v>0</v>
      </c>
      <c r="U22" s="19">
        <f t="shared" si="10"/>
        <v>0</v>
      </c>
      <c r="V22" s="19">
        <f t="shared" si="10"/>
        <v>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228</v>
      </c>
      <c r="D23" s="19">
        <f t="shared" ref="D23:W23" si="11">MAX(SUM(D$9:D$11),SUM(D$12:D$14))+$I$5*3</f>
        <v>228</v>
      </c>
      <c r="E23" s="19">
        <f t="shared" si="11"/>
        <v>538</v>
      </c>
      <c r="F23" s="19">
        <f t="shared" si="11"/>
        <v>228</v>
      </c>
      <c r="G23" s="19">
        <f t="shared" si="11"/>
        <v>228</v>
      </c>
      <c r="H23" s="19">
        <f t="shared" si="11"/>
        <v>228</v>
      </c>
      <c r="I23" s="19">
        <f t="shared" si="11"/>
        <v>228</v>
      </c>
      <c r="J23" s="19">
        <f t="shared" si="11"/>
        <v>228</v>
      </c>
      <c r="K23" s="19">
        <f t="shared" si="11"/>
        <v>228</v>
      </c>
      <c r="L23" s="19">
        <f t="shared" si="11"/>
        <v>228</v>
      </c>
      <c r="M23" s="19">
        <f t="shared" si="11"/>
        <v>228</v>
      </c>
      <c r="N23" s="19">
        <f t="shared" si="11"/>
        <v>228</v>
      </c>
      <c r="O23" s="19">
        <f t="shared" si="11"/>
        <v>228</v>
      </c>
      <c r="P23" s="19">
        <f t="shared" si="11"/>
        <v>228</v>
      </c>
      <c r="Q23" s="19">
        <f t="shared" si="11"/>
        <v>228</v>
      </c>
      <c r="R23" s="19">
        <f t="shared" si="11"/>
        <v>228</v>
      </c>
      <c r="S23" s="19">
        <f t="shared" si="11"/>
        <v>228</v>
      </c>
      <c r="T23" s="19">
        <f t="shared" si="11"/>
        <v>228</v>
      </c>
      <c r="U23" s="19">
        <f t="shared" si="11"/>
        <v>228</v>
      </c>
      <c r="V23" s="19">
        <f t="shared" si="11"/>
        <v>228</v>
      </c>
      <c r="W23" s="19">
        <f t="shared" si="11"/>
        <v>228</v>
      </c>
      <c r="X23" s="19">
        <f t="shared" ref="W23:X23" si="12">MAX(SUM(X$9:X$11),SUM(X$12:X$14))+W18*3</f>
        <v>261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114</v>
      </c>
      <c r="F27" s="107">
        <f>MAX($C20:F20)</f>
        <v>114</v>
      </c>
      <c r="G27" s="107">
        <f>MAX($C20:G20)</f>
        <v>114</v>
      </c>
      <c r="H27" s="107">
        <f>MAX($C20:H20)</f>
        <v>114</v>
      </c>
      <c r="I27" s="107">
        <f>MAX($C20:I20)</f>
        <v>114</v>
      </c>
      <c r="J27" s="107">
        <f>MAX($C20:J20)</f>
        <v>114</v>
      </c>
      <c r="K27" s="107">
        <f>MAX($C20:K20)</f>
        <v>114</v>
      </c>
      <c r="L27" s="107">
        <f>MAX($C20:L20)</f>
        <v>114</v>
      </c>
      <c r="M27" s="107">
        <f>MAX($C20:M20)</f>
        <v>114</v>
      </c>
      <c r="N27" s="107">
        <f>MAX($C20:N20)</f>
        <v>114</v>
      </c>
      <c r="O27" s="107">
        <f>MAX($C20:O20)</f>
        <v>114</v>
      </c>
      <c r="P27" s="107">
        <f>MAX($C20:P20)</f>
        <v>114</v>
      </c>
      <c r="Q27" s="107">
        <f>MAX($C20:Q20)</f>
        <v>114</v>
      </c>
      <c r="R27" s="107">
        <f>MAX($C20:R20)</f>
        <v>114</v>
      </c>
      <c r="S27" s="107">
        <f>MAX($C20:S20)</f>
        <v>114</v>
      </c>
      <c r="T27" s="107">
        <f>MAX($C20:T20)</f>
        <v>114</v>
      </c>
      <c r="U27" s="107">
        <f>MAX($C20:U20)</f>
        <v>114</v>
      </c>
      <c r="V27" s="107">
        <f>MAX($C20:V20)</f>
        <v>114</v>
      </c>
      <c r="W27" s="107">
        <f>MAX($C20:W20)</f>
        <v>114</v>
      </c>
      <c r="X27" s="107">
        <f>MAX($C20:X20)</f>
        <v>114</v>
      </c>
    </row>
    <row r="28" spans="1:25" ht="13.15" x14ac:dyDescent="0.4">
      <c r="A28">
        <v>22</v>
      </c>
      <c r="B28" s="151" t="s">
        <v>78</v>
      </c>
      <c r="C28" s="19">
        <f>MAX(C21)</f>
        <v>76</v>
      </c>
      <c r="D28" s="107">
        <f>MAX($C21:D21)</f>
        <v>76</v>
      </c>
      <c r="E28" s="107">
        <f>MAX($C21:E21)</f>
        <v>190</v>
      </c>
      <c r="F28" s="107">
        <f>MAX($C21:F21)</f>
        <v>190</v>
      </c>
      <c r="G28" s="107">
        <f>MAX($C21:G21)</f>
        <v>190</v>
      </c>
      <c r="H28" s="107">
        <f>MAX($C21:H21)</f>
        <v>190</v>
      </c>
      <c r="I28" s="107">
        <f>MAX($C21:I21)</f>
        <v>190</v>
      </c>
      <c r="J28" s="107">
        <f>MAX($C21:J21)</f>
        <v>190</v>
      </c>
      <c r="K28" s="107">
        <f>MAX($C21:K21)</f>
        <v>190</v>
      </c>
      <c r="L28" s="107">
        <f>MAX($C21:L21)</f>
        <v>190</v>
      </c>
      <c r="M28" s="107">
        <f>MAX($C21:M21)</f>
        <v>190</v>
      </c>
      <c r="N28" s="107">
        <f>MAX($C21:N21)</f>
        <v>190</v>
      </c>
      <c r="O28" s="107">
        <f>MAX($C21:O21)</f>
        <v>190</v>
      </c>
      <c r="P28" s="107">
        <f>MAX($C21:P21)</f>
        <v>190</v>
      </c>
      <c r="Q28" s="107">
        <f>MAX($C21:Q21)</f>
        <v>190</v>
      </c>
      <c r="R28" s="107">
        <f>MAX($C21:R21)</f>
        <v>190</v>
      </c>
      <c r="S28" s="107">
        <f>MAX($C21:S21)</f>
        <v>190</v>
      </c>
      <c r="T28" s="107">
        <f>MAX($C21:T21)</f>
        <v>190</v>
      </c>
      <c r="U28" s="107">
        <f>MAX($C21:U21)</f>
        <v>190</v>
      </c>
      <c r="V28" s="107">
        <f>MAX($C21:V21)</f>
        <v>190</v>
      </c>
      <c r="W28" s="107">
        <f>MAX($C21:W21)</f>
        <v>190</v>
      </c>
      <c r="X28" s="107">
        <f>MAX($C21:X21)</f>
        <v>190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310</v>
      </c>
      <c r="F29" s="107">
        <f>MAX($C22:F22)</f>
        <v>310</v>
      </c>
      <c r="G29" s="107">
        <f>MAX($C22:G22)</f>
        <v>310</v>
      </c>
      <c r="H29" s="107">
        <f>MAX($C22:H22)</f>
        <v>310</v>
      </c>
      <c r="I29" s="107">
        <f>MAX($C22:I22)</f>
        <v>310</v>
      </c>
      <c r="J29" s="107">
        <f>MAX($C22:J22)</f>
        <v>310</v>
      </c>
      <c r="K29" s="107">
        <f>MAX($C22:K22)</f>
        <v>310</v>
      </c>
      <c r="L29" s="107">
        <f>MAX($C22:L22)</f>
        <v>310</v>
      </c>
      <c r="M29" s="107">
        <f>MAX($C22:M22)</f>
        <v>310</v>
      </c>
      <c r="N29" s="107">
        <f>MAX($C22:N22)</f>
        <v>310</v>
      </c>
      <c r="O29" s="107">
        <f>MAX($C22:O22)</f>
        <v>310</v>
      </c>
      <c r="P29" s="107">
        <f>MAX($C22:P22)</f>
        <v>310</v>
      </c>
      <c r="Q29" s="107">
        <f>MAX($C22:Q22)</f>
        <v>310</v>
      </c>
      <c r="R29" s="107">
        <f>MAX($C22:R22)</f>
        <v>310</v>
      </c>
      <c r="S29" s="107">
        <f>MAX($C22:S22)</f>
        <v>310</v>
      </c>
      <c r="T29" s="107">
        <f>MAX($C22:T22)</f>
        <v>310</v>
      </c>
      <c r="U29" s="107">
        <f>MAX($C22:U22)</f>
        <v>310</v>
      </c>
      <c r="V29" s="107">
        <f>MAX($C22:V22)</f>
        <v>310</v>
      </c>
      <c r="W29" s="107">
        <f>MAX($C22:W22)</f>
        <v>310</v>
      </c>
      <c r="X29" s="107">
        <f>MAX($C22:X22)</f>
        <v>310</v>
      </c>
    </row>
    <row r="30" spans="1:25" ht="13.15" x14ac:dyDescent="0.4">
      <c r="A30">
        <v>24</v>
      </c>
      <c r="B30" s="151" t="s">
        <v>80</v>
      </c>
      <c r="C30" s="19">
        <f>MAX(C23)</f>
        <v>228</v>
      </c>
      <c r="D30" s="107">
        <f>MAX($C23:D23)</f>
        <v>228</v>
      </c>
      <c r="E30" s="107">
        <f>MAX($C23:E23)</f>
        <v>538</v>
      </c>
      <c r="F30" s="107">
        <f>MAX($C23:F23)</f>
        <v>538</v>
      </c>
      <c r="G30" s="107">
        <f>MAX($C23:G23)</f>
        <v>538</v>
      </c>
      <c r="H30" s="107">
        <f>MAX($C23:H23)</f>
        <v>538</v>
      </c>
      <c r="I30" s="107">
        <f>MAX($C23:I23)</f>
        <v>538</v>
      </c>
      <c r="J30" s="107">
        <f>MAX($C23:J23)</f>
        <v>538</v>
      </c>
      <c r="K30" s="107">
        <f>MAX($C23:K23)</f>
        <v>538</v>
      </c>
      <c r="L30" s="107">
        <f>MAX($C23:L23)</f>
        <v>538</v>
      </c>
      <c r="M30" s="107">
        <f>MAX($C23:M23)</f>
        <v>538</v>
      </c>
      <c r="N30" s="107">
        <f>MAX($C23:N23)</f>
        <v>538</v>
      </c>
      <c r="O30" s="107">
        <f>MAX($C23:O23)</f>
        <v>538</v>
      </c>
      <c r="P30" s="107">
        <f>MAX($C23:P23)</f>
        <v>538</v>
      </c>
      <c r="Q30" s="107">
        <f>MAX($C23:Q23)</f>
        <v>538</v>
      </c>
      <c r="R30" s="107">
        <f>MAX($C23:R23)</f>
        <v>538</v>
      </c>
      <c r="S30" s="107">
        <f>MAX($C23:S23)</f>
        <v>538</v>
      </c>
      <c r="T30" s="107">
        <f>MAX($C23:T23)</f>
        <v>538</v>
      </c>
      <c r="U30" s="107">
        <f>MAX($C23:U23)</f>
        <v>538</v>
      </c>
      <c r="V30" s="107">
        <f>MAX($C23:V23)</f>
        <v>538</v>
      </c>
      <c r="W30" s="107">
        <f>MAX($C23:W23)</f>
        <v>538</v>
      </c>
      <c r="X30" s="107">
        <f>MAX($C23:X23)</f>
        <v>538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202</v>
      </c>
      <c r="G2" s="203" t="s">
        <v>203</v>
      </c>
      <c r="H2" s="224">
        <v>1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45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42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113</v>
      </c>
      <c r="F9">
        <v>128</v>
      </c>
      <c r="H9">
        <v>155</v>
      </c>
      <c r="J9">
        <v>144</v>
      </c>
      <c r="L9">
        <v>200</v>
      </c>
      <c r="M9">
        <v>122</v>
      </c>
      <c r="N9">
        <v>152</v>
      </c>
      <c r="O9">
        <v>142</v>
      </c>
      <c r="P9">
        <v>195</v>
      </c>
      <c r="Q9">
        <v>122</v>
      </c>
      <c r="T9">
        <v>177</v>
      </c>
    </row>
    <row r="10" spans="1:24" ht="13.15" x14ac:dyDescent="0.4">
      <c r="A10">
        <v>4</v>
      </c>
      <c r="B10" s="3" t="s">
        <v>15</v>
      </c>
      <c r="D10">
        <v>180</v>
      </c>
      <c r="F10">
        <v>148</v>
      </c>
      <c r="H10">
        <v>169</v>
      </c>
      <c r="J10">
        <v>129</v>
      </c>
      <c r="L10">
        <v>124</v>
      </c>
      <c r="M10">
        <v>151</v>
      </c>
      <c r="N10">
        <v>130</v>
      </c>
      <c r="O10">
        <v>152</v>
      </c>
      <c r="P10">
        <v>196</v>
      </c>
      <c r="Q10">
        <v>135</v>
      </c>
      <c r="T10">
        <v>142</v>
      </c>
    </row>
    <row r="11" spans="1:24" ht="13.15" x14ac:dyDescent="0.4">
      <c r="A11">
        <v>5</v>
      </c>
      <c r="B11" s="3" t="s">
        <v>16</v>
      </c>
      <c r="D11">
        <v>144</v>
      </c>
      <c r="F11">
        <v>176</v>
      </c>
      <c r="H11">
        <v>150</v>
      </c>
      <c r="J11">
        <v>165</v>
      </c>
      <c r="L11">
        <v>154</v>
      </c>
      <c r="M11">
        <v>145</v>
      </c>
      <c r="N11">
        <v>186</v>
      </c>
      <c r="O11">
        <v>132</v>
      </c>
      <c r="P11">
        <v>140</v>
      </c>
      <c r="Q11">
        <v>134</v>
      </c>
      <c r="T11">
        <v>132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437</v>
      </c>
      <c r="E15" s="18">
        <f t="shared" si="2"/>
        <v>0</v>
      </c>
      <c r="F15" s="18">
        <f t="shared" si="2"/>
        <v>452</v>
      </c>
      <c r="G15" s="18">
        <f t="shared" si="2"/>
        <v>0</v>
      </c>
      <c r="H15" s="18">
        <f t="shared" si="2"/>
        <v>474</v>
      </c>
      <c r="I15" s="18">
        <f t="shared" si="2"/>
        <v>0</v>
      </c>
      <c r="J15" s="18">
        <f t="shared" si="2"/>
        <v>438</v>
      </c>
      <c r="K15" s="18">
        <f t="shared" si="2"/>
        <v>0</v>
      </c>
      <c r="L15" s="18">
        <f t="shared" si="2"/>
        <v>478</v>
      </c>
      <c r="M15" s="18">
        <f t="shared" si="2"/>
        <v>418</v>
      </c>
      <c r="N15" s="18">
        <f t="shared" si="2"/>
        <v>468</v>
      </c>
      <c r="O15" s="18">
        <f t="shared" si="2"/>
        <v>426</v>
      </c>
      <c r="P15" s="18">
        <f t="shared" si="2"/>
        <v>531</v>
      </c>
      <c r="Q15" s="18">
        <f t="shared" si="2"/>
        <v>391</v>
      </c>
      <c r="R15" s="18">
        <f t="shared" si="2"/>
        <v>0</v>
      </c>
      <c r="S15" s="18">
        <f t="shared" si="2"/>
        <v>0</v>
      </c>
      <c r="T15" s="18">
        <f t="shared" si="2"/>
        <v>451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437</v>
      </c>
      <c r="E16" s="19">
        <f t="shared" si="3"/>
        <v>437</v>
      </c>
      <c r="F16" s="19">
        <f t="shared" si="3"/>
        <v>889</v>
      </c>
      <c r="G16" s="19">
        <f t="shared" si="3"/>
        <v>889</v>
      </c>
      <c r="H16" s="19">
        <f t="shared" si="3"/>
        <v>1363</v>
      </c>
      <c r="I16" s="19">
        <f t="shared" si="3"/>
        <v>1363</v>
      </c>
      <c r="J16" s="19">
        <f t="shared" si="3"/>
        <v>1801</v>
      </c>
      <c r="K16" s="19">
        <f t="shared" si="3"/>
        <v>1801</v>
      </c>
      <c r="L16" s="19">
        <f t="shared" si="3"/>
        <v>2279</v>
      </c>
      <c r="M16" s="19">
        <f t="shared" si="3"/>
        <v>2697</v>
      </c>
      <c r="N16" s="19">
        <f t="shared" si="3"/>
        <v>3165</v>
      </c>
      <c r="O16" s="19">
        <f t="shared" si="3"/>
        <v>3591</v>
      </c>
      <c r="P16" s="19">
        <f t="shared" si="3"/>
        <v>4122</v>
      </c>
      <c r="Q16" s="19">
        <f t="shared" si="3"/>
        <v>4513</v>
      </c>
      <c r="R16" s="19">
        <f t="shared" si="3"/>
        <v>4513</v>
      </c>
      <c r="S16" s="19">
        <f t="shared" si="3"/>
        <v>4513</v>
      </c>
      <c r="T16" s="19">
        <f t="shared" si="3"/>
        <v>4964</v>
      </c>
      <c r="U16" s="19">
        <f t="shared" si="3"/>
        <v>4964</v>
      </c>
      <c r="V16" s="19">
        <f t="shared" si="3"/>
        <v>4964</v>
      </c>
      <c r="W16" s="19">
        <f t="shared" si="3"/>
        <v>4964</v>
      </c>
      <c r="X16" s="19">
        <f t="shared" si="3"/>
        <v>4964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145.66666666666666</v>
      </c>
      <c r="E17" s="20">
        <f t="shared" si="4"/>
        <v>145.66666666666666</v>
      </c>
      <c r="F17" s="20">
        <f t="shared" si="4"/>
        <v>148.16666666666666</v>
      </c>
      <c r="G17" s="20">
        <f t="shared" si="4"/>
        <v>148.16666666666666</v>
      </c>
      <c r="H17" s="20">
        <f t="shared" si="4"/>
        <v>151.44444444444446</v>
      </c>
      <c r="I17" s="20">
        <f t="shared" si="4"/>
        <v>151.44444444444446</v>
      </c>
      <c r="J17" s="20">
        <f t="shared" si="4"/>
        <v>150.08333333333334</v>
      </c>
      <c r="K17" s="20">
        <f t="shared" si="4"/>
        <v>150.08333333333334</v>
      </c>
      <c r="L17" s="20">
        <f t="shared" si="4"/>
        <v>151.93333333333334</v>
      </c>
      <c r="M17" s="20">
        <f t="shared" si="4"/>
        <v>149.83333333333334</v>
      </c>
      <c r="N17" s="20">
        <f t="shared" si="4"/>
        <v>150.71428571428572</v>
      </c>
      <c r="O17" s="20">
        <f t="shared" si="4"/>
        <v>149.625</v>
      </c>
      <c r="P17" s="20">
        <f t="shared" si="4"/>
        <v>152.66666666666666</v>
      </c>
      <c r="Q17" s="20">
        <f t="shared" si="4"/>
        <v>150.43333333333334</v>
      </c>
      <c r="R17" s="20">
        <f t="shared" si="4"/>
        <v>150.43333333333334</v>
      </c>
      <c r="S17" s="20">
        <f t="shared" si="4"/>
        <v>150.43333333333334</v>
      </c>
      <c r="T17" s="20">
        <f t="shared" si="4"/>
        <v>150.42424242424244</v>
      </c>
      <c r="U17" s="20">
        <f t="shared" si="4"/>
        <v>150.42424242424244</v>
      </c>
      <c r="V17" s="20">
        <f t="shared" si="4"/>
        <v>150.42424242424244</v>
      </c>
      <c r="W17" s="20">
        <f t="shared" si="4"/>
        <v>150.42424242424244</v>
      </c>
      <c r="X17" s="20">
        <f t="shared" si="4"/>
        <v>150.42424242424244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49</v>
      </c>
      <c r="E18" s="19">
        <f t="shared" si="5"/>
        <v>49</v>
      </c>
      <c r="F18" s="19">
        <f t="shared" si="5"/>
        <v>47</v>
      </c>
      <c r="G18" s="19">
        <f t="shared" si="5"/>
        <v>47</v>
      </c>
      <c r="H18" s="19">
        <f t="shared" si="5"/>
        <v>44</v>
      </c>
      <c r="I18" s="19">
        <f t="shared" si="5"/>
        <v>44</v>
      </c>
      <c r="J18" s="19">
        <f t="shared" si="5"/>
        <v>45</v>
      </c>
      <c r="K18" s="19">
        <f t="shared" si="5"/>
        <v>45</v>
      </c>
      <c r="L18" s="19">
        <f t="shared" si="5"/>
        <v>43</v>
      </c>
      <c r="M18" s="19">
        <f t="shared" si="5"/>
        <v>45</v>
      </c>
      <c r="N18" s="19">
        <f t="shared" si="5"/>
        <v>44</v>
      </c>
      <c r="O18" s="19">
        <f t="shared" si="5"/>
        <v>45</v>
      </c>
      <c r="P18" s="19">
        <f t="shared" si="5"/>
        <v>43</v>
      </c>
      <c r="Q18" s="19">
        <f t="shared" si="5"/>
        <v>45</v>
      </c>
      <c r="R18" s="19">
        <f t="shared" si="5"/>
        <v>45</v>
      </c>
      <c r="S18" s="19">
        <f t="shared" si="5"/>
        <v>45</v>
      </c>
      <c r="T18" s="19">
        <f t="shared" si="5"/>
        <v>45</v>
      </c>
      <c r="U18" s="19">
        <f t="shared" si="5"/>
        <v>45</v>
      </c>
      <c r="V18" s="19">
        <f t="shared" si="5"/>
        <v>45</v>
      </c>
      <c r="W18" s="19">
        <f t="shared" si="5"/>
        <v>45</v>
      </c>
      <c r="X18" s="19">
        <f t="shared" si="5"/>
        <v>45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3</v>
      </c>
      <c r="F19" s="19">
        <f t="shared" si="6"/>
        <v>6</v>
      </c>
      <c r="G19" s="19">
        <f t="shared" si="6"/>
        <v>6</v>
      </c>
      <c r="H19" s="19">
        <f t="shared" si="6"/>
        <v>9</v>
      </c>
      <c r="I19" s="19">
        <f t="shared" si="6"/>
        <v>9</v>
      </c>
      <c r="J19" s="19">
        <f t="shared" si="6"/>
        <v>12</v>
      </c>
      <c r="K19" s="19">
        <f t="shared" si="6"/>
        <v>12</v>
      </c>
      <c r="L19" s="19">
        <f t="shared" si="6"/>
        <v>15</v>
      </c>
      <c r="M19" s="19">
        <f t="shared" si="6"/>
        <v>18</v>
      </c>
      <c r="N19" s="19">
        <f t="shared" si="6"/>
        <v>21</v>
      </c>
      <c r="O19" s="19">
        <f t="shared" si="6"/>
        <v>24</v>
      </c>
      <c r="P19" s="19">
        <f t="shared" si="6"/>
        <v>27</v>
      </c>
      <c r="Q19" s="19">
        <f t="shared" si="6"/>
        <v>30</v>
      </c>
      <c r="R19" s="19">
        <f t="shared" si="6"/>
        <v>30</v>
      </c>
      <c r="S19" s="19">
        <f t="shared" si="6"/>
        <v>30</v>
      </c>
      <c r="T19" s="19">
        <f t="shared" si="6"/>
        <v>33</v>
      </c>
      <c r="U19" s="19">
        <f t="shared" si="6"/>
        <v>33</v>
      </c>
      <c r="V19" s="19">
        <f t="shared" si="6"/>
        <v>33</v>
      </c>
      <c r="W19" s="19">
        <f t="shared" si="6"/>
        <v>33</v>
      </c>
      <c r="X19" s="19">
        <f t="shared" si="6"/>
        <v>33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180</v>
      </c>
      <c r="E20" s="19">
        <f t="shared" si="7"/>
        <v>0</v>
      </c>
      <c r="F20" s="19">
        <f t="shared" si="7"/>
        <v>176</v>
      </c>
      <c r="G20" s="19">
        <f t="shared" si="7"/>
        <v>0</v>
      </c>
      <c r="H20" s="19">
        <f t="shared" si="7"/>
        <v>169</v>
      </c>
      <c r="I20" s="19">
        <f t="shared" si="7"/>
        <v>0</v>
      </c>
      <c r="J20" s="19">
        <f t="shared" si="7"/>
        <v>165</v>
      </c>
      <c r="K20" s="19">
        <f t="shared" si="7"/>
        <v>0</v>
      </c>
      <c r="L20" s="19">
        <f t="shared" si="7"/>
        <v>200</v>
      </c>
      <c r="M20" s="19">
        <f t="shared" si="7"/>
        <v>151</v>
      </c>
      <c r="N20" s="19">
        <f t="shared" si="7"/>
        <v>186</v>
      </c>
      <c r="O20" s="19">
        <f t="shared" si="7"/>
        <v>152</v>
      </c>
      <c r="P20" s="19">
        <f t="shared" si="7"/>
        <v>196</v>
      </c>
      <c r="Q20" s="19">
        <f t="shared" si="7"/>
        <v>135</v>
      </c>
      <c r="R20" s="19">
        <f t="shared" si="7"/>
        <v>0</v>
      </c>
      <c r="S20" s="19">
        <f t="shared" si="7"/>
        <v>0</v>
      </c>
      <c r="T20" s="19">
        <f t="shared" si="7"/>
        <v>177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42</v>
      </c>
      <c r="D21" s="19">
        <f>MAX(D$9:D$14)+$I$5</f>
        <v>222</v>
      </c>
      <c r="E21" s="19">
        <f>MAX(E$9:E$14)+$I$5</f>
        <v>42</v>
      </c>
      <c r="F21" s="19">
        <f>MAX(F$9:F$14)+$I$5</f>
        <v>218</v>
      </c>
      <c r="G21" s="19">
        <f t="shared" ref="G21:X21" si="8">MAX(G$9:G$14)+F18</f>
        <v>47</v>
      </c>
      <c r="H21" s="19">
        <f t="shared" si="8"/>
        <v>216</v>
      </c>
      <c r="I21" s="19">
        <f t="shared" si="8"/>
        <v>44</v>
      </c>
      <c r="J21" s="19">
        <f t="shared" si="8"/>
        <v>209</v>
      </c>
      <c r="K21" s="19">
        <f t="shared" si="8"/>
        <v>45</v>
      </c>
      <c r="L21" s="19">
        <f t="shared" si="8"/>
        <v>245</v>
      </c>
      <c r="M21" s="19">
        <f t="shared" si="8"/>
        <v>194</v>
      </c>
      <c r="N21" s="19">
        <f t="shared" si="8"/>
        <v>231</v>
      </c>
      <c r="O21" s="19">
        <f t="shared" si="8"/>
        <v>196</v>
      </c>
      <c r="P21" s="19">
        <f t="shared" si="8"/>
        <v>241</v>
      </c>
      <c r="Q21" s="19">
        <f t="shared" si="8"/>
        <v>178</v>
      </c>
      <c r="R21" s="19">
        <f t="shared" si="8"/>
        <v>45</v>
      </c>
      <c r="S21" s="19">
        <f t="shared" si="8"/>
        <v>45</v>
      </c>
      <c r="T21" s="19">
        <f t="shared" si="8"/>
        <v>222</v>
      </c>
      <c r="U21" s="19">
        <f t="shared" si="8"/>
        <v>45</v>
      </c>
      <c r="V21" s="19">
        <f t="shared" si="8"/>
        <v>45</v>
      </c>
      <c r="W21" s="19">
        <f t="shared" si="8"/>
        <v>45</v>
      </c>
      <c r="X21" s="19">
        <f t="shared" si="8"/>
        <v>45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437</v>
      </c>
      <c r="E22" s="19">
        <f t="shared" si="9"/>
        <v>0</v>
      </c>
      <c r="F22" s="19">
        <f t="shared" si="9"/>
        <v>452</v>
      </c>
      <c r="G22" s="19">
        <f t="shared" si="9"/>
        <v>0</v>
      </c>
      <c r="H22" s="19">
        <f t="shared" si="9"/>
        <v>474</v>
      </c>
      <c r="I22" s="19">
        <f t="shared" si="9"/>
        <v>0</v>
      </c>
      <c r="J22" s="19">
        <f t="shared" si="9"/>
        <v>438</v>
      </c>
      <c r="K22" s="19">
        <f t="shared" si="9"/>
        <v>0</v>
      </c>
      <c r="L22" s="19">
        <f t="shared" si="9"/>
        <v>478</v>
      </c>
      <c r="M22" s="19">
        <f t="shared" si="9"/>
        <v>418</v>
      </c>
      <c r="N22" s="19">
        <f t="shared" si="9"/>
        <v>468</v>
      </c>
      <c r="O22" s="19">
        <f t="shared" si="9"/>
        <v>426</v>
      </c>
      <c r="P22" s="19">
        <f t="shared" si="9"/>
        <v>531</v>
      </c>
      <c r="Q22" s="19">
        <f t="shared" si="9"/>
        <v>391</v>
      </c>
      <c r="R22" s="19">
        <f t="shared" si="9"/>
        <v>0</v>
      </c>
      <c r="S22" s="19">
        <f t="shared" si="9"/>
        <v>0</v>
      </c>
      <c r="T22" s="19">
        <f t="shared" si="9"/>
        <v>451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126</v>
      </c>
      <c r="D23" s="19">
        <f>MAX(SUM(D$9:D$11),SUM(D$12:D$14))+$I$5*3</f>
        <v>563</v>
      </c>
      <c r="E23" s="19">
        <f>MAX(SUM(E$9:E$11),SUM(E$12:E$14))+$I$5*3</f>
        <v>126</v>
      </c>
      <c r="F23" s="19">
        <f>MAX(SUM(F$9:F$11),SUM(F$12:F$14))+$I$5*3</f>
        <v>578</v>
      </c>
      <c r="G23" s="19">
        <f t="shared" ref="G23:X23" si="10">MAX(SUM(G$9:G$11),SUM(G$12:G$14))+F18*3</f>
        <v>141</v>
      </c>
      <c r="H23" s="19">
        <f t="shared" si="10"/>
        <v>615</v>
      </c>
      <c r="I23" s="19">
        <f t="shared" si="10"/>
        <v>132</v>
      </c>
      <c r="J23" s="19">
        <f t="shared" si="10"/>
        <v>570</v>
      </c>
      <c r="K23" s="19">
        <f t="shared" si="10"/>
        <v>135</v>
      </c>
      <c r="L23" s="19">
        <f t="shared" si="10"/>
        <v>613</v>
      </c>
      <c r="M23" s="19">
        <f t="shared" si="10"/>
        <v>547</v>
      </c>
      <c r="N23" s="19">
        <f t="shared" si="10"/>
        <v>603</v>
      </c>
      <c r="O23" s="19">
        <f t="shared" si="10"/>
        <v>558</v>
      </c>
      <c r="P23" s="19">
        <f t="shared" si="10"/>
        <v>666</v>
      </c>
      <c r="Q23" s="19">
        <f t="shared" si="10"/>
        <v>520</v>
      </c>
      <c r="R23" s="19">
        <f t="shared" si="10"/>
        <v>135</v>
      </c>
      <c r="S23" s="19">
        <f t="shared" si="10"/>
        <v>135</v>
      </c>
      <c r="T23" s="19">
        <f t="shared" si="10"/>
        <v>586</v>
      </c>
      <c r="U23" s="19">
        <f t="shared" si="10"/>
        <v>135</v>
      </c>
      <c r="V23" s="19">
        <f t="shared" si="10"/>
        <v>135</v>
      </c>
      <c r="W23" s="19">
        <f t="shared" si="10"/>
        <v>135</v>
      </c>
      <c r="X23" s="19">
        <f t="shared" si="10"/>
        <v>135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180</v>
      </c>
      <c r="E27" s="107">
        <f>MAX($C20:E20)</f>
        <v>180</v>
      </c>
      <c r="F27" s="107">
        <f>MAX($C20:F20)</f>
        <v>180</v>
      </c>
      <c r="G27" s="107">
        <f>MAX($C20:G20)</f>
        <v>180</v>
      </c>
      <c r="H27" s="107">
        <f>MAX($C20:H20)</f>
        <v>180</v>
      </c>
      <c r="I27" s="107">
        <f>MAX($C20:I20)</f>
        <v>180</v>
      </c>
      <c r="J27" s="107">
        <f>MAX($C20:J20)</f>
        <v>180</v>
      </c>
      <c r="K27" s="107">
        <f>MAX($C20:K20)</f>
        <v>180</v>
      </c>
      <c r="L27" s="107">
        <f>MAX($C20:L20)</f>
        <v>200</v>
      </c>
      <c r="M27" s="107">
        <f>MAX($C20:M20)</f>
        <v>200</v>
      </c>
      <c r="N27" s="107">
        <f>MAX($C20:N20)</f>
        <v>200</v>
      </c>
      <c r="O27" s="107">
        <f>MAX($C20:O20)</f>
        <v>200</v>
      </c>
      <c r="P27" s="107">
        <f>MAX($C20:P20)</f>
        <v>200</v>
      </c>
      <c r="Q27" s="107">
        <f>MAX($C20:Q20)</f>
        <v>200</v>
      </c>
      <c r="R27" s="107">
        <f>MAX($C20:R20)</f>
        <v>200</v>
      </c>
      <c r="S27" s="107">
        <f>MAX($C20:S20)</f>
        <v>200</v>
      </c>
      <c r="T27" s="107">
        <f>MAX($C20:T20)</f>
        <v>200</v>
      </c>
      <c r="U27" s="107">
        <f>MAX($C20:U20)</f>
        <v>200</v>
      </c>
      <c r="V27" s="107">
        <f>MAX($C20:V20)</f>
        <v>200</v>
      </c>
      <c r="W27" s="107">
        <f>MAX($C20:W20)</f>
        <v>200</v>
      </c>
      <c r="X27" s="107">
        <f>MAX($C20:X20)</f>
        <v>200</v>
      </c>
    </row>
    <row r="28" spans="1:25" ht="13.15" x14ac:dyDescent="0.4">
      <c r="A28">
        <v>22</v>
      </c>
      <c r="B28" s="151" t="s">
        <v>78</v>
      </c>
      <c r="C28" s="19">
        <f>MAX(C21)</f>
        <v>42</v>
      </c>
      <c r="D28" s="107">
        <f>MAX($C21:D21)</f>
        <v>222</v>
      </c>
      <c r="E28" s="107">
        <f>MAX($C21:E21)</f>
        <v>222</v>
      </c>
      <c r="F28" s="107">
        <f>MAX($C21:F21)</f>
        <v>222</v>
      </c>
      <c r="G28" s="107">
        <f>MAX($C21:G21)</f>
        <v>222</v>
      </c>
      <c r="H28" s="107">
        <f>MAX($C21:H21)</f>
        <v>222</v>
      </c>
      <c r="I28" s="107">
        <f>MAX($C21:I21)</f>
        <v>222</v>
      </c>
      <c r="J28" s="107">
        <f>MAX($C21:J21)</f>
        <v>222</v>
      </c>
      <c r="K28" s="107">
        <f>MAX($C21:K21)</f>
        <v>222</v>
      </c>
      <c r="L28" s="107">
        <f>MAX($C21:L21)</f>
        <v>245</v>
      </c>
      <c r="M28" s="107">
        <f>MAX($C21:M21)</f>
        <v>245</v>
      </c>
      <c r="N28" s="107">
        <f>MAX($C21:N21)</f>
        <v>245</v>
      </c>
      <c r="O28" s="107">
        <f>MAX($C21:O21)</f>
        <v>245</v>
      </c>
      <c r="P28" s="107">
        <f>MAX($C21:P21)</f>
        <v>245</v>
      </c>
      <c r="Q28" s="107">
        <f>MAX($C21:Q21)</f>
        <v>245</v>
      </c>
      <c r="R28" s="107">
        <f>MAX($C21:R21)</f>
        <v>245</v>
      </c>
      <c r="S28" s="107">
        <f>MAX($C21:S21)</f>
        <v>245</v>
      </c>
      <c r="T28" s="107">
        <f>MAX($C21:T21)</f>
        <v>245</v>
      </c>
      <c r="U28" s="107">
        <f>MAX($C21:U21)</f>
        <v>245</v>
      </c>
      <c r="V28" s="107">
        <f>MAX($C21:V21)</f>
        <v>245</v>
      </c>
      <c r="W28" s="107">
        <f>MAX($C21:W21)</f>
        <v>245</v>
      </c>
      <c r="X28" s="107">
        <f>MAX($C21:X21)</f>
        <v>245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437</v>
      </c>
      <c r="E29" s="107">
        <f>MAX($C22:E22)</f>
        <v>437</v>
      </c>
      <c r="F29" s="107">
        <f>MAX($C22:F22)</f>
        <v>452</v>
      </c>
      <c r="G29" s="107">
        <f>MAX($C22:G22)</f>
        <v>452</v>
      </c>
      <c r="H29" s="107">
        <f>MAX($C22:H22)</f>
        <v>474</v>
      </c>
      <c r="I29" s="107">
        <f>MAX($C22:I22)</f>
        <v>474</v>
      </c>
      <c r="J29" s="107">
        <f>MAX($C22:J22)</f>
        <v>474</v>
      </c>
      <c r="K29" s="107">
        <f>MAX($C22:K22)</f>
        <v>474</v>
      </c>
      <c r="L29" s="107">
        <f>MAX($C22:L22)</f>
        <v>478</v>
      </c>
      <c r="M29" s="107">
        <f>MAX($C22:M22)</f>
        <v>478</v>
      </c>
      <c r="N29" s="107">
        <f>MAX($C22:N22)</f>
        <v>478</v>
      </c>
      <c r="O29" s="107">
        <f>MAX($C22:O22)</f>
        <v>478</v>
      </c>
      <c r="P29" s="107">
        <f>MAX($C22:P22)</f>
        <v>531</v>
      </c>
      <c r="Q29" s="107">
        <f>MAX($C22:Q22)</f>
        <v>531</v>
      </c>
      <c r="R29" s="107">
        <f>MAX($C22:R22)</f>
        <v>531</v>
      </c>
      <c r="S29" s="107">
        <f>MAX($C22:S22)</f>
        <v>531</v>
      </c>
      <c r="T29" s="107">
        <f>MAX($C22:T22)</f>
        <v>531</v>
      </c>
      <c r="U29" s="107">
        <f>MAX($C22:U22)</f>
        <v>531</v>
      </c>
      <c r="V29" s="107">
        <f>MAX($C22:V22)</f>
        <v>531</v>
      </c>
      <c r="W29" s="107">
        <f>MAX($C22:W22)</f>
        <v>531</v>
      </c>
      <c r="X29" s="107">
        <f>MAX($C22:X22)</f>
        <v>531</v>
      </c>
    </row>
    <row r="30" spans="1:25" ht="13.15" x14ac:dyDescent="0.4">
      <c r="A30">
        <v>24</v>
      </c>
      <c r="B30" s="151" t="s">
        <v>80</v>
      </c>
      <c r="C30" s="19">
        <f>MAX(C23)</f>
        <v>126</v>
      </c>
      <c r="D30" s="107">
        <f>MAX($C23:D23)</f>
        <v>563</v>
      </c>
      <c r="E30" s="107">
        <f>MAX($C23:E23)</f>
        <v>563</v>
      </c>
      <c r="F30" s="107">
        <f>MAX($C23:F23)</f>
        <v>578</v>
      </c>
      <c r="G30" s="107">
        <f>MAX($C23:G23)</f>
        <v>578</v>
      </c>
      <c r="H30" s="107">
        <f>MAX($C23:H23)</f>
        <v>615</v>
      </c>
      <c r="I30" s="107">
        <f>MAX($C23:I23)</f>
        <v>615</v>
      </c>
      <c r="J30" s="107">
        <f>MAX($C23:J23)</f>
        <v>615</v>
      </c>
      <c r="K30" s="107">
        <f>MAX($C23:K23)</f>
        <v>615</v>
      </c>
      <c r="L30" s="107">
        <f>MAX($C23:L23)</f>
        <v>615</v>
      </c>
      <c r="M30" s="107">
        <f>MAX($C23:M23)</f>
        <v>615</v>
      </c>
      <c r="N30" s="107">
        <f>MAX($C23:N23)</f>
        <v>615</v>
      </c>
      <c r="O30" s="107">
        <f>MAX($C23:O23)</f>
        <v>615</v>
      </c>
      <c r="P30" s="107">
        <f>MAX($C23:P23)</f>
        <v>666</v>
      </c>
      <c r="Q30" s="107">
        <f>MAX($C23:Q23)</f>
        <v>666</v>
      </c>
      <c r="R30" s="107">
        <f>MAX($C23:R23)</f>
        <v>666</v>
      </c>
      <c r="S30" s="107">
        <f>MAX($C23:S23)</f>
        <v>666</v>
      </c>
      <c r="T30" s="107">
        <f>MAX($C23:T23)</f>
        <v>666</v>
      </c>
      <c r="U30" s="107">
        <f>MAX($C23:U23)</f>
        <v>666</v>
      </c>
      <c r="V30" s="107">
        <f>MAX($C23:V23)</f>
        <v>666</v>
      </c>
      <c r="W30" s="107">
        <f>MAX($C23:W23)</f>
        <v>666</v>
      </c>
      <c r="X30" s="107">
        <f>MAX($C23:X23)</f>
        <v>666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249</v>
      </c>
      <c r="G2" s="203" t="s">
        <v>250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60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55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120</v>
      </c>
      <c r="D9">
        <v>106</v>
      </c>
      <c r="G9">
        <v>98</v>
      </c>
      <c r="I9">
        <v>167</v>
      </c>
      <c r="L9">
        <v>194</v>
      </c>
      <c r="M9">
        <v>121</v>
      </c>
      <c r="O9">
        <v>119</v>
      </c>
      <c r="P9">
        <v>138</v>
      </c>
      <c r="V9">
        <v>120</v>
      </c>
    </row>
    <row r="10" spans="1:24" ht="13.15" x14ac:dyDescent="0.4">
      <c r="A10">
        <v>4</v>
      </c>
      <c r="B10" s="3" t="s">
        <v>15</v>
      </c>
      <c r="C10">
        <v>111</v>
      </c>
      <c r="D10">
        <v>158</v>
      </c>
      <c r="G10">
        <v>133</v>
      </c>
      <c r="I10">
        <v>89</v>
      </c>
      <c r="L10">
        <v>129</v>
      </c>
      <c r="M10">
        <v>179</v>
      </c>
      <c r="O10">
        <v>121</v>
      </c>
      <c r="P10">
        <v>124</v>
      </c>
      <c r="V10">
        <v>114</v>
      </c>
    </row>
    <row r="11" spans="1:24" ht="13.15" x14ac:dyDescent="0.4">
      <c r="A11">
        <v>5</v>
      </c>
      <c r="B11" s="3" t="s">
        <v>16</v>
      </c>
      <c r="C11">
        <v>176</v>
      </c>
      <c r="D11">
        <v>105</v>
      </c>
      <c r="I11">
        <v>130</v>
      </c>
      <c r="L11">
        <v>141</v>
      </c>
      <c r="M11">
        <v>179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407</v>
      </c>
      <c r="D15" s="18">
        <f t="shared" si="2"/>
        <v>369</v>
      </c>
      <c r="E15" s="18">
        <f t="shared" si="2"/>
        <v>0</v>
      </c>
      <c r="F15" s="18">
        <f t="shared" si="2"/>
        <v>0</v>
      </c>
      <c r="G15" s="18">
        <f t="shared" si="2"/>
        <v>231</v>
      </c>
      <c r="H15" s="18">
        <f t="shared" si="2"/>
        <v>0</v>
      </c>
      <c r="I15" s="18">
        <f t="shared" si="2"/>
        <v>386</v>
      </c>
      <c r="J15" s="18">
        <f t="shared" si="2"/>
        <v>0</v>
      </c>
      <c r="K15" s="18">
        <f t="shared" si="2"/>
        <v>0</v>
      </c>
      <c r="L15" s="18">
        <f t="shared" si="2"/>
        <v>464</v>
      </c>
      <c r="M15" s="18">
        <f t="shared" si="2"/>
        <v>479</v>
      </c>
      <c r="N15" s="18">
        <f t="shared" si="2"/>
        <v>0</v>
      </c>
      <c r="O15" s="18">
        <f t="shared" si="2"/>
        <v>240</v>
      </c>
      <c r="P15" s="18">
        <f t="shared" si="2"/>
        <v>262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234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407</v>
      </c>
      <c r="D16" s="19">
        <f t="shared" ref="D16:X16" si="3">+D15+C16</f>
        <v>776</v>
      </c>
      <c r="E16" s="19">
        <f t="shared" si="3"/>
        <v>776</v>
      </c>
      <c r="F16" s="19">
        <f t="shared" si="3"/>
        <v>776</v>
      </c>
      <c r="G16" s="19">
        <f t="shared" si="3"/>
        <v>1007</v>
      </c>
      <c r="H16" s="19">
        <f t="shared" si="3"/>
        <v>1007</v>
      </c>
      <c r="I16" s="19">
        <f t="shared" si="3"/>
        <v>1393</v>
      </c>
      <c r="J16" s="19">
        <f t="shared" si="3"/>
        <v>1393</v>
      </c>
      <c r="K16" s="19">
        <f t="shared" si="3"/>
        <v>1393</v>
      </c>
      <c r="L16" s="19">
        <f t="shared" si="3"/>
        <v>1857</v>
      </c>
      <c r="M16" s="19">
        <f t="shared" si="3"/>
        <v>2336</v>
      </c>
      <c r="N16" s="19">
        <f t="shared" si="3"/>
        <v>2336</v>
      </c>
      <c r="O16" s="19">
        <f t="shared" si="3"/>
        <v>2576</v>
      </c>
      <c r="P16" s="19">
        <f t="shared" si="3"/>
        <v>2838</v>
      </c>
      <c r="Q16" s="19">
        <f t="shared" si="3"/>
        <v>2838</v>
      </c>
      <c r="R16" s="19">
        <f t="shared" si="3"/>
        <v>2838</v>
      </c>
      <c r="S16" s="19">
        <f t="shared" si="3"/>
        <v>2838</v>
      </c>
      <c r="T16" s="19">
        <f t="shared" si="3"/>
        <v>2838</v>
      </c>
      <c r="U16" s="19">
        <f t="shared" si="3"/>
        <v>2838</v>
      </c>
      <c r="V16" s="19">
        <f t="shared" si="3"/>
        <v>3072</v>
      </c>
      <c r="W16" s="19">
        <f t="shared" si="3"/>
        <v>3072</v>
      </c>
      <c r="X16" s="19">
        <f t="shared" si="3"/>
        <v>3072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135.66666666666666</v>
      </c>
      <c r="D17" s="20">
        <f t="shared" si="4"/>
        <v>129.33333333333334</v>
      </c>
      <c r="E17" s="20">
        <f t="shared" si="4"/>
        <v>129.33333333333334</v>
      </c>
      <c r="F17" s="20">
        <f t="shared" si="4"/>
        <v>129.33333333333334</v>
      </c>
      <c r="G17" s="20">
        <f t="shared" si="4"/>
        <v>125.875</v>
      </c>
      <c r="H17" s="20">
        <f t="shared" si="4"/>
        <v>125.875</v>
      </c>
      <c r="I17" s="20">
        <f t="shared" si="4"/>
        <v>126.63636363636364</v>
      </c>
      <c r="J17" s="20">
        <f t="shared" si="4"/>
        <v>126.63636363636364</v>
      </c>
      <c r="K17" s="20">
        <f t="shared" si="4"/>
        <v>126.63636363636364</v>
      </c>
      <c r="L17" s="20">
        <f t="shared" si="4"/>
        <v>132.64285714285714</v>
      </c>
      <c r="M17" s="20">
        <f t="shared" si="4"/>
        <v>137.41176470588235</v>
      </c>
      <c r="N17" s="20">
        <f t="shared" si="4"/>
        <v>137.41176470588235</v>
      </c>
      <c r="O17" s="20">
        <f t="shared" si="4"/>
        <v>135.57894736842104</v>
      </c>
      <c r="P17" s="20">
        <f t="shared" si="4"/>
        <v>135.14285714285714</v>
      </c>
      <c r="Q17" s="20">
        <f t="shared" si="4"/>
        <v>135.14285714285714</v>
      </c>
      <c r="R17" s="20">
        <f t="shared" si="4"/>
        <v>135.14285714285714</v>
      </c>
      <c r="S17" s="20">
        <f t="shared" si="4"/>
        <v>135.14285714285714</v>
      </c>
      <c r="T17" s="20">
        <f t="shared" si="4"/>
        <v>135.14285714285714</v>
      </c>
      <c r="U17" s="20">
        <f t="shared" si="4"/>
        <v>135.14285714285714</v>
      </c>
      <c r="V17" s="20">
        <f t="shared" si="4"/>
        <v>133.56521739130434</v>
      </c>
      <c r="W17" s="20">
        <f t="shared" si="4"/>
        <v>133.56521739130434</v>
      </c>
      <c r="X17" s="20">
        <f t="shared" si="4"/>
        <v>133.56521739130434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58</v>
      </c>
      <c r="D18" s="19">
        <f t="shared" si="5"/>
        <v>64</v>
      </c>
      <c r="E18" s="19">
        <f t="shared" si="5"/>
        <v>64</v>
      </c>
      <c r="F18" s="19">
        <f t="shared" si="5"/>
        <v>64</v>
      </c>
      <c r="G18" s="19">
        <f t="shared" si="5"/>
        <v>67</v>
      </c>
      <c r="H18" s="19">
        <f t="shared" si="5"/>
        <v>67</v>
      </c>
      <c r="I18" s="19">
        <f t="shared" si="5"/>
        <v>66</v>
      </c>
      <c r="J18" s="19">
        <f t="shared" si="5"/>
        <v>66</v>
      </c>
      <c r="K18" s="19">
        <f t="shared" si="5"/>
        <v>66</v>
      </c>
      <c r="L18" s="19">
        <f t="shared" si="5"/>
        <v>61</v>
      </c>
      <c r="M18" s="19">
        <f t="shared" si="5"/>
        <v>56</v>
      </c>
      <c r="N18" s="19">
        <f t="shared" si="5"/>
        <v>56</v>
      </c>
      <c r="O18" s="19">
        <f t="shared" si="5"/>
        <v>58</v>
      </c>
      <c r="P18" s="19">
        <f t="shared" si="5"/>
        <v>58</v>
      </c>
      <c r="Q18" s="19">
        <f t="shared" si="5"/>
        <v>58</v>
      </c>
      <c r="R18" s="19">
        <f t="shared" si="5"/>
        <v>58</v>
      </c>
      <c r="S18" s="19">
        <f t="shared" si="5"/>
        <v>58</v>
      </c>
      <c r="T18" s="19">
        <f t="shared" si="5"/>
        <v>58</v>
      </c>
      <c r="U18" s="19">
        <f t="shared" si="5"/>
        <v>58</v>
      </c>
      <c r="V18" s="19">
        <f t="shared" si="5"/>
        <v>60</v>
      </c>
      <c r="W18" s="19">
        <f t="shared" si="5"/>
        <v>60</v>
      </c>
      <c r="X18" s="19">
        <f t="shared" si="5"/>
        <v>60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6</v>
      </c>
      <c r="E19" s="19">
        <f t="shared" si="6"/>
        <v>6</v>
      </c>
      <c r="F19" s="19">
        <f t="shared" si="6"/>
        <v>6</v>
      </c>
      <c r="G19" s="19">
        <f t="shared" si="6"/>
        <v>8</v>
      </c>
      <c r="H19" s="19">
        <f t="shared" si="6"/>
        <v>8</v>
      </c>
      <c r="I19" s="19">
        <f t="shared" si="6"/>
        <v>11</v>
      </c>
      <c r="J19" s="19">
        <f t="shared" si="6"/>
        <v>11</v>
      </c>
      <c r="K19" s="19">
        <f t="shared" si="6"/>
        <v>11</v>
      </c>
      <c r="L19" s="19">
        <f t="shared" si="6"/>
        <v>14</v>
      </c>
      <c r="M19" s="19">
        <f t="shared" si="6"/>
        <v>17</v>
      </c>
      <c r="N19" s="19">
        <f t="shared" si="6"/>
        <v>17</v>
      </c>
      <c r="O19" s="19">
        <f t="shared" si="6"/>
        <v>19</v>
      </c>
      <c r="P19" s="19">
        <f t="shared" si="6"/>
        <v>21</v>
      </c>
      <c r="Q19" s="19">
        <f t="shared" si="6"/>
        <v>21</v>
      </c>
      <c r="R19" s="19">
        <f t="shared" si="6"/>
        <v>21</v>
      </c>
      <c r="S19" s="19">
        <f t="shared" si="6"/>
        <v>21</v>
      </c>
      <c r="T19" s="19">
        <f t="shared" si="6"/>
        <v>21</v>
      </c>
      <c r="U19" s="19">
        <f t="shared" si="6"/>
        <v>21</v>
      </c>
      <c r="V19" s="19">
        <f t="shared" si="6"/>
        <v>23</v>
      </c>
      <c r="W19" s="19">
        <f t="shared" si="6"/>
        <v>23</v>
      </c>
      <c r="X19" s="19">
        <f t="shared" si="6"/>
        <v>23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176</v>
      </c>
      <c r="D20" s="19">
        <f t="shared" si="7"/>
        <v>158</v>
      </c>
      <c r="E20" s="19">
        <f t="shared" si="7"/>
        <v>0</v>
      </c>
      <c r="F20" s="19">
        <f t="shared" si="7"/>
        <v>0</v>
      </c>
      <c r="G20" s="19">
        <f t="shared" si="7"/>
        <v>133</v>
      </c>
      <c r="H20" s="19">
        <f t="shared" si="7"/>
        <v>0</v>
      </c>
      <c r="I20" s="19">
        <f t="shared" si="7"/>
        <v>167</v>
      </c>
      <c r="J20" s="19">
        <f t="shared" si="7"/>
        <v>0</v>
      </c>
      <c r="K20" s="19">
        <f t="shared" si="7"/>
        <v>0</v>
      </c>
      <c r="L20" s="19">
        <f t="shared" si="7"/>
        <v>194</v>
      </c>
      <c r="M20" s="19">
        <f t="shared" si="7"/>
        <v>179</v>
      </c>
      <c r="N20" s="19">
        <f t="shared" si="7"/>
        <v>0</v>
      </c>
      <c r="O20" s="19">
        <f t="shared" si="7"/>
        <v>121</v>
      </c>
      <c r="P20" s="19">
        <f t="shared" si="7"/>
        <v>138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120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231</v>
      </c>
      <c r="D21" s="19">
        <f>MAX(D$9:D$14)+$I$5</f>
        <v>213</v>
      </c>
      <c r="E21" s="19">
        <f t="shared" ref="E21:X21" si="8">MAX(E$9:E$14)+D18</f>
        <v>64</v>
      </c>
      <c r="F21" s="19">
        <f t="shared" si="8"/>
        <v>64</v>
      </c>
      <c r="G21" s="19">
        <f t="shared" si="8"/>
        <v>197</v>
      </c>
      <c r="H21" s="19">
        <f t="shared" si="8"/>
        <v>67</v>
      </c>
      <c r="I21" s="19">
        <f t="shared" si="8"/>
        <v>234</v>
      </c>
      <c r="J21" s="19">
        <f t="shared" si="8"/>
        <v>66</v>
      </c>
      <c r="K21" s="19">
        <f t="shared" si="8"/>
        <v>66</v>
      </c>
      <c r="L21" s="19">
        <f t="shared" si="8"/>
        <v>260</v>
      </c>
      <c r="M21" s="19">
        <f t="shared" si="8"/>
        <v>240</v>
      </c>
      <c r="N21" s="19">
        <f t="shared" si="8"/>
        <v>56</v>
      </c>
      <c r="O21" s="19">
        <f t="shared" si="8"/>
        <v>177</v>
      </c>
      <c r="P21" s="19">
        <f t="shared" si="8"/>
        <v>196</v>
      </c>
      <c r="Q21" s="19">
        <f t="shared" si="8"/>
        <v>58</v>
      </c>
      <c r="R21" s="19">
        <f t="shared" si="8"/>
        <v>58</v>
      </c>
      <c r="S21" s="19">
        <f t="shared" si="8"/>
        <v>58</v>
      </c>
      <c r="T21" s="19">
        <f t="shared" si="8"/>
        <v>58</v>
      </c>
      <c r="U21" s="19">
        <f t="shared" si="8"/>
        <v>58</v>
      </c>
      <c r="V21" s="19">
        <f t="shared" si="8"/>
        <v>178</v>
      </c>
      <c r="W21" s="19">
        <f t="shared" si="8"/>
        <v>60</v>
      </c>
      <c r="X21" s="19">
        <f t="shared" si="8"/>
        <v>60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407</v>
      </c>
      <c r="D22" s="19">
        <f t="shared" ref="D22:X22" si="9">MAX(SUM(D$9:D$11),SUM(D$12:D$14))</f>
        <v>369</v>
      </c>
      <c r="E22" s="19">
        <f t="shared" si="9"/>
        <v>0</v>
      </c>
      <c r="F22" s="19">
        <f t="shared" si="9"/>
        <v>0</v>
      </c>
      <c r="G22" s="19">
        <f t="shared" si="9"/>
        <v>231</v>
      </c>
      <c r="H22" s="19">
        <f t="shared" si="9"/>
        <v>0</v>
      </c>
      <c r="I22" s="19">
        <f t="shared" si="9"/>
        <v>386</v>
      </c>
      <c r="J22" s="19">
        <f t="shared" si="9"/>
        <v>0</v>
      </c>
      <c r="K22" s="19">
        <f t="shared" si="9"/>
        <v>0</v>
      </c>
      <c r="L22" s="19">
        <f t="shared" si="9"/>
        <v>464</v>
      </c>
      <c r="M22" s="19">
        <f t="shared" si="9"/>
        <v>479</v>
      </c>
      <c r="N22" s="19">
        <f t="shared" si="9"/>
        <v>0</v>
      </c>
      <c r="O22" s="19">
        <f t="shared" si="9"/>
        <v>240</v>
      </c>
      <c r="P22" s="19">
        <f t="shared" si="9"/>
        <v>262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234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572</v>
      </c>
      <c r="D23" s="19">
        <f>MAX(SUM(D$9:D$11),SUM(D$12:D$14))+$I$5*3</f>
        <v>534</v>
      </c>
      <c r="E23" s="19">
        <f t="shared" ref="E23:X23" si="10">MAX(SUM(E$9:E$11),SUM(E$12:E$14))+D18*3</f>
        <v>192</v>
      </c>
      <c r="F23" s="19">
        <f t="shared" si="10"/>
        <v>192</v>
      </c>
      <c r="G23" s="19">
        <f t="shared" si="10"/>
        <v>423</v>
      </c>
      <c r="H23" s="19">
        <f t="shared" si="10"/>
        <v>201</v>
      </c>
      <c r="I23" s="19">
        <f t="shared" si="10"/>
        <v>587</v>
      </c>
      <c r="J23" s="19">
        <f t="shared" si="10"/>
        <v>198</v>
      </c>
      <c r="K23" s="19">
        <f t="shared" si="10"/>
        <v>198</v>
      </c>
      <c r="L23" s="19">
        <f t="shared" si="10"/>
        <v>662</v>
      </c>
      <c r="M23" s="19">
        <f t="shared" si="10"/>
        <v>662</v>
      </c>
      <c r="N23" s="19">
        <f t="shared" si="10"/>
        <v>168</v>
      </c>
      <c r="O23" s="19">
        <f t="shared" si="10"/>
        <v>408</v>
      </c>
      <c r="P23" s="19">
        <f t="shared" si="10"/>
        <v>436</v>
      </c>
      <c r="Q23" s="19">
        <f t="shared" si="10"/>
        <v>174</v>
      </c>
      <c r="R23" s="19">
        <f t="shared" si="10"/>
        <v>174</v>
      </c>
      <c r="S23" s="19">
        <f t="shared" si="10"/>
        <v>174</v>
      </c>
      <c r="T23" s="19">
        <f t="shared" si="10"/>
        <v>174</v>
      </c>
      <c r="U23" s="19">
        <f t="shared" si="10"/>
        <v>174</v>
      </c>
      <c r="V23" s="19">
        <f t="shared" si="10"/>
        <v>408</v>
      </c>
      <c r="W23" s="19">
        <f t="shared" si="10"/>
        <v>180</v>
      </c>
      <c r="X23" s="19">
        <f t="shared" si="10"/>
        <v>180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176</v>
      </c>
      <c r="D27" s="107">
        <f>MAX($C20:D20)</f>
        <v>176</v>
      </c>
      <c r="E27" s="107">
        <f>MAX($C20:E20)</f>
        <v>176</v>
      </c>
      <c r="F27" s="107">
        <f>MAX($C20:F20)</f>
        <v>176</v>
      </c>
      <c r="G27" s="107">
        <f>MAX($C20:G20)</f>
        <v>176</v>
      </c>
      <c r="H27" s="107">
        <f>MAX($C20:H20)</f>
        <v>176</v>
      </c>
      <c r="I27" s="107">
        <f>MAX($C20:I20)</f>
        <v>176</v>
      </c>
      <c r="J27" s="107">
        <f>MAX($C20:J20)</f>
        <v>176</v>
      </c>
      <c r="K27" s="107">
        <f>MAX($C20:K20)</f>
        <v>176</v>
      </c>
      <c r="L27" s="107">
        <f>MAX($C20:L20)</f>
        <v>194</v>
      </c>
      <c r="M27" s="107">
        <f>MAX($C20:M20)</f>
        <v>194</v>
      </c>
      <c r="N27" s="107">
        <f>MAX($C20:N20)</f>
        <v>194</v>
      </c>
      <c r="O27" s="107">
        <f>MAX($C20:O20)</f>
        <v>194</v>
      </c>
      <c r="P27" s="107">
        <f>MAX($C20:P20)</f>
        <v>194</v>
      </c>
      <c r="Q27" s="107">
        <f>MAX($C20:Q20)</f>
        <v>194</v>
      </c>
      <c r="R27" s="107">
        <f>MAX($C20:R20)</f>
        <v>194</v>
      </c>
      <c r="S27" s="107">
        <f>MAX($C20:S20)</f>
        <v>194</v>
      </c>
      <c r="T27" s="107">
        <f>MAX($C20:T20)</f>
        <v>194</v>
      </c>
      <c r="U27" s="107">
        <f>MAX($C20:U20)</f>
        <v>194</v>
      </c>
      <c r="V27" s="107">
        <f>MAX($C20:V20)</f>
        <v>194</v>
      </c>
      <c r="W27" s="107">
        <f>MAX($C20:W20)</f>
        <v>194</v>
      </c>
      <c r="X27" s="107">
        <f>MAX($C20:X20)</f>
        <v>194</v>
      </c>
    </row>
    <row r="28" spans="1:25" ht="13.15" x14ac:dyDescent="0.4">
      <c r="A28">
        <v>22</v>
      </c>
      <c r="B28" s="151" t="s">
        <v>78</v>
      </c>
      <c r="C28" s="19">
        <f>MAX(C21)</f>
        <v>231</v>
      </c>
      <c r="D28" s="107">
        <f>MAX($C21:D21)</f>
        <v>231</v>
      </c>
      <c r="E28" s="107">
        <f>MAX($C21:E21)</f>
        <v>231</v>
      </c>
      <c r="F28" s="107">
        <f>MAX($C21:F21)</f>
        <v>231</v>
      </c>
      <c r="G28" s="107">
        <f>MAX($C21:G21)</f>
        <v>231</v>
      </c>
      <c r="H28" s="107">
        <f>MAX($C21:H21)</f>
        <v>231</v>
      </c>
      <c r="I28" s="107">
        <f>MAX($C21:I21)</f>
        <v>234</v>
      </c>
      <c r="J28" s="107">
        <f>MAX($C21:J21)</f>
        <v>234</v>
      </c>
      <c r="K28" s="107">
        <f>MAX($C21:K21)</f>
        <v>234</v>
      </c>
      <c r="L28" s="107">
        <f>MAX($C21:L21)</f>
        <v>260</v>
      </c>
      <c r="M28" s="107">
        <f>MAX($C21:M21)</f>
        <v>260</v>
      </c>
      <c r="N28" s="107">
        <f>MAX($C21:N21)</f>
        <v>260</v>
      </c>
      <c r="O28" s="107">
        <f>MAX($C21:O21)</f>
        <v>260</v>
      </c>
      <c r="P28" s="107">
        <f>MAX($C21:P21)</f>
        <v>260</v>
      </c>
      <c r="Q28" s="107">
        <f>MAX($C21:Q21)</f>
        <v>260</v>
      </c>
      <c r="R28" s="107">
        <f>MAX($C21:R21)</f>
        <v>260</v>
      </c>
      <c r="S28" s="107">
        <f>MAX($C21:S21)</f>
        <v>260</v>
      </c>
      <c r="T28" s="107">
        <f>MAX($C21:T21)</f>
        <v>260</v>
      </c>
      <c r="U28" s="107">
        <f>MAX($C21:U21)</f>
        <v>260</v>
      </c>
      <c r="V28" s="107">
        <f>MAX($C21:V21)</f>
        <v>260</v>
      </c>
      <c r="W28" s="107">
        <f>MAX($C21:W21)</f>
        <v>260</v>
      </c>
      <c r="X28" s="107">
        <f>MAX($C21:X21)</f>
        <v>260</v>
      </c>
    </row>
    <row r="29" spans="1:25" ht="26.25" x14ac:dyDescent="0.4">
      <c r="A29">
        <v>23</v>
      </c>
      <c r="B29" s="151" t="s">
        <v>79</v>
      </c>
      <c r="C29" s="19">
        <f>MAX(C22)</f>
        <v>407</v>
      </c>
      <c r="D29" s="107">
        <f>MAX($C22:D22)</f>
        <v>407</v>
      </c>
      <c r="E29" s="107">
        <f>MAX($C22:E22)</f>
        <v>407</v>
      </c>
      <c r="F29" s="107">
        <f>MAX($C22:F22)</f>
        <v>407</v>
      </c>
      <c r="G29" s="107">
        <f>MAX($C22:G22)</f>
        <v>407</v>
      </c>
      <c r="H29" s="107">
        <f>MAX($C22:H22)</f>
        <v>407</v>
      </c>
      <c r="I29" s="107">
        <f>MAX($C22:I22)</f>
        <v>407</v>
      </c>
      <c r="J29" s="107">
        <f>MAX($C22:J22)</f>
        <v>407</v>
      </c>
      <c r="K29" s="107">
        <f>MAX($C22:K22)</f>
        <v>407</v>
      </c>
      <c r="L29" s="107">
        <f>MAX($C22:L22)</f>
        <v>464</v>
      </c>
      <c r="M29" s="107">
        <f>MAX($C22:M22)</f>
        <v>479</v>
      </c>
      <c r="N29" s="107">
        <f>MAX($C22:N22)</f>
        <v>479</v>
      </c>
      <c r="O29" s="107">
        <f>MAX($C22:O22)</f>
        <v>479</v>
      </c>
      <c r="P29" s="107">
        <f>MAX($C22:P22)</f>
        <v>479</v>
      </c>
      <c r="Q29" s="107">
        <f>MAX($C22:Q22)</f>
        <v>479</v>
      </c>
      <c r="R29" s="107">
        <f>MAX($C22:R22)</f>
        <v>479</v>
      </c>
      <c r="S29" s="107">
        <f>MAX($C22:S22)</f>
        <v>479</v>
      </c>
      <c r="T29" s="107">
        <f>MAX($C22:T22)</f>
        <v>479</v>
      </c>
      <c r="U29" s="107">
        <f>MAX($C22:U22)</f>
        <v>479</v>
      </c>
      <c r="V29" s="107">
        <f>MAX($C22:V22)</f>
        <v>479</v>
      </c>
      <c r="W29" s="107">
        <f>MAX($C22:W22)</f>
        <v>479</v>
      </c>
      <c r="X29" s="107">
        <f>MAX($C22:X22)</f>
        <v>479</v>
      </c>
    </row>
    <row r="30" spans="1:25" ht="13.15" x14ac:dyDescent="0.4">
      <c r="A30">
        <v>24</v>
      </c>
      <c r="B30" s="151" t="s">
        <v>80</v>
      </c>
      <c r="C30" s="19">
        <f>MAX(C23)</f>
        <v>572</v>
      </c>
      <c r="D30" s="107">
        <f>MAX($C23:D23)</f>
        <v>572</v>
      </c>
      <c r="E30" s="107">
        <f>MAX($C23:E23)</f>
        <v>572</v>
      </c>
      <c r="F30" s="107">
        <f>MAX($C23:F23)</f>
        <v>572</v>
      </c>
      <c r="G30" s="107">
        <f>MAX($C23:G23)</f>
        <v>572</v>
      </c>
      <c r="H30" s="107">
        <f>MAX($C23:H23)</f>
        <v>572</v>
      </c>
      <c r="I30" s="107">
        <f>MAX($C23:I23)</f>
        <v>587</v>
      </c>
      <c r="J30" s="107">
        <f>MAX($C23:J23)</f>
        <v>587</v>
      </c>
      <c r="K30" s="107">
        <f>MAX($C23:K23)</f>
        <v>587</v>
      </c>
      <c r="L30" s="107">
        <f>MAX($C23:L23)</f>
        <v>662</v>
      </c>
      <c r="M30" s="107">
        <f>MAX($C23:M23)</f>
        <v>662</v>
      </c>
      <c r="N30" s="107">
        <f>MAX($C23:N23)</f>
        <v>662</v>
      </c>
      <c r="O30" s="107">
        <f>MAX($C23:O23)</f>
        <v>662</v>
      </c>
      <c r="P30" s="107">
        <f>MAX($C23:P23)</f>
        <v>662</v>
      </c>
      <c r="Q30" s="107">
        <f>MAX($C23:Q23)</f>
        <v>662</v>
      </c>
      <c r="R30" s="107">
        <f>MAX($C23:R23)</f>
        <v>662</v>
      </c>
      <c r="S30" s="107">
        <f>MAX($C23:S23)</f>
        <v>662</v>
      </c>
      <c r="T30" s="107">
        <f>MAX($C23:T23)</f>
        <v>662</v>
      </c>
      <c r="U30" s="107">
        <f>MAX($C23:U23)</f>
        <v>662</v>
      </c>
      <c r="V30" s="107">
        <f>MAX($C23:V23)</f>
        <v>662</v>
      </c>
      <c r="W30" s="107">
        <f>MAX($C23:W23)</f>
        <v>662</v>
      </c>
      <c r="X30" s="107">
        <f>MAX($C23:X23)</f>
        <v>662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223</v>
      </c>
      <c r="G2" s="203" t="s">
        <v>17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47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51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C9">
        <v>174</v>
      </c>
      <c r="D9">
        <v>157</v>
      </c>
      <c r="F9">
        <v>133</v>
      </c>
      <c r="I9">
        <v>170</v>
      </c>
      <c r="J9">
        <v>162</v>
      </c>
      <c r="K9">
        <v>177</v>
      </c>
      <c r="L9">
        <v>172</v>
      </c>
      <c r="N9">
        <v>113</v>
      </c>
      <c r="O9">
        <v>170</v>
      </c>
      <c r="Q9">
        <v>122</v>
      </c>
      <c r="R9">
        <v>134</v>
      </c>
      <c r="S9">
        <v>123</v>
      </c>
      <c r="U9">
        <v>157</v>
      </c>
      <c r="V9">
        <v>184</v>
      </c>
    </row>
    <row r="10" spans="1:24" ht="13.15" x14ac:dyDescent="0.4">
      <c r="A10">
        <v>4</v>
      </c>
      <c r="B10" s="3" t="s">
        <v>15</v>
      </c>
      <c r="C10">
        <v>127</v>
      </c>
      <c r="D10">
        <v>142</v>
      </c>
      <c r="F10">
        <v>156</v>
      </c>
      <c r="I10">
        <v>195</v>
      </c>
      <c r="J10">
        <v>157</v>
      </c>
      <c r="K10">
        <v>169</v>
      </c>
      <c r="L10">
        <v>188</v>
      </c>
      <c r="N10">
        <v>145</v>
      </c>
      <c r="R10">
        <v>156</v>
      </c>
      <c r="S10">
        <v>158</v>
      </c>
      <c r="U10">
        <v>130</v>
      </c>
      <c r="V10">
        <v>132</v>
      </c>
    </row>
    <row r="11" spans="1:24" ht="13.15" x14ac:dyDescent="0.4">
      <c r="A11">
        <v>5</v>
      </c>
      <c r="B11" s="3" t="s">
        <v>16</v>
      </c>
      <c r="C11">
        <v>138</v>
      </c>
      <c r="F11">
        <v>171</v>
      </c>
      <c r="I11">
        <v>133</v>
      </c>
      <c r="J11">
        <v>174</v>
      </c>
      <c r="K11">
        <v>134</v>
      </c>
      <c r="L11">
        <v>146</v>
      </c>
      <c r="N11">
        <v>123</v>
      </c>
      <c r="R11">
        <v>170</v>
      </c>
      <c r="S11">
        <v>127</v>
      </c>
      <c r="U11">
        <v>121</v>
      </c>
      <c r="V11">
        <v>147</v>
      </c>
    </row>
    <row r="12" spans="1:24" ht="13.15" x14ac:dyDescent="0.4">
      <c r="A12">
        <v>6</v>
      </c>
      <c r="B12" s="3" t="s">
        <v>64</v>
      </c>
      <c r="D12">
        <v>97</v>
      </c>
      <c r="N12">
        <v>135</v>
      </c>
      <c r="O12">
        <v>128</v>
      </c>
      <c r="Q12">
        <v>159</v>
      </c>
    </row>
    <row r="13" spans="1:24" ht="13.15" x14ac:dyDescent="0.4">
      <c r="A13">
        <v>7</v>
      </c>
      <c r="B13" s="3" t="s">
        <v>65</v>
      </c>
      <c r="D13">
        <v>90</v>
      </c>
      <c r="N13">
        <v>155</v>
      </c>
      <c r="O13">
        <v>191</v>
      </c>
      <c r="Q13">
        <v>150</v>
      </c>
    </row>
    <row r="14" spans="1:24" ht="13.15" x14ac:dyDescent="0.4">
      <c r="A14">
        <v>8</v>
      </c>
      <c r="B14" s="3" t="s">
        <v>66</v>
      </c>
      <c r="D14">
        <v>99</v>
      </c>
      <c r="O14">
        <v>154</v>
      </c>
      <c r="Q14">
        <v>164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439</v>
      </c>
      <c r="D15" s="18">
        <f t="shared" si="2"/>
        <v>585</v>
      </c>
      <c r="E15" s="18">
        <f t="shared" si="2"/>
        <v>0</v>
      </c>
      <c r="F15" s="18">
        <f t="shared" si="2"/>
        <v>460</v>
      </c>
      <c r="G15" s="18">
        <f t="shared" si="2"/>
        <v>0</v>
      </c>
      <c r="H15" s="18">
        <f t="shared" si="2"/>
        <v>0</v>
      </c>
      <c r="I15" s="18">
        <f t="shared" si="2"/>
        <v>498</v>
      </c>
      <c r="J15" s="18">
        <f t="shared" si="2"/>
        <v>493</v>
      </c>
      <c r="K15" s="18">
        <f t="shared" si="2"/>
        <v>480</v>
      </c>
      <c r="L15" s="18">
        <f t="shared" si="2"/>
        <v>506</v>
      </c>
      <c r="M15" s="18">
        <f t="shared" si="2"/>
        <v>0</v>
      </c>
      <c r="N15" s="18">
        <f t="shared" si="2"/>
        <v>671</v>
      </c>
      <c r="O15" s="18">
        <f t="shared" si="2"/>
        <v>643</v>
      </c>
      <c r="P15" s="18">
        <f t="shared" si="2"/>
        <v>0</v>
      </c>
      <c r="Q15" s="18">
        <f t="shared" si="2"/>
        <v>595</v>
      </c>
      <c r="R15" s="18">
        <f t="shared" si="2"/>
        <v>460</v>
      </c>
      <c r="S15" s="18">
        <f t="shared" si="2"/>
        <v>408</v>
      </c>
      <c r="T15" s="18">
        <f t="shared" si="2"/>
        <v>0</v>
      </c>
      <c r="U15" s="18">
        <f t="shared" si="2"/>
        <v>408</v>
      </c>
      <c r="V15" s="18">
        <f t="shared" si="2"/>
        <v>463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439</v>
      </c>
      <c r="D16" s="19">
        <f t="shared" ref="D16:X16" si="3">+D15+C16</f>
        <v>1024</v>
      </c>
      <c r="E16" s="19">
        <f t="shared" si="3"/>
        <v>1024</v>
      </c>
      <c r="F16" s="19">
        <f t="shared" si="3"/>
        <v>1484</v>
      </c>
      <c r="G16" s="19">
        <f t="shared" si="3"/>
        <v>1484</v>
      </c>
      <c r="H16" s="19">
        <f t="shared" si="3"/>
        <v>1484</v>
      </c>
      <c r="I16" s="19">
        <f t="shared" si="3"/>
        <v>1982</v>
      </c>
      <c r="J16" s="19">
        <f t="shared" si="3"/>
        <v>2475</v>
      </c>
      <c r="K16" s="19">
        <f t="shared" si="3"/>
        <v>2955</v>
      </c>
      <c r="L16" s="19">
        <f t="shared" si="3"/>
        <v>3461</v>
      </c>
      <c r="M16" s="19">
        <f t="shared" si="3"/>
        <v>3461</v>
      </c>
      <c r="N16" s="19">
        <f t="shared" si="3"/>
        <v>4132</v>
      </c>
      <c r="O16" s="19">
        <f t="shared" si="3"/>
        <v>4775</v>
      </c>
      <c r="P16" s="19">
        <f t="shared" si="3"/>
        <v>4775</v>
      </c>
      <c r="Q16" s="19">
        <f t="shared" si="3"/>
        <v>5370</v>
      </c>
      <c r="R16" s="19">
        <f t="shared" si="3"/>
        <v>5830</v>
      </c>
      <c r="S16" s="19">
        <f t="shared" si="3"/>
        <v>6238</v>
      </c>
      <c r="T16" s="19">
        <f t="shared" si="3"/>
        <v>6238</v>
      </c>
      <c r="U16" s="19">
        <f t="shared" si="3"/>
        <v>6646</v>
      </c>
      <c r="V16" s="19">
        <f t="shared" si="3"/>
        <v>7109</v>
      </c>
      <c r="W16" s="19">
        <f t="shared" si="3"/>
        <v>7109</v>
      </c>
      <c r="X16" s="19">
        <f t="shared" si="3"/>
        <v>7109</v>
      </c>
    </row>
    <row r="17" spans="1:25" ht="13.15" x14ac:dyDescent="0.4">
      <c r="A17">
        <v>11</v>
      </c>
      <c r="B17" s="3" t="s">
        <v>7</v>
      </c>
      <c r="C17" s="20">
        <f t="shared" ref="C17:X17" si="4">+C16/C19</f>
        <v>146.33333333333334</v>
      </c>
      <c r="D17" s="20">
        <f t="shared" si="4"/>
        <v>128</v>
      </c>
      <c r="E17" s="20">
        <f t="shared" si="4"/>
        <v>128</v>
      </c>
      <c r="F17" s="20">
        <f t="shared" si="4"/>
        <v>134.90909090909091</v>
      </c>
      <c r="G17" s="20">
        <f t="shared" si="4"/>
        <v>134.90909090909091</v>
      </c>
      <c r="H17" s="20">
        <f t="shared" si="4"/>
        <v>134.90909090909091</v>
      </c>
      <c r="I17" s="20">
        <f t="shared" si="4"/>
        <v>141.57142857142858</v>
      </c>
      <c r="J17" s="20">
        <f t="shared" si="4"/>
        <v>145.58823529411765</v>
      </c>
      <c r="K17" s="20">
        <f t="shared" si="4"/>
        <v>147.75</v>
      </c>
      <c r="L17" s="20">
        <f t="shared" si="4"/>
        <v>150.47826086956522</v>
      </c>
      <c r="M17" s="20">
        <f t="shared" si="4"/>
        <v>150.47826086956522</v>
      </c>
      <c r="N17" s="20">
        <f t="shared" si="4"/>
        <v>147.57142857142858</v>
      </c>
      <c r="O17" s="20">
        <f t="shared" si="4"/>
        <v>149.21875</v>
      </c>
      <c r="P17" s="20">
        <f t="shared" si="4"/>
        <v>149.21875</v>
      </c>
      <c r="Q17" s="20">
        <f t="shared" si="4"/>
        <v>149.16666666666666</v>
      </c>
      <c r="R17" s="20">
        <f t="shared" si="4"/>
        <v>149.48717948717947</v>
      </c>
      <c r="S17" s="20">
        <f t="shared" si="4"/>
        <v>148.52380952380952</v>
      </c>
      <c r="T17" s="20">
        <f t="shared" si="4"/>
        <v>148.52380952380952</v>
      </c>
      <c r="U17" s="20">
        <f t="shared" si="4"/>
        <v>147.6888888888889</v>
      </c>
      <c r="V17" s="20">
        <f t="shared" si="4"/>
        <v>148.10416666666666</v>
      </c>
      <c r="W17" s="20">
        <f t="shared" si="4"/>
        <v>148.10416666666666</v>
      </c>
      <c r="X17" s="20">
        <f t="shared" si="4"/>
        <v>148.10416666666666</v>
      </c>
    </row>
    <row r="18" spans="1:25" ht="13.15" x14ac:dyDescent="0.4">
      <c r="A18">
        <v>12</v>
      </c>
      <c r="B18" s="3" t="s">
        <v>8</v>
      </c>
      <c r="C18" s="19">
        <f t="shared" ref="C18:X18" si="5">ROUND(+($D$4-C17)*$D$5,0)</f>
        <v>48</v>
      </c>
      <c r="D18" s="19">
        <f t="shared" si="5"/>
        <v>65</v>
      </c>
      <c r="E18" s="19">
        <f t="shared" si="5"/>
        <v>65</v>
      </c>
      <c r="F18" s="19">
        <f t="shared" si="5"/>
        <v>59</v>
      </c>
      <c r="G18" s="19">
        <f t="shared" si="5"/>
        <v>59</v>
      </c>
      <c r="H18" s="19">
        <f t="shared" si="5"/>
        <v>59</v>
      </c>
      <c r="I18" s="19">
        <f t="shared" si="5"/>
        <v>53</v>
      </c>
      <c r="J18" s="19">
        <f t="shared" si="5"/>
        <v>49</v>
      </c>
      <c r="K18" s="19">
        <f t="shared" si="5"/>
        <v>47</v>
      </c>
      <c r="L18" s="19">
        <f t="shared" si="5"/>
        <v>45</v>
      </c>
      <c r="M18" s="19">
        <f t="shared" si="5"/>
        <v>45</v>
      </c>
      <c r="N18" s="19">
        <f t="shared" si="5"/>
        <v>47</v>
      </c>
      <c r="O18" s="19">
        <f t="shared" si="5"/>
        <v>46</v>
      </c>
      <c r="P18" s="19">
        <f t="shared" si="5"/>
        <v>46</v>
      </c>
      <c r="Q18" s="19">
        <f t="shared" si="5"/>
        <v>46</v>
      </c>
      <c r="R18" s="19">
        <f t="shared" si="5"/>
        <v>45</v>
      </c>
      <c r="S18" s="19">
        <f t="shared" si="5"/>
        <v>46</v>
      </c>
      <c r="T18" s="19">
        <f t="shared" si="5"/>
        <v>46</v>
      </c>
      <c r="U18" s="19">
        <f t="shared" si="5"/>
        <v>47</v>
      </c>
      <c r="V18" s="19">
        <f t="shared" si="5"/>
        <v>47</v>
      </c>
      <c r="W18" s="19">
        <f t="shared" si="5"/>
        <v>47</v>
      </c>
      <c r="X18" s="19">
        <f t="shared" si="5"/>
        <v>47</v>
      </c>
    </row>
    <row r="19" spans="1:25" ht="13.15" x14ac:dyDescent="0.4">
      <c r="A19">
        <v>13</v>
      </c>
      <c r="B19" s="4" t="s">
        <v>9</v>
      </c>
      <c r="C19" s="19">
        <f>COUNT(C9:C14)</f>
        <v>3</v>
      </c>
      <c r="D19" s="19">
        <f t="shared" ref="D19:X19" si="6">COUNT(D9:D14)+C19</f>
        <v>8</v>
      </c>
      <c r="E19" s="19">
        <f t="shared" si="6"/>
        <v>8</v>
      </c>
      <c r="F19" s="19">
        <f t="shared" si="6"/>
        <v>11</v>
      </c>
      <c r="G19" s="19">
        <f t="shared" si="6"/>
        <v>11</v>
      </c>
      <c r="H19" s="19">
        <f t="shared" si="6"/>
        <v>11</v>
      </c>
      <c r="I19" s="19">
        <f t="shared" si="6"/>
        <v>14</v>
      </c>
      <c r="J19" s="19">
        <f t="shared" si="6"/>
        <v>17</v>
      </c>
      <c r="K19" s="19">
        <f t="shared" si="6"/>
        <v>20</v>
      </c>
      <c r="L19" s="19">
        <f t="shared" si="6"/>
        <v>23</v>
      </c>
      <c r="M19" s="19">
        <f t="shared" si="6"/>
        <v>23</v>
      </c>
      <c r="N19" s="19">
        <f t="shared" si="6"/>
        <v>28</v>
      </c>
      <c r="O19" s="19">
        <f t="shared" si="6"/>
        <v>32</v>
      </c>
      <c r="P19" s="19">
        <f t="shared" si="6"/>
        <v>32</v>
      </c>
      <c r="Q19" s="19">
        <f t="shared" si="6"/>
        <v>36</v>
      </c>
      <c r="R19" s="19">
        <f t="shared" si="6"/>
        <v>39</v>
      </c>
      <c r="S19" s="19">
        <f t="shared" si="6"/>
        <v>42</v>
      </c>
      <c r="T19" s="19">
        <f t="shared" si="6"/>
        <v>42</v>
      </c>
      <c r="U19" s="19">
        <f t="shared" si="6"/>
        <v>45</v>
      </c>
      <c r="V19" s="19">
        <f t="shared" si="6"/>
        <v>48</v>
      </c>
      <c r="W19" s="19">
        <f t="shared" si="6"/>
        <v>48</v>
      </c>
      <c r="X19" s="19">
        <f t="shared" si="6"/>
        <v>48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174</v>
      </c>
      <c r="D20" s="19">
        <f t="shared" si="7"/>
        <v>157</v>
      </c>
      <c r="E20" s="19">
        <f t="shared" si="7"/>
        <v>0</v>
      </c>
      <c r="F20" s="19">
        <f t="shared" si="7"/>
        <v>171</v>
      </c>
      <c r="G20" s="19">
        <f t="shared" si="7"/>
        <v>0</v>
      </c>
      <c r="H20" s="19">
        <f t="shared" si="7"/>
        <v>0</v>
      </c>
      <c r="I20" s="19">
        <f t="shared" si="7"/>
        <v>195</v>
      </c>
      <c r="J20" s="19">
        <f t="shared" si="7"/>
        <v>174</v>
      </c>
      <c r="K20" s="19">
        <f t="shared" si="7"/>
        <v>177</v>
      </c>
      <c r="L20" s="19">
        <f t="shared" si="7"/>
        <v>188</v>
      </c>
      <c r="M20" s="19">
        <f t="shared" si="7"/>
        <v>0</v>
      </c>
      <c r="N20" s="19">
        <f t="shared" si="7"/>
        <v>155</v>
      </c>
      <c r="O20" s="19">
        <f t="shared" si="7"/>
        <v>191</v>
      </c>
      <c r="P20" s="19">
        <f t="shared" si="7"/>
        <v>0</v>
      </c>
      <c r="Q20" s="19">
        <f t="shared" si="7"/>
        <v>164</v>
      </c>
      <c r="R20" s="19">
        <f t="shared" si="7"/>
        <v>170</v>
      </c>
      <c r="S20" s="19">
        <f t="shared" si="7"/>
        <v>158</v>
      </c>
      <c r="T20" s="19">
        <f t="shared" si="7"/>
        <v>0</v>
      </c>
      <c r="U20" s="19">
        <f t="shared" si="7"/>
        <v>157</v>
      </c>
      <c r="V20" s="19">
        <f t="shared" si="7"/>
        <v>184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225</v>
      </c>
      <c r="D21" s="19">
        <f>MAX(D$9:D$14)+$I$5</f>
        <v>208</v>
      </c>
      <c r="E21" s="19">
        <f t="shared" ref="E21:X21" si="8">MAX(E$9:E$14)+D18</f>
        <v>65</v>
      </c>
      <c r="F21" s="19">
        <f t="shared" si="8"/>
        <v>236</v>
      </c>
      <c r="G21" s="19">
        <f t="shared" si="8"/>
        <v>59</v>
      </c>
      <c r="H21" s="19">
        <f t="shared" si="8"/>
        <v>59</v>
      </c>
      <c r="I21" s="19">
        <f t="shared" si="8"/>
        <v>254</v>
      </c>
      <c r="J21" s="19">
        <f t="shared" si="8"/>
        <v>227</v>
      </c>
      <c r="K21" s="19">
        <f t="shared" si="8"/>
        <v>226</v>
      </c>
      <c r="L21" s="19">
        <f t="shared" si="8"/>
        <v>235</v>
      </c>
      <c r="M21" s="19">
        <f t="shared" si="8"/>
        <v>45</v>
      </c>
      <c r="N21" s="19">
        <f t="shared" si="8"/>
        <v>200</v>
      </c>
      <c r="O21" s="19">
        <f t="shared" si="8"/>
        <v>238</v>
      </c>
      <c r="P21" s="19">
        <f t="shared" si="8"/>
        <v>46</v>
      </c>
      <c r="Q21" s="19">
        <f t="shared" si="8"/>
        <v>210</v>
      </c>
      <c r="R21" s="19">
        <f t="shared" si="8"/>
        <v>216</v>
      </c>
      <c r="S21" s="19">
        <f t="shared" si="8"/>
        <v>203</v>
      </c>
      <c r="T21" s="19">
        <f t="shared" si="8"/>
        <v>46</v>
      </c>
      <c r="U21" s="19">
        <f t="shared" si="8"/>
        <v>203</v>
      </c>
      <c r="V21" s="19">
        <f t="shared" si="8"/>
        <v>231</v>
      </c>
      <c r="W21" s="19">
        <f t="shared" si="8"/>
        <v>47</v>
      </c>
      <c r="X21" s="19">
        <f t="shared" si="8"/>
        <v>47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439</v>
      </c>
      <c r="D22" s="19">
        <f t="shared" ref="D22:X22" si="9">MAX(SUM(D$9:D$11),SUM(D$12:D$14))</f>
        <v>299</v>
      </c>
      <c r="E22" s="19">
        <f t="shared" si="9"/>
        <v>0</v>
      </c>
      <c r="F22" s="19">
        <f t="shared" si="9"/>
        <v>460</v>
      </c>
      <c r="G22" s="19">
        <f t="shared" si="9"/>
        <v>0</v>
      </c>
      <c r="H22" s="19">
        <f t="shared" si="9"/>
        <v>0</v>
      </c>
      <c r="I22" s="19">
        <f t="shared" si="9"/>
        <v>498</v>
      </c>
      <c r="J22" s="19">
        <f t="shared" si="9"/>
        <v>493</v>
      </c>
      <c r="K22" s="19">
        <f t="shared" si="9"/>
        <v>480</v>
      </c>
      <c r="L22" s="19">
        <f t="shared" si="9"/>
        <v>506</v>
      </c>
      <c r="M22" s="19">
        <f t="shared" si="9"/>
        <v>0</v>
      </c>
      <c r="N22" s="19">
        <f t="shared" si="9"/>
        <v>381</v>
      </c>
      <c r="O22" s="19">
        <f t="shared" si="9"/>
        <v>473</v>
      </c>
      <c r="P22" s="19">
        <f t="shared" si="9"/>
        <v>0</v>
      </c>
      <c r="Q22" s="19">
        <f t="shared" si="9"/>
        <v>473</v>
      </c>
      <c r="R22" s="19">
        <f t="shared" si="9"/>
        <v>460</v>
      </c>
      <c r="S22" s="19">
        <f t="shared" si="9"/>
        <v>408</v>
      </c>
      <c r="T22" s="19">
        <f t="shared" si="9"/>
        <v>0</v>
      </c>
      <c r="U22" s="19">
        <f t="shared" si="9"/>
        <v>408</v>
      </c>
      <c r="V22" s="19">
        <f t="shared" si="9"/>
        <v>463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592</v>
      </c>
      <c r="D23" s="19">
        <f>MAX(SUM(D$9:D$11),SUM(D$12:D$14))+$I$5*3</f>
        <v>452</v>
      </c>
      <c r="E23" s="19">
        <f t="shared" ref="E23:X23" si="10">MAX(SUM(E$9:E$11),SUM(E$12:E$14))+D18*3</f>
        <v>195</v>
      </c>
      <c r="F23" s="19">
        <f t="shared" si="10"/>
        <v>655</v>
      </c>
      <c r="G23" s="19">
        <f t="shared" si="10"/>
        <v>177</v>
      </c>
      <c r="H23" s="19">
        <f t="shared" si="10"/>
        <v>177</v>
      </c>
      <c r="I23" s="19">
        <f t="shared" si="10"/>
        <v>675</v>
      </c>
      <c r="J23" s="19">
        <f t="shared" si="10"/>
        <v>652</v>
      </c>
      <c r="K23" s="19">
        <f t="shared" si="10"/>
        <v>627</v>
      </c>
      <c r="L23" s="19">
        <f t="shared" si="10"/>
        <v>647</v>
      </c>
      <c r="M23" s="19">
        <f t="shared" si="10"/>
        <v>135</v>
      </c>
      <c r="N23" s="19">
        <f t="shared" si="10"/>
        <v>516</v>
      </c>
      <c r="O23" s="19">
        <f t="shared" si="10"/>
        <v>614</v>
      </c>
      <c r="P23" s="19">
        <f t="shared" si="10"/>
        <v>138</v>
      </c>
      <c r="Q23" s="19">
        <f t="shared" si="10"/>
        <v>611</v>
      </c>
      <c r="R23" s="19">
        <f t="shared" si="10"/>
        <v>598</v>
      </c>
      <c r="S23" s="19">
        <f t="shared" si="10"/>
        <v>543</v>
      </c>
      <c r="T23" s="19">
        <f t="shared" si="10"/>
        <v>138</v>
      </c>
      <c r="U23" s="19">
        <f t="shared" si="10"/>
        <v>546</v>
      </c>
      <c r="V23" s="19">
        <f t="shared" si="10"/>
        <v>604</v>
      </c>
      <c r="W23" s="19">
        <f t="shared" si="10"/>
        <v>141</v>
      </c>
      <c r="X23" s="19">
        <f t="shared" si="10"/>
        <v>141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174</v>
      </c>
      <c r="D27" s="107">
        <f>MAX($C20:D20)</f>
        <v>174</v>
      </c>
      <c r="E27" s="107">
        <f>MAX($C20:E20)</f>
        <v>174</v>
      </c>
      <c r="F27" s="107">
        <f>MAX($C20:F20)</f>
        <v>174</v>
      </c>
      <c r="G27" s="107">
        <f>MAX($C20:G20)</f>
        <v>174</v>
      </c>
      <c r="H27" s="107">
        <f>MAX($C20:H20)</f>
        <v>174</v>
      </c>
      <c r="I27" s="107">
        <f>MAX($C20:I20)</f>
        <v>195</v>
      </c>
      <c r="J27" s="107">
        <f>MAX($C20:J20)</f>
        <v>195</v>
      </c>
      <c r="K27" s="107">
        <f>MAX($C20:K20)</f>
        <v>195</v>
      </c>
      <c r="L27" s="107">
        <f>MAX($C20:L20)</f>
        <v>195</v>
      </c>
      <c r="M27" s="107">
        <f>MAX($C20:M20)</f>
        <v>195</v>
      </c>
      <c r="N27" s="107">
        <f>MAX($C20:N20)</f>
        <v>195</v>
      </c>
      <c r="O27" s="107">
        <f>MAX($C20:O20)</f>
        <v>195</v>
      </c>
      <c r="P27" s="107">
        <f>MAX($C20:P20)</f>
        <v>195</v>
      </c>
      <c r="Q27" s="107">
        <f>MAX($C20:Q20)</f>
        <v>195</v>
      </c>
      <c r="R27" s="107">
        <f>MAX($C20:R20)</f>
        <v>195</v>
      </c>
      <c r="S27" s="107">
        <f>MAX($C20:S20)</f>
        <v>195</v>
      </c>
      <c r="T27" s="107">
        <f>MAX($C20:T20)</f>
        <v>195</v>
      </c>
      <c r="U27" s="107">
        <f>MAX($C20:U20)</f>
        <v>195</v>
      </c>
      <c r="V27" s="107">
        <f>MAX($C20:V20)</f>
        <v>195</v>
      </c>
      <c r="W27" s="107">
        <f>MAX($C20:W20)</f>
        <v>195</v>
      </c>
      <c r="X27" s="107">
        <f>MAX($C20:X20)</f>
        <v>195</v>
      </c>
    </row>
    <row r="28" spans="1:25" ht="13.15" x14ac:dyDescent="0.4">
      <c r="A28">
        <v>22</v>
      </c>
      <c r="B28" s="151" t="s">
        <v>78</v>
      </c>
      <c r="C28" s="19">
        <f>MAX(C21)</f>
        <v>225</v>
      </c>
      <c r="D28" s="107">
        <f>MAX($C21:D21)</f>
        <v>225</v>
      </c>
      <c r="E28" s="107">
        <f>MAX($C21:E21)</f>
        <v>225</v>
      </c>
      <c r="F28" s="107">
        <f>MAX($C21:F21)</f>
        <v>236</v>
      </c>
      <c r="G28" s="107">
        <f>MAX($C21:G21)</f>
        <v>236</v>
      </c>
      <c r="H28" s="107">
        <f>MAX($C21:H21)</f>
        <v>236</v>
      </c>
      <c r="I28" s="107">
        <f>MAX($C21:I21)</f>
        <v>254</v>
      </c>
      <c r="J28" s="107">
        <f>MAX($C21:J21)</f>
        <v>254</v>
      </c>
      <c r="K28" s="107">
        <f>MAX($C21:K21)</f>
        <v>254</v>
      </c>
      <c r="L28" s="107">
        <f>MAX($C21:L21)</f>
        <v>254</v>
      </c>
      <c r="M28" s="107">
        <f>MAX($C21:M21)</f>
        <v>254</v>
      </c>
      <c r="N28" s="107">
        <f>MAX($C21:N21)</f>
        <v>254</v>
      </c>
      <c r="O28" s="107">
        <f>MAX($C21:O21)</f>
        <v>254</v>
      </c>
      <c r="P28" s="107">
        <f>MAX($C21:P21)</f>
        <v>254</v>
      </c>
      <c r="Q28" s="107">
        <f>MAX($C21:Q21)</f>
        <v>254</v>
      </c>
      <c r="R28" s="107">
        <f>MAX($C21:R21)</f>
        <v>254</v>
      </c>
      <c r="S28" s="107">
        <f>MAX($C21:S21)</f>
        <v>254</v>
      </c>
      <c r="T28" s="107">
        <f>MAX($C21:T21)</f>
        <v>254</v>
      </c>
      <c r="U28" s="107">
        <f>MAX($C21:U21)</f>
        <v>254</v>
      </c>
      <c r="V28" s="107">
        <f>MAX($C21:V21)</f>
        <v>254</v>
      </c>
      <c r="W28" s="107">
        <f>MAX($C21:W21)</f>
        <v>254</v>
      </c>
      <c r="X28" s="107">
        <f>MAX($C21:X21)</f>
        <v>254</v>
      </c>
    </row>
    <row r="29" spans="1:25" ht="26.25" x14ac:dyDescent="0.4">
      <c r="A29">
        <v>23</v>
      </c>
      <c r="B29" s="151" t="s">
        <v>79</v>
      </c>
      <c r="C29" s="19">
        <f>MAX(C22)</f>
        <v>439</v>
      </c>
      <c r="D29" s="107">
        <f>MAX($C22:D22)</f>
        <v>439</v>
      </c>
      <c r="E29" s="107">
        <f>MAX($C22:E22)</f>
        <v>439</v>
      </c>
      <c r="F29" s="107">
        <f>MAX($C22:F22)</f>
        <v>460</v>
      </c>
      <c r="G29" s="107">
        <f>MAX($C22:G22)</f>
        <v>460</v>
      </c>
      <c r="H29" s="107">
        <f>MAX($C22:H22)</f>
        <v>460</v>
      </c>
      <c r="I29" s="107">
        <f>MAX($C22:I22)</f>
        <v>498</v>
      </c>
      <c r="J29" s="107">
        <f>MAX($C22:J22)</f>
        <v>498</v>
      </c>
      <c r="K29" s="107">
        <f>MAX($C22:K22)</f>
        <v>498</v>
      </c>
      <c r="L29" s="107">
        <f>MAX($C22:L22)</f>
        <v>506</v>
      </c>
      <c r="M29" s="107">
        <f>MAX($C22:M22)</f>
        <v>506</v>
      </c>
      <c r="N29" s="107">
        <f>MAX($C22:N22)</f>
        <v>506</v>
      </c>
      <c r="O29" s="107">
        <f>MAX($C22:O22)</f>
        <v>506</v>
      </c>
      <c r="P29" s="107">
        <f>MAX($C22:P22)</f>
        <v>506</v>
      </c>
      <c r="Q29" s="107">
        <f>MAX($C22:Q22)</f>
        <v>506</v>
      </c>
      <c r="R29" s="107">
        <f>MAX($C22:R22)</f>
        <v>506</v>
      </c>
      <c r="S29" s="107">
        <f>MAX($C22:S22)</f>
        <v>506</v>
      </c>
      <c r="T29" s="107">
        <f>MAX($C22:T22)</f>
        <v>506</v>
      </c>
      <c r="U29" s="107">
        <f>MAX($C22:U22)</f>
        <v>506</v>
      </c>
      <c r="V29" s="107">
        <f>MAX($C22:V22)</f>
        <v>506</v>
      </c>
      <c r="W29" s="107">
        <f>MAX($C22:W22)</f>
        <v>506</v>
      </c>
      <c r="X29" s="107">
        <f>MAX($C22:X22)</f>
        <v>506</v>
      </c>
    </row>
    <row r="30" spans="1:25" ht="13.15" x14ac:dyDescent="0.4">
      <c r="A30">
        <v>24</v>
      </c>
      <c r="B30" s="151" t="s">
        <v>80</v>
      </c>
      <c r="C30" s="19">
        <f>MAX(C23)</f>
        <v>592</v>
      </c>
      <c r="D30" s="107">
        <f>MAX($C23:D23)</f>
        <v>592</v>
      </c>
      <c r="E30" s="107">
        <f>MAX($C23:E23)</f>
        <v>592</v>
      </c>
      <c r="F30" s="107">
        <f>MAX($C23:F23)</f>
        <v>655</v>
      </c>
      <c r="G30" s="107">
        <f>MAX($C23:G23)</f>
        <v>655</v>
      </c>
      <c r="H30" s="107">
        <f>MAX($C23:H23)</f>
        <v>655</v>
      </c>
      <c r="I30" s="107">
        <f>MAX($C23:I23)</f>
        <v>675</v>
      </c>
      <c r="J30" s="107">
        <f>MAX($C23:J23)</f>
        <v>675</v>
      </c>
      <c r="K30" s="107">
        <f>MAX($C23:K23)</f>
        <v>675</v>
      </c>
      <c r="L30" s="107">
        <f>MAX($C23:L23)</f>
        <v>675</v>
      </c>
      <c r="M30" s="107">
        <f>MAX($C23:M23)</f>
        <v>675</v>
      </c>
      <c r="N30" s="107">
        <f>MAX($C23:N23)</f>
        <v>675</v>
      </c>
      <c r="O30" s="107">
        <f>MAX($C23:O23)</f>
        <v>675</v>
      </c>
      <c r="P30" s="107">
        <f>MAX($C23:P23)</f>
        <v>675</v>
      </c>
      <c r="Q30" s="107">
        <f>MAX($C23:Q23)</f>
        <v>675</v>
      </c>
      <c r="R30" s="107">
        <f>MAX($C23:R23)</f>
        <v>675</v>
      </c>
      <c r="S30" s="107">
        <f>MAX($C23:S23)</f>
        <v>675</v>
      </c>
      <c r="T30" s="107">
        <f>MAX($C23:T23)</f>
        <v>675</v>
      </c>
      <c r="U30" s="107">
        <f>MAX($C23:U23)</f>
        <v>675</v>
      </c>
      <c r="V30" s="107">
        <f>MAX($C23:V23)</f>
        <v>675</v>
      </c>
      <c r="W30" s="107">
        <f>MAX($C23:W23)</f>
        <v>675</v>
      </c>
      <c r="X30" s="107">
        <f>MAX($C23:X23)</f>
        <v>675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233</v>
      </c>
      <c r="G2" s="203" t="s">
        <v>234</v>
      </c>
      <c r="H2" s="224">
        <v>2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45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>
        <v>60</v>
      </c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J9">
        <v>138</v>
      </c>
      <c r="K9">
        <v>142</v>
      </c>
      <c r="L9">
        <v>143</v>
      </c>
      <c r="M9">
        <v>178</v>
      </c>
      <c r="O9">
        <v>103</v>
      </c>
      <c r="P9">
        <v>148</v>
      </c>
      <c r="R9">
        <v>183</v>
      </c>
      <c r="S9">
        <v>124</v>
      </c>
      <c r="U9">
        <v>167</v>
      </c>
    </row>
    <row r="10" spans="1:24" ht="13.15" x14ac:dyDescent="0.4">
      <c r="A10">
        <v>4</v>
      </c>
      <c r="B10" s="3" t="s">
        <v>15</v>
      </c>
      <c r="J10">
        <v>179</v>
      </c>
      <c r="K10">
        <v>116</v>
      </c>
      <c r="L10">
        <v>134</v>
      </c>
      <c r="M10">
        <v>158</v>
      </c>
      <c r="O10">
        <v>158</v>
      </c>
      <c r="P10">
        <v>167</v>
      </c>
      <c r="S10">
        <v>128</v>
      </c>
      <c r="U10">
        <v>192</v>
      </c>
    </row>
    <row r="11" spans="1:24" ht="13.15" x14ac:dyDescent="0.4">
      <c r="A11">
        <v>5</v>
      </c>
      <c r="B11" s="3" t="s">
        <v>16</v>
      </c>
      <c r="J11">
        <v>176</v>
      </c>
      <c r="K11">
        <v>178</v>
      </c>
      <c r="M11">
        <v>145</v>
      </c>
      <c r="O11">
        <v>141</v>
      </c>
      <c r="P11">
        <v>139</v>
      </c>
      <c r="U11">
        <v>108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0</v>
      </c>
      <c r="E15" s="18">
        <f t="shared" si="2"/>
        <v>0</v>
      </c>
      <c r="F15" s="18">
        <f t="shared" si="2"/>
        <v>0</v>
      </c>
      <c r="G15" s="18">
        <f t="shared" si="2"/>
        <v>0</v>
      </c>
      <c r="H15" s="18">
        <f t="shared" si="2"/>
        <v>0</v>
      </c>
      <c r="I15" s="18">
        <f t="shared" si="2"/>
        <v>0</v>
      </c>
      <c r="J15" s="18">
        <f t="shared" si="2"/>
        <v>493</v>
      </c>
      <c r="K15" s="18">
        <f t="shared" si="2"/>
        <v>436</v>
      </c>
      <c r="L15" s="18">
        <f t="shared" si="2"/>
        <v>277</v>
      </c>
      <c r="M15" s="18">
        <f t="shared" si="2"/>
        <v>481</v>
      </c>
      <c r="N15" s="18">
        <f t="shared" si="2"/>
        <v>0</v>
      </c>
      <c r="O15" s="18">
        <f t="shared" si="2"/>
        <v>402</v>
      </c>
      <c r="P15" s="18">
        <f t="shared" si="2"/>
        <v>454</v>
      </c>
      <c r="Q15" s="18">
        <f t="shared" si="2"/>
        <v>0</v>
      </c>
      <c r="R15" s="18">
        <f t="shared" si="2"/>
        <v>183</v>
      </c>
      <c r="S15" s="18">
        <f t="shared" si="2"/>
        <v>252</v>
      </c>
      <c r="T15" s="18">
        <f t="shared" si="2"/>
        <v>0</v>
      </c>
      <c r="U15" s="18">
        <f t="shared" si="2"/>
        <v>467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0</v>
      </c>
      <c r="E16" s="19">
        <f t="shared" si="3"/>
        <v>0</v>
      </c>
      <c r="F16" s="19">
        <f t="shared" si="3"/>
        <v>0</v>
      </c>
      <c r="G16" s="19">
        <f t="shared" si="3"/>
        <v>0</v>
      </c>
      <c r="H16" s="19">
        <f t="shared" si="3"/>
        <v>0</v>
      </c>
      <c r="I16" s="19">
        <f t="shared" si="3"/>
        <v>0</v>
      </c>
      <c r="J16" s="19">
        <f t="shared" si="3"/>
        <v>493</v>
      </c>
      <c r="K16" s="19">
        <f t="shared" si="3"/>
        <v>929</v>
      </c>
      <c r="L16" s="19">
        <f t="shared" si="3"/>
        <v>1206</v>
      </c>
      <c r="M16" s="19">
        <f t="shared" si="3"/>
        <v>1687</v>
      </c>
      <c r="N16" s="19">
        <f t="shared" si="3"/>
        <v>1687</v>
      </c>
      <c r="O16" s="19">
        <f t="shared" si="3"/>
        <v>2089</v>
      </c>
      <c r="P16" s="19">
        <f t="shared" si="3"/>
        <v>2543</v>
      </c>
      <c r="Q16" s="19">
        <f t="shared" si="3"/>
        <v>2543</v>
      </c>
      <c r="R16" s="19">
        <f t="shared" si="3"/>
        <v>2726</v>
      </c>
      <c r="S16" s="19">
        <f t="shared" si="3"/>
        <v>2978</v>
      </c>
      <c r="T16" s="19">
        <f t="shared" si="3"/>
        <v>2978</v>
      </c>
      <c r="U16" s="19">
        <f t="shared" si="3"/>
        <v>3445</v>
      </c>
      <c r="V16" s="19">
        <f t="shared" si="3"/>
        <v>3445</v>
      </c>
      <c r="W16" s="19">
        <f t="shared" si="3"/>
        <v>3445</v>
      </c>
      <c r="X16" s="19">
        <f t="shared" si="3"/>
        <v>3445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 t="e">
        <f t="shared" si="4"/>
        <v>#DIV/0!</v>
      </c>
      <c r="E17" s="20" t="e">
        <f t="shared" si="4"/>
        <v>#DIV/0!</v>
      </c>
      <c r="F17" s="20" t="e">
        <f t="shared" si="4"/>
        <v>#DIV/0!</v>
      </c>
      <c r="G17" s="20" t="e">
        <f t="shared" si="4"/>
        <v>#DIV/0!</v>
      </c>
      <c r="H17" s="20" t="e">
        <f t="shared" si="4"/>
        <v>#DIV/0!</v>
      </c>
      <c r="I17" s="20" t="e">
        <f t="shared" si="4"/>
        <v>#DIV/0!</v>
      </c>
      <c r="J17" s="20">
        <f t="shared" si="4"/>
        <v>164.33333333333334</v>
      </c>
      <c r="K17" s="20">
        <f t="shared" si="4"/>
        <v>154.83333333333334</v>
      </c>
      <c r="L17" s="20">
        <f t="shared" si="4"/>
        <v>150.75</v>
      </c>
      <c r="M17" s="20">
        <f t="shared" si="4"/>
        <v>153.36363636363637</v>
      </c>
      <c r="N17" s="20">
        <f t="shared" si="4"/>
        <v>153.36363636363637</v>
      </c>
      <c r="O17" s="20">
        <f t="shared" si="4"/>
        <v>149.21428571428572</v>
      </c>
      <c r="P17" s="20">
        <f t="shared" si="4"/>
        <v>149.58823529411765</v>
      </c>
      <c r="Q17" s="20">
        <f t="shared" si="4"/>
        <v>149.58823529411765</v>
      </c>
      <c r="R17" s="20">
        <f t="shared" si="4"/>
        <v>151.44444444444446</v>
      </c>
      <c r="S17" s="20">
        <f t="shared" si="4"/>
        <v>148.9</v>
      </c>
      <c r="T17" s="20">
        <f t="shared" si="4"/>
        <v>148.9</v>
      </c>
      <c r="U17" s="20">
        <f t="shared" si="4"/>
        <v>149.78260869565219</v>
      </c>
      <c r="V17" s="20">
        <f t="shared" si="4"/>
        <v>149.78260869565219</v>
      </c>
      <c r="W17" s="20">
        <f t="shared" si="4"/>
        <v>149.78260869565219</v>
      </c>
      <c r="X17" s="20">
        <f t="shared" si="4"/>
        <v>149.78260869565219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 t="e">
        <f t="shared" si="5"/>
        <v>#DIV/0!</v>
      </c>
      <c r="E18" s="19" t="e">
        <f t="shared" si="5"/>
        <v>#DIV/0!</v>
      </c>
      <c r="F18" s="19" t="e">
        <f t="shared" si="5"/>
        <v>#DIV/0!</v>
      </c>
      <c r="G18" s="19" t="e">
        <f t="shared" si="5"/>
        <v>#DIV/0!</v>
      </c>
      <c r="H18" s="19" t="e">
        <f t="shared" si="5"/>
        <v>#DIV/0!</v>
      </c>
      <c r="I18" s="19" t="e">
        <f t="shared" si="5"/>
        <v>#DIV/0!</v>
      </c>
      <c r="J18" s="19">
        <f t="shared" si="5"/>
        <v>32</v>
      </c>
      <c r="K18" s="19">
        <f t="shared" si="5"/>
        <v>41</v>
      </c>
      <c r="L18" s="19">
        <f t="shared" si="5"/>
        <v>44</v>
      </c>
      <c r="M18" s="19">
        <f t="shared" si="5"/>
        <v>42</v>
      </c>
      <c r="N18" s="19">
        <f t="shared" si="5"/>
        <v>42</v>
      </c>
      <c r="O18" s="19">
        <f t="shared" si="5"/>
        <v>46</v>
      </c>
      <c r="P18" s="19">
        <f t="shared" si="5"/>
        <v>45</v>
      </c>
      <c r="Q18" s="19">
        <f t="shared" si="5"/>
        <v>45</v>
      </c>
      <c r="R18" s="19">
        <f t="shared" si="5"/>
        <v>44</v>
      </c>
      <c r="S18" s="19">
        <f t="shared" si="5"/>
        <v>46</v>
      </c>
      <c r="T18" s="19">
        <f t="shared" si="5"/>
        <v>46</v>
      </c>
      <c r="U18" s="19">
        <f t="shared" si="5"/>
        <v>45</v>
      </c>
      <c r="V18" s="19">
        <f t="shared" si="5"/>
        <v>45</v>
      </c>
      <c r="W18" s="19">
        <f t="shared" si="5"/>
        <v>45</v>
      </c>
      <c r="X18" s="19">
        <f t="shared" si="5"/>
        <v>45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0</v>
      </c>
      <c r="E19" s="19">
        <f t="shared" si="6"/>
        <v>0</v>
      </c>
      <c r="F19" s="19">
        <f t="shared" si="6"/>
        <v>0</v>
      </c>
      <c r="G19" s="19">
        <f t="shared" si="6"/>
        <v>0</v>
      </c>
      <c r="H19" s="19">
        <f t="shared" si="6"/>
        <v>0</v>
      </c>
      <c r="I19" s="19">
        <f t="shared" si="6"/>
        <v>0</v>
      </c>
      <c r="J19" s="19">
        <f t="shared" si="6"/>
        <v>3</v>
      </c>
      <c r="K19" s="19">
        <f t="shared" si="6"/>
        <v>6</v>
      </c>
      <c r="L19" s="19">
        <f t="shared" si="6"/>
        <v>8</v>
      </c>
      <c r="M19" s="19">
        <f t="shared" si="6"/>
        <v>11</v>
      </c>
      <c r="N19" s="19">
        <f t="shared" si="6"/>
        <v>11</v>
      </c>
      <c r="O19" s="19">
        <f t="shared" si="6"/>
        <v>14</v>
      </c>
      <c r="P19" s="19">
        <f t="shared" si="6"/>
        <v>17</v>
      </c>
      <c r="Q19" s="19">
        <f t="shared" si="6"/>
        <v>17</v>
      </c>
      <c r="R19" s="19">
        <f t="shared" si="6"/>
        <v>18</v>
      </c>
      <c r="S19" s="19">
        <f t="shared" si="6"/>
        <v>20</v>
      </c>
      <c r="T19" s="19">
        <f t="shared" si="6"/>
        <v>20</v>
      </c>
      <c r="U19" s="19">
        <f t="shared" si="6"/>
        <v>23</v>
      </c>
      <c r="V19" s="19">
        <f t="shared" si="6"/>
        <v>23</v>
      </c>
      <c r="W19" s="19">
        <f t="shared" si="6"/>
        <v>23</v>
      </c>
      <c r="X19" s="19">
        <f t="shared" si="6"/>
        <v>23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0</v>
      </c>
      <c r="E20" s="19">
        <f t="shared" si="7"/>
        <v>0</v>
      </c>
      <c r="F20" s="19">
        <f t="shared" si="7"/>
        <v>0</v>
      </c>
      <c r="G20" s="19">
        <f t="shared" si="7"/>
        <v>0</v>
      </c>
      <c r="H20" s="19">
        <f t="shared" si="7"/>
        <v>0</v>
      </c>
      <c r="I20" s="19">
        <f t="shared" si="7"/>
        <v>0</v>
      </c>
      <c r="J20" s="19">
        <f t="shared" si="7"/>
        <v>179</v>
      </c>
      <c r="K20" s="19">
        <f t="shared" si="7"/>
        <v>178</v>
      </c>
      <c r="L20" s="19">
        <f t="shared" si="7"/>
        <v>143</v>
      </c>
      <c r="M20" s="19">
        <f t="shared" si="7"/>
        <v>178</v>
      </c>
      <c r="N20" s="19">
        <f t="shared" si="7"/>
        <v>0</v>
      </c>
      <c r="O20" s="19">
        <f t="shared" si="7"/>
        <v>158</v>
      </c>
      <c r="P20" s="19">
        <f t="shared" si="7"/>
        <v>167</v>
      </c>
      <c r="Q20" s="19">
        <f t="shared" si="7"/>
        <v>0</v>
      </c>
      <c r="R20" s="19">
        <f t="shared" si="7"/>
        <v>183</v>
      </c>
      <c r="S20" s="19">
        <f t="shared" si="7"/>
        <v>128</v>
      </c>
      <c r="T20" s="19">
        <f t="shared" si="7"/>
        <v>0</v>
      </c>
      <c r="U20" s="19">
        <f t="shared" si="7"/>
        <v>192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 t="shared" ref="C21:K21" si="8">MAX(C$9:C$14)+$I$5</f>
        <v>60</v>
      </c>
      <c r="D21" s="19">
        <f t="shared" si="8"/>
        <v>60</v>
      </c>
      <c r="E21" s="19">
        <f t="shared" si="8"/>
        <v>60</v>
      </c>
      <c r="F21" s="19">
        <f t="shared" si="8"/>
        <v>60</v>
      </c>
      <c r="G21" s="19">
        <f t="shared" si="8"/>
        <v>60</v>
      </c>
      <c r="H21" s="19">
        <f t="shared" si="8"/>
        <v>60</v>
      </c>
      <c r="I21" s="19">
        <f t="shared" si="8"/>
        <v>60</v>
      </c>
      <c r="J21" s="19">
        <f t="shared" si="8"/>
        <v>239</v>
      </c>
      <c r="K21" s="19">
        <f t="shared" si="8"/>
        <v>238</v>
      </c>
      <c r="L21" s="19">
        <f t="shared" ref="L21:X21" si="9">MAX(L$9:L$14)+K18</f>
        <v>184</v>
      </c>
      <c r="M21" s="19">
        <f t="shared" si="9"/>
        <v>222</v>
      </c>
      <c r="N21" s="19">
        <f t="shared" si="9"/>
        <v>42</v>
      </c>
      <c r="O21" s="19">
        <f t="shared" si="9"/>
        <v>200</v>
      </c>
      <c r="P21" s="19">
        <f t="shared" si="9"/>
        <v>213</v>
      </c>
      <c r="Q21" s="19">
        <f t="shared" si="9"/>
        <v>45</v>
      </c>
      <c r="R21" s="19">
        <f t="shared" si="9"/>
        <v>228</v>
      </c>
      <c r="S21" s="19">
        <f t="shared" si="9"/>
        <v>172</v>
      </c>
      <c r="T21" s="19">
        <f t="shared" si="9"/>
        <v>46</v>
      </c>
      <c r="U21" s="19">
        <f t="shared" si="9"/>
        <v>238</v>
      </c>
      <c r="V21" s="19">
        <f t="shared" si="9"/>
        <v>45</v>
      </c>
      <c r="W21" s="19">
        <f t="shared" si="9"/>
        <v>45</v>
      </c>
      <c r="X21" s="19">
        <f t="shared" si="9"/>
        <v>45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10">MAX(SUM(D$9:D$11),SUM(D$12:D$14))</f>
        <v>0</v>
      </c>
      <c r="E22" s="19">
        <f t="shared" si="10"/>
        <v>0</v>
      </c>
      <c r="F22" s="19">
        <f t="shared" si="10"/>
        <v>0</v>
      </c>
      <c r="G22" s="19">
        <f t="shared" si="10"/>
        <v>0</v>
      </c>
      <c r="H22" s="19">
        <f t="shared" si="10"/>
        <v>0</v>
      </c>
      <c r="I22" s="19">
        <f t="shared" si="10"/>
        <v>0</v>
      </c>
      <c r="J22" s="19">
        <f t="shared" si="10"/>
        <v>493</v>
      </c>
      <c r="K22" s="19">
        <f t="shared" si="10"/>
        <v>436</v>
      </c>
      <c r="L22" s="19">
        <f t="shared" si="10"/>
        <v>277</v>
      </c>
      <c r="M22" s="19">
        <f t="shared" si="10"/>
        <v>481</v>
      </c>
      <c r="N22" s="19">
        <f t="shared" si="10"/>
        <v>0</v>
      </c>
      <c r="O22" s="19">
        <f t="shared" si="10"/>
        <v>402</v>
      </c>
      <c r="P22" s="19">
        <f t="shared" si="10"/>
        <v>454</v>
      </c>
      <c r="Q22" s="19">
        <f t="shared" si="10"/>
        <v>0</v>
      </c>
      <c r="R22" s="19">
        <f t="shared" si="10"/>
        <v>183</v>
      </c>
      <c r="S22" s="19">
        <f t="shared" si="10"/>
        <v>252</v>
      </c>
      <c r="T22" s="19">
        <f t="shared" si="10"/>
        <v>0</v>
      </c>
      <c r="U22" s="19">
        <f t="shared" si="10"/>
        <v>467</v>
      </c>
      <c r="V22" s="19">
        <f t="shared" si="10"/>
        <v>0</v>
      </c>
      <c r="W22" s="19">
        <f t="shared" si="10"/>
        <v>0</v>
      </c>
      <c r="X22" s="19">
        <f t="shared" si="10"/>
        <v>0</v>
      </c>
    </row>
    <row r="23" spans="1:25" ht="26.25" x14ac:dyDescent="0.4">
      <c r="A23">
        <v>17</v>
      </c>
      <c r="B23" s="22" t="s">
        <v>19</v>
      </c>
      <c r="C23" s="19">
        <f>+C22+$I$5*3</f>
        <v>180</v>
      </c>
      <c r="D23" s="19">
        <f t="shared" ref="D23:K23" si="11">MAX(SUM(D$9:D$11),SUM(D$12:D$14))+$I$5*3</f>
        <v>180</v>
      </c>
      <c r="E23" s="19">
        <f t="shared" si="11"/>
        <v>180</v>
      </c>
      <c r="F23" s="19">
        <f t="shared" si="11"/>
        <v>180</v>
      </c>
      <c r="G23" s="19">
        <f t="shared" si="11"/>
        <v>180</v>
      </c>
      <c r="H23" s="19">
        <f t="shared" si="11"/>
        <v>180</v>
      </c>
      <c r="I23" s="19">
        <f t="shared" si="11"/>
        <v>180</v>
      </c>
      <c r="J23" s="19">
        <f t="shared" si="11"/>
        <v>673</v>
      </c>
      <c r="K23" s="19">
        <f t="shared" si="11"/>
        <v>616</v>
      </c>
      <c r="L23" s="19">
        <f t="shared" ref="L23:X23" si="12">MAX(SUM(L$9:L$11),SUM(L$12:L$14))+K18*3</f>
        <v>400</v>
      </c>
      <c r="M23" s="19">
        <f t="shared" si="12"/>
        <v>613</v>
      </c>
      <c r="N23" s="19">
        <f t="shared" si="12"/>
        <v>126</v>
      </c>
      <c r="O23" s="19">
        <f t="shared" si="12"/>
        <v>528</v>
      </c>
      <c r="P23" s="19">
        <f t="shared" si="12"/>
        <v>592</v>
      </c>
      <c r="Q23" s="19">
        <f t="shared" si="12"/>
        <v>135</v>
      </c>
      <c r="R23" s="19">
        <f t="shared" si="12"/>
        <v>318</v>
      </c>
      <c r="S23" s="19">
        <f t="shared" si="12"/>
        <v>384</v>
      </c>
      <c r="T23" s="19">
        <f t="shared" si="12"/>
        <v>138</v>
      </c>
      <c r="U23" s="19">
        <f t="shared" si="12"/>
        <v>605</v>
      </c>
      <c r="V23" s="19">
        <f t="shared" si="12"/>
        <v>135</v>
      </c>
      <c r="W23" s="19">
        <f t="shared" si="12"/>
        <v>135</v>
      </c>
      <c r="X23" s="19">
        <f t="shared" si="12"/>
        <v>135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0</v>
      </c>
      <c r="E27" s="107">
        <f>MAX($C20:E20)</f>
        <v>0</v>
      </c>
      <c r="F27" s="107">
        <f>MAX($C20:F20)</f>
        <v>0</v>
      </c>
      <c r="G27" s="107">
        <f>MAX($C20:G20)</f>
        <v>0</v>
      </c>
      <c r="H27" s="107">
        <f>MAX($C20:H20)</f>
        <v>0</v>
      </c>
      <c r="I27" s="107">
        <f>MAX($C20:I20)</f>
        <v>0</v>
      </c>
      <c r="J27" s="107">
        <f>MAX($C20:J20)</f>
        <v>179</v>
      </c>
      <c r="K27" s="107">
        <f>MAX($C20:K20)</f>
        <v>179</v>
      </c>
      <c r="L27" s="107">
        <f>MAX($C20:L20)</f>
        <v>179</v>
      </c>
      <c r="M27" s="107">
        <f>MAX($C20:M20)</f>
        <v>179</v>
      </c>
      <c r="N27" s="107">
        <f>MAX($C20:N20)</f>
        <v>179</v>
      </c>
      <c r="O27" s="107">
        <f>MAX($C20:O20)</f>
        <v>179</v>
      </c>
      <c r="P27" s="107">
        <f>MAX($C20:P20)</f>
        <v>179</v>
      </c>
      <c r="Q27" s="107">
        <f>MAX($C20:Q20)</f>
        <v>179</v>
      </c>
      <c r="R27" s="107">
        <f>MAX($C20:R20)</f>
        <v>183</v>
      </c>
      <c r="S27" s="107">
        <f>MAX($C20:S20)</f>
        <v>183</v>
      </c>
      <c r="T27" s="107">
        <f>MAX($C20:T20)</f>
        <v>183</v>
      </c>
      <c r="U27" s="107">
        <f>MAX($C20:U20)</f>
        <v>192</v>
      </c>
      <c r="V27" s="107">
        <f>MAX($C20:V20)</f>
        <v>192</v>
      </c>
      <c r="W27" s="107">
        <f>MAX($C20:W20)</f>
        <v>192</v>
      </c>
      <c r="X27" s="107">
        <f>MAX($C20:X20)</f>
        <v>192</v>
      </c>
    </row>
    <row r="28" spans="1:25" ht="13.15" x14ac:dyDescent="0.4">
      <c r="A28">
        <v>22</v>
      </c>
      <c r="B28" s="151" t="s">
        <v>78</v>
      </c>
      <c r="C28" s="19">
        <f>MAX(C21)</f>
        <v>60</v>
      </c>
      <c r="D28" s="107">
        <f>MAX($C21:D21)</f>
        <v>60</v>
      </c>
      <c r="E28" s="107">
        <f>MAX($C21:E21)</f>
        <v>60</v>
      </c>
      <c r="F28" s="107">
        <f>MAX($C21:F21)</f>
        <v>60</v>
      </c>
      <c r="G28" s="107">
        <f>MAX($C21:G21)</f>
        <v>60</v>
      </c>
      <c r="H28" s="107">
        <f>MAX($C21:H21)</f>
        <v>60</v>
      </c>
      <c r="I28" s="107">
        <f>MAX($C21:I21)</f>
        <v>60</v>
      </c>
      <c r="J28" s="107">
        <f>MAX($C21:J21)</f>
        <v>239</v>
      </c>
      <c r="K28" s="107">
        <f>MAX($C21:K21)</f>
        <v>239</v>
      </c>
      <c r="L28" s="107">
        <f>MAX($C21:L21)</f>
        <v>239</v>
      </c>
      <c r="M28" s="107">
        <f>MAX($C21:M21)</f>
        <v>239</v>
      </c>
      <c r="N28" s="107">
        <f>MAX($C21:N21)</f>
        <v>239</v>
      </c>
      <c r="O28" s="107">
        <f>MAX($C21:O21)</f>
        <v>239</v>
      </c>
      <c r="P28" s="107">
        <f>MAX($C21:P21)</f>
        <v>239</v>
      </c>
      <c r="Q28" s="107">
        <f>MAX($C21:Q21)</f>
        <v>239</v>
      </c>
      <c r="R28" s="107">
        <f>MAX($C21:R21)</f>
        <v>239</v>
      </c>
      <c r="S28" s="107">
        <f>MAX($C21:S21)</f>
        <v>239</v>
      </c>
      <c r="T28" s="107">
        <f>MAX($C21:T21)</f>
        <v>239</v>
      </c>
      <c r="U28" s="107">
        <f>MAX($C21:U21)</f>
        <v>239</v>
      </c>
      <c r="V28" s="107">
        <f>MAX($C21:V21)</f>
        <v>239</v>
      </c>
      <c r="W28" s="107">
        <f>MAX($C21:W21)</f>
        <v>239</v>
      </c>
      <c r="X28" s="107">
        <f>MAX($C21:X21)</f>
        <v>239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0</v>
      </c>
      <c r="E29" s="107">
        <f>MAX($C22:E22)</f>
        <v>0</v>
      </c>
      <c r="F29" s="107">
        <f>MAX($C22:F22)</f>
        <v>0</v>
      </c>
      <c r="G29" s="107">
        <f>MAX($C22:G22)</f>
        <v>0</v>
      </c>
      <c r="H29" s="107">
        <f>MAX($C22:H22)</f>
        <v>0</v>
      </c>
      <c r="I29" s="107">
        <f>MAX($C22:I22)</f>
        <v>0</v>
      </c>
      <c r="J29" s="107">
        <f>MAX($C22:J22)</f>
        <v>493</v>
      </c>
      <c r="K29" s="107">
        <f>MAX($C22:K22)</f>
        <v>493</v>
      </c>
      <c r="L29" s="107">
        <f>MAX($C22:L22)</f>
        <v>493</v>
      </c>
      <c r="M29" s="107">
        <f>MAX($C22:M22)</f>
        <v>493</v>
      </c>
      <c r="N29" s="107">
        <f>MAX($C22:N22)</f>
        <v>493</v>
      </c>
      <c r="O29" s="107">
        <f>MAX($C22:O22)</f>
        <v>493</v>
      </c>
      <c r="P29" s="107">
        <f>MAX($C22:P22)</f>
        <v>493</v>
      </c>
      <c r="Q29" s="107">
        <f>MAX($C22:Q22)</f>
        <v>493</v>
      </c>
      <c r="R29" s="107">
        <f>MAX($C22:R22)</f>
        <v>493</v>
      </c>
      <c r="S29" s="107">
        <f>MAX($C22:S22)</f>
        <v>493</v>
      </c>
      <c r="T29" s="107">
        <f>MAX($C22:T22)</f>
        <v>493</v>
      </c>
      <c r="U29" s="107">
        <f>MAX($C22:U22)</f>
        <v>493</v>
      </c>
      <c r="V29" s="107">
        <f>MAX($C22:V22)</f>
        <v>493</v>
      </c>
      <c r="W29" s="107">
        <f>MAX($C22:W22)</f>
        <v>493</v>
      </c>
      <c r="X29" s="107">
        <f>MAX($C22:X22)</f>
        <v>493</v>
      </c>
    </row>
    <row r="30" spans="1:25" ht="13.15" x14ac:dyDescent="0.4">
      <c r="A30">
        <v>24</v>
      </c>
      <c r="B30" s="151" t="s">
        <v>80</v>
      </c>
      <c r="C30" s="19">
        <f>MAX(C23)</f>
        <v>180</v>
      </c>
      <c r="D30" s="107">
        <f>MAX($C23:D23)</f>
        <v>180</v>
      </c>
      <c r="E30" s="107">
        <f>MAX($C23:E23)</f>
        <v>180</v>
      </c>
      <c r="F30" s="107">
        <f>MAX($C23:F23)</f>
        <v>180</v>
      </c>
      <c r="G30" s="107">
        <f>MAX($C23:G23)</f>
        <v>180</v>
      </c>
      <c r="H30" s="107">
        <f>MAX($C23:H23)</f>
        <v>180</v>
      </c>
      <c r="I30" s="107">
        <f>MAX($C23:I23)</f>
        <v>180</v>
      </c>
      <c r="J30" s="107">
        <f>MAX($C23:J23)</f>
        <v>673</v>
      </c>
      <c r="K30" s="107">
        <f>MAX($C23:K23)</f>
        <v>673</v>
      </c>
      <c r="L30" s="107">
        <f>MAX($C23:L23)</f>
        <v>673</v>
      </c>
      <c r="M30" s="107">
        <f>MAX($C23:M23)</f>
        <v>673</v>
      </c>
      <c r="N30" s="107">
        <f>MAX($C23:N23)</f>
        <v>673</v>
      </c>
      <c r="O30" s="107">
        <f>MAX($C23:O23)</f>
        <v>673</v>
      </c>
      <c r="P30" s="107">
        <f>MAX($C23:P23)</f>
        <v>673</v>
      </c>
      <c r="Q30" s="107">
        <f>MAX($C23:Q23)</f>
        <v>673</v>
      </c>
      <c r="R30" s="107">
        <f>MAX($C23:R23)</f>
        <v>673</v>
      </c>
      <c r="S30" s="107">
        <f>MAX($C23:S23)</f>
        <v>673</v>
      </c>
      <c r="T30" s="107">
        <f>MAX($C23:T23)</f>
        <v>673</v>
      </c>
      <c r="U30" s="107">
        <f>MAX($C23:U23)</f>
        <v>673</v>
      </c>
      <c r="V30" s="107">
        <f>MAX($C23:V23)</f>
        <v>673</v>
      </c>
      <c r="W30" s="107">
        <f>MAX($C23:W23)</f>
        <v>673</v>
      </c>
      <c r="X30" s="107">
        <f>MAX($C23:X23)</f>
        <v>673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Y40"/>
  <sheetViews>
    <sheetView topLeftCell="B1" zoomScale="90" zoomScaleNormal="90" workbookViewId="0">
      <selection activeCell="W9" sqref="W9"/>
    </sheetView>
  </sheetViews>
  <sheetFormatPr defaultRowHeight="12.75" x14ac:dyDescent="0.35"/>
  <cols>
    <col min="1" max="1" width="3.6640625" customWidth="1"/>
    <col min="2" max="2" width="12.6640625" customWidth="1"/>
    <col min="3" max="3" width="10.1328125" bestFit="1" customWidth="1"/>
    <col min="18" max="18" width="9.33203125" bestFit="1" customWidth="1"/>
  </cols>
  <sheetData>
    <row r="1" spans="1:24" ht="13.15" x14ac:dyDescent="0.4">
      <c r="B1" s="1" t="s">
        <v>0</v>
      </c>
      <c r="F1" s="199" t="s">
        <v>2</v>
      </c>
      <c r="G1" s="200"/>
      <c r="H1" s="225" t="s">
        <v>3</v>
      </c>
      <c r="I1" s="7"/>
    </row>
    <row r="2" spans="1:24" ht="13.15" x14ac:dyDescent="0.4">
      <c r="B2" s="1" t="s">
        <v>1</v>
      </c>
      <c r="F2" s="239" t="s">
        <v>316</v>
      </c>
      <c r="G2" s="203" t="s">
        <v>317</v>
      </c>
      <c r="H2" s="224">
        <v>4</v>
      </c>
      <c r="I2" s="10"/>
    </row>
    <row r="3" spans="1:24" ht="13.15" x14ac:dyDescent="0.4">
      <c r="B3" s="1" t="str">
        <f>+'wkly alpha'!A2</f>
        <v>2016/2017 Season</v>
      </c>
      <c r="F3" s="8" t="s">
        <v>12</v>
      </c>
      <c r="G3" s="9"/>
      <c r="H3" s="9"/>
      <c r="I3" s="10"/>
    </row>
    <row r="4" spans="1:24" ht="13.15" x14ac:dyDescent="0.4">
      <c r="D4">
        <v>200</v>
      </c>
      <c r="F4" s="8" t="s">
        <v>10</v>
      </c>
      <c r="G4" s="9"/>
      <c r="H4" s="9"/>
      <c r="I4" s="98">
        <f>+X18</f>
        <v>88</v>
      </c>
    </row>
    <row r="5" spans="1:24" ht="13.5" thickBot="1" x14ac:dyDescent="0.45">
      <c r="D5" s="17">
        <v>0.9</v>
      </c>
      <c r="F5" s="11" t="s">
        <v>11</v>
      </c>
      <c r="G5" s="12"/>
      <c r="H5" s="12"/>
      <c r="I5" s="97"/>
    </row>
    <row r="7" spans="1:24" ht="13.15" x14ac:dyDescent="0.4">
      <c r="A7">
        <v>1</v>
      </c>
      <c r="B7" s="3" t="s">
        <v>4</v>
      </c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  <c r="O7" s="14">
        <v>13</v>
      </c>
      <c r="P7" s="14">
        <v>14</v>
      </c>
      <c r="Q7" s="14">
        <v>15</v>
      </c>
      <c r="R7" s="14">
        <v>16</v>
      </c>
      <c r="S7" s="14">
        <v>17</v>
      </c>
      <c r="T7" s="14">
        <v>18</v>
      </c>
      <c r="U7" s="14">
        <v>19</v>
      </c>
      <c r="V7" s="14">
        <v>20</v>
      </c>
      <c r="W7" s="14">
        <v>21</v>
      </c>
      <c r="X7" s="14">
        <v>22</v>
      </c>
    </row>
    <row r="8" spans="1:24" ht="13.15" x14ac:dyDescent="0.4">
      <c r="A8">
        <v>2</v>
      </c>
      <c r="B8" s="3" t="s">
        <v>5</v>
      </c>
      <c r="C8" s="15">
        <f>+'wkly alpha'!B5</f>
        <v>42648</v>
      </c>
      <c r="D8" s="15">
        <f t="shared" ref="D8:I8" si="0">+C8+7</f>
        <v>42655</v>
      </c>
      <c r="E8" s="15">
        <f t="shared" si="0"/>
        <v>42662</v>
      </c>
      <c r="F8" s="15">
        <f t="shared" si="0"/>
        <v>42669</v>
      </c>
      <c r="G8" s="15">
        <f t="shared" si="0"/>
        <v>42676</v>
      </c>
      <c r="H8" s="15">
        <f t="shared" si="0"/>
        <v>42683</v>
      </c>
      <c r="I8" s="15">
        <f t="shared" si="0"/>
        <v>42690</v>
      </c>
      <c r="J8" s="15">
        <f>+I8+14</f>
        <v>42704</v>
      </c>
      <c r="K8" s="15">
        <f>+J8+7</f>
        <v>42711</v>
      </c>
      <c r="L8" s="15">
        <f>+K8+7</f>
        <v>42718</v>
      </c>
      <c r="M8" s="15">
        <f>+L8+7</f>
        <v>42725</v>
      </c>
      <c r="N8" s="15">
        <f>+M8+14</f>
        <v>42739</v>
      </c>
      <c r="O8" s="15">
        <f t="shared" ref="O8:T8" si="1">+N8+7</f>
        <v>42746</v>
      </c>
      <c r="P8" s="15">
        <f t="shared" si="1"/>
        <v>42753</v>
      </c>
      <c r="Q8" s="15">
        <f t="shared" si="1"/>
        <v>42760</v>
      </c>
      <c r="R8" s="15">
        <f t="shared" si="1"/>
        <v>42767</v>
      </c>
      <c r="S8" s="15">
        <f t="shared" si="1"/>
        <v>42774</v>
      </c>
      <c r="T8" s="15">
        <f t="shared" si="1"/>
        <v>42781</v>
      </c>
      <c r="U8" s="15">
        <f>+T8+14</f>
        <v>42795</v>
      </c>
      <c r="V8" s="15">
        <f>+U8+7</f>
        <v>42802</v>
      </c>
      <c r="W8" s="15">
        <f>+V8+7</f>
        <v>42809</v>
      </c>
      <c r="X8" s="15">
        <f>+W8+7</f>
        <v>42816</v>
      </c>
    </row>
    <row r="9" spans="1:24" ht="13.15" x14ac:dyDescent="0.4">
      <c r="A9">
        <v>3</v>
      </c>
      <c r="B9" s="3" t="s">
        <v>14</v>
      </c>
      <c r="D9">
        <v>125</v>
      </c>
      <c r="E9">
        <v>105</v>
      </c>
      <c r="F9">
        <v>109</v>
      </c>
      <c r="G9">
        <v>109</v>
      </c>
      <c r="H9">
        <v>75</v>
      </c>
      <c r="I9">
        <v>88</v>
      </c>
      <c r="J9">
        <v>132</v>
      </c>
      <c r="K9">
        <v>136</v>
      </c>
      <c r="L9">
        <v>108</v>
      </c>
    </row>
    <row r="10" spans="1:24" ht="13.15" x14ac:dyDescent="0.4">
      <c r="A10">
        <v>4</v>
      </c>
      <c r="B10" s="3" t="s">
        <v>15</v>
      </c>
      <c r="D10">
        <v>116</v>
      </c>
      <c r="E10">
        <v>106</v>
      </c>
      <c r="F10">
        <v>91</v>
      </c>
      <c r="G10">
        <v>129</v>
      </c>
      <c r="I10">
        <v>89</v>
      </c>
      <c r="J10">
        <v>105</v>
      </c>
      <c r="K10">
        <v>93</v>
      </c>
      <c r="L10">
        <v>84</v>
      </c>
    </row>
    <row r="11" spans="1:24" ht="13.15" x14ac:dyDescent="0.4">
      <c r="A11">
        <v>5</v>
      </c>
      <c r="B11" s="3" t="s">
        <v>16</v>
      </c>
      <c r="D11">
        <v>86</v>
      </c>
      <c r="E11">
        <v>101</v>
      </c>
      <c r="F11">
        <v>86</v>
      </c>
      <c r="G11">
        <v>118</v>
      </c>
      <c r="I11">
        <v>98</v>
      </c>
      <c r="J11">
        <v>92</v>
      </c>
      <c r="K11">
        <v>86</v>
      </c>
      <c r="L11">
        <v>77</v>
      </c>
    </row>
    <row r="12" spans="1:24" ht="13.15" x14ac:dyDescent="0.4">
      <c r="A12">
        <v>6</v>
      </c>
      <c r="B12" s="3" t="s">
        <v>64</v>
      </c>
    </row>
    <row r="13" spans="1:24" ht="13.15" x14ac:dyDescent="0.4">
      <c r="A13">
        <v>7</v>
      </c>
      <c r="B13" s="3" t="s">
        <v>65</v>
      </c>
    </row>
    <row r="14" spans="1:24" ht="13.15" x14ac:dyDescent="0.4">
      <c r="A14">
        <v>8</v>
      </c>
      <c r="B14" s="3" t="s">
        <v>66</v>
      </c>
    </row>
    <row r="15" spans="1:24" ht="13.5" thickBot="1" x14ac:dyDescent="0.45">
      <c r="A15">
        <v>9</v>
      </c>
      <c r="B15" s="16" t="s">
        <v>6</v>
      </c>
      <c r="C15" s="18">
        <f t="shared" ref="C15:X15" si="2">SUM(C9:C14)</f>
        <v>0</v>
      </c>
      <c r="D15" s="18">
        <f t="shared" si="2"/>
        <v>327</v>
      </c>
      <c r="E15" s="18">
        <f t="shared" si="2"/>
        <v>312</v>
      </c>
      <c r="F15" s="18">
        <f t="shared" si="2"/>
        <v>286</v>
      </c>
      <c r="G15" s="18">
        <f t="shared" si="2"/>
        <v>356</v>
      </c>
      <c r="H15" s="18">
        <f t="shared" si="2"/>
        <v>75</v>
      </c>
      <c r="I15" s="18">
        <f t="shared" si="2"/>
        <v>275</v>
      </c>
      <c r="J15" s="18">
        <f t="shared" si="2"/>
        <v>329</v>
      </c>
      <c r="K15" s="18">
        <f t="shared" si="2"/>
        <v>315</v>
      </c>
      <c r="L15" s="18">
        <f t="shared" si="2"/>
        <v>269</v>
      </c>
      <c r="M15" s="18">
        <f t="shared" si="2"/>
        <v>0</v>
      </c>
      <c r="N15" s="18">
        <f t="shared" si="2"/>
        <v>0</v>
      </c>
      <c r="O15" s="18">
        <f t="shared" si="2"/>
        <v>0</v>
      </c>
      <c r="P15" s="18">
        <f t="shared" si="2"/>
        <v>0</v>
      </c>
      <c r="Q15" s="18">
        <f t="shared" si="2"/>
        <v>0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0</v>
      </c>
      <c r="X15" s="18">
        <f t="shared" si="2"/>
        <v>0</v>
      </c>
    </row>
    <row r="16" spans="1:24" ht="13.5" thickTop="1" x14ac:dyDescent="0.4">
      <c r="A16">
        <v>10</v>
      </c>
      <c r="B16" s="3" t="s">
        <v>13</v>
      </c>
      <c r="C16" s="19">
        <f>+C15</f>
        <v>0</v>
      </c>
      <c r="D16" s="19">
        <f t="shared" ref="D16:X16" si="3">+D15+C16</f>
        <v>327</v>
      </c>
      <c r="E16" s="19">
        <f t="shared" si="3"/>
        <v>639</v>
      </c>
      <c r="F16" s="19">
        <f t="shared" si="3"/>
        <v>925</v>
      </c>
      <c r="G16" s="19">
        <f t="shared" si="3"/>
        <v>1281</v>
      </c>
      <c r="H16" s="19">
        <f t="shared" si="3"/>
        <v>1356</v>
      </c>
      <c r="I16" s="19">
        <f t="shared" si="3"/>
        <v>1631</v>
      </c>
      <c r="J16" s="19">
        <f t="shared" si="3"/>
        <v>1960</v>
      </c>
      <c r="K16" s="19">
        <f t="shared" si="3"/>
        <v>2275</v>
      </c>
      <c r="L16" s="19">
        <f t="shared" si="3"/>
        <v>2544</v>
      </c>
      <c r="M16" s="19">
        <f t="shared" si="3"/>
        <v>2544</v>
      </c>
      <c r="N16" s="19">
        <f t="shared" si="3"/>
        <v>2544</v>
      </c>
      <c r="O16" s="19">
        <f t="shared" si="3"/>
        <v>2544</v>
      </c>
      <c r="P16" s="19">
        <f t="shared" si="3"/>
        <v>2544</v>
      </c>
      <c r="Q16" s="19">
        <f t="shared" si="3"/>
        <v>2544</v>
      </c>
      <c r="R16" s="19">
        <f t="shared" si="3"/>
        <v>2544</v>
      </c>
      <c r="S16" s="19">
        <f t="shared" si="3"/>
        <v>2544</v>
      </c>
      <c r="T16" s="19">
        <f t="shared" si="3"/>
        <v>2544</v>
      </c>
      <c r="U16" s="19">
        <f t="shared" si="3"/>
        <v>2544</v>
      </c>
      <c r="V16" s="19">
        <f t="shared" si="3"/>
        <v>2544</v>
      </c>
      <c r="W16" s="19">
        <f t="shared" si="3"/>
        <v>2544</v>
      </c>
      <c r="X16" s="19">
        <f t="shared" si="3"/>
        <v>2544</v>
      </c>
    </row>
    <row r="17" spans="1:25" ht="13.15" x14ac:dyDescent="0.4">
      <c r="A17">
        <v>11</v>
      </c>
      <c r="B17" s="3" t="s">
        <v>7</v>
      </c>
      <c r="C17" s="20" t="e">
        <f t="shared" ref="C17:X17" si="4">+C16/C19</f>
        <v>#DIV/0!</v>
      </c>
      <c r="D17" s="20">
        <f t="shared" si="4"/>
        <v>109</v>
      </c>
      <c r="E17" s="20">
        <f t="shared" si="4"/>
        <v>106.5</v>
      </c>
      <c r="F17" s="20">
        <f t="shared" si="4"/>
        <v>102.77777777777777</v>
      </c>
      <c r="G17" s="20">
        <f t="shared" si="4"/>
        <v>106.75</v>
      </c>
      <c r="H17" s="20">
        <f t="shared" si="4"/>
        <v>104.30769230769231</v>
      </c>
      <c r="I17" s="20">
        <f t="shared" si="4"/>
        <v>101.9375</v>
      </c>
      <c r="J17" s="20">
        <f t="shared" si="4"/>
        <v>103.15789473684211</v>
      </c>
      <c r="K17" s="20">
        <f t="shared" si="4"/>
        <v>103.40909090909091</v>
      </c>
      <c r="L17" s="20">
        <f t="shared" si="4"/>
        <v>101.76</v>
      </c>
      <c r="M17" s="20">
        <f t="shared" si="4"/>
        <v>101.76</v>
      </c>
      <c r="N17" s="20">
        <f t="shared" si="4"/>
        <v>101.76</v>
      </c>
      <c r="O17" s="20">
        <f t="shared" si="4"/>
        <v>101.76</v>
      </c>
      <c r="P17" s="20">
        <f t="shared" si="4"/>
        <v>101.76</v>
      </c>
      <c r="Q17" s="20">
        <f t="shared" si="4"/>
        <v>101.76</v>
      </c>
      <c r="R17" s="20">
        <f t="shared" si="4"/>
        <v>101.76</v>
      </c>
      <c r="S17" s="20">
        <f t="shared" si="4"/>
        <v>101.76</v>
      </c>
      <c r="T17" s="20">
        <f t="shared" si="4"/>
        <v>101.76</v>
      </c>
      <c r="U17" s="20">
        <f t="shared" si="4"/>
        <v>101.76</v>
      </c>
      <c r="V17" s="20">
        <f t="shared" si="4"/>
        <v>101.76</v>
      </c>
      <c r="W17" s="20">
        <f t="shared" si="4"/>
        <v>101.76</v>
      </c>
      <c r="X17" s="20">
        <f t="shared" si="4"/>
        <v>101.76</v>
      </c>
    </row>
    <row r="18" spans="1:25" ht="13.15" x14ac:dyDescent="0.4">
      <c r="A18">
        <v>12</v>
      </c>
      <c r="B18" s="3" t="s">
        <v>8</v>
      </c>
      <c r="C18" s="19" t="e">
        <f t="shared" ref="C18:X18" si="5">ROUND(+($D$4-C17)*$D$5,0)</f>
        <v>#DIV/0!</v>
      </c>
      <c r="D18" s="19">
        <f t="shared" si="5"/>
        <v>82</v>
      </c>
      <c r="E18" s="19">
        <f t="shared" si="5"/>
        <v>84</v>
      </c>
      <c r="F18" s="19">
        <f t="shared" si="5"/>
        <v>88</v>
      </c>
      <c r="G18" s="19">
        <f t="shared" si="5"/>
        <v>84</v>
      </c>
      <c r="H18" s="19">
        <f t="shared" si="5"/>
        <v>86</v>
      </c>
      <c r="I18" s="19">
        <f t="shared" si="5"/>
        <v>88</v>
      </c>
      <c r="J18" s="19">
        <f t="shared" si="5"/>
        <v>87</v>
      </c>
      <c r="K18" s="19">
        <f t="shared" si="5"/>
        <v>87</v>
      </c>
      <c r="L18" s="19">
        <f t="shared" si="5"/>
        <v>88</v>
      </c>
      <c r="M18" s="19">
        <f t="shared" si="5"/>
        <v>88</v>
      </c>
      <c r="N18" s="19">
        <f t="shared" si="5"/>
        <v>88</v>
      </c>
      <c r="O18" s="19">
        <f t="shared" si="5"/>
        <v>88</v>
      </c>
      <c r="P18" s="19">
        <f t="shared" si="5"/>
        <v>88</v>
      </c>
      <c r="Q18" s="19">
        <f t="shared" si="5"/>
        <v>88</v>
      </c>
      <c r="R18" s="19">
        <f t="shared" si="5"/>
        <v>88</v>
      </c>
      <c r="S18" s="19">
        <f t="shared" si="5"/>
        <v>88</v>
      </c>
      <c r="T18" s="19">
        <f t="shared" si="5"/>
        <v>88</v>
      </c>
      <c r="U18" s="19">
        <f t="shared" si="5"/>
        <v>88</v>
      </c>
      <c r="V18" s="19">
        <f t="shared" si="5"/>
        <v>88</v>
      </c>
      <c r="W18" s="19">
        <f t="shared" si="5"/>
        <v>88</v>
      </c>
      <c r="X18" s="19">
        <f t="shared" si="5"/>
        <v>88</v>
      </c>
    </row>
    <row r="19" spans="1:25" ht="13.15" x14ac:dyDescent="0.4">
      <c r="A19">
        <v>13</v>
      </c>
      <c r="B19" s="4" t="s">
        <v>9</v>
      </c>
      <c r="C19" s="19">
        <f>COUNT(C9:C14)</f>
        <v>0</v>
      </c>
      <c r="D19" s="19">
        <f t="shared" ref="D19:X19" si="6">COUNT(D9:D14)+C19</f>
        <v>3</v>
      </c>
      <c r="E19" s="19">
        <f t="shared" si="6"/>
        <v>6</v>
      </c>
      <c r="F19" s="19">
        <f t="shared" si="6"/>
        <v>9</v>
      </c>
      <c r="G19" s="19">
        <f t="shared" si="6"/>
        <v>12</v>
      </c>
      <c r="H19" s="19">
        <f t="shared" si="6"/>
        <v>13</v>
      </c>
      <c r="I19" s="19">
        <f t="shared" si="6"/>
        <v>16</v>
      </c>
      <c r="J19" s="19">
        <f t="shared" si="6"/>
        <v>19</v>
      </c>
      <c r="K19" s="19">
        <f t="shared" si="6"/>
        <v>22</v>
      </c>
      <c r="L19" s="19">
        <f t="shared" si="6"/>
        <v>25</v>
      </c>
      <c r="M19" s="19">
        <f t="shared" si="6"/>
        <v>25</v>
      </c>
      <c r="N19" s="19">
        <f t="shared" si="6"/>
        <v>25</v>
      </c>
      <c r="O19" s="19">
        <f t="shared" si="6"/>
        <v>25</v>
      </c>
      <c r="P19" s="19">
        <f t="shared" si="6"/>
        <v>25</v>
      </c>
      <c r="Q19" s="19">
        <f t="shared" si="6"/>
        <v>25</v>
      </c>
      <c r="R19" s="19">
        <f t="shared" si="6"/>
        <v>25</v>
      </c>
      <c r="S19" s="19">
        <f t="shared" si="6"/>
        <v>25</v>
      </c>
      <c r="T19" s="19">
        <f t="shared" si="6"/>
        <v>25</v>
      </c>
      <c r="U19" s="19">
        <f t="shared" si="6"/>
        <v>25</v>
      </c>
      <c r="V19" s="19">
        <f t="shared" si="6"/>
        <v>25</v>
      </c>
      <c r="W19" s="19">
        <f t="shared" si="6"/>
        <v>25</v>
      </c>
      <c r="X19" s="19">
        <f t="shared" si="6"/>
        <v>25</v>
      </c>
    </row>
    <row r="20" spans="1:25" ht="26.25" x14ac:dyDescent="0.4">
      <c r="A20">
        <v>14</v>
      </c>
      <c r="B20" s="22" t="s">
        <v>21</v>
      </c>
      <c r="C20" s="19">
        <f t="shared" ref="C20:X20" si="7">MAX(C$9:C$14)</f>
        <v>0</v>
      </c>
      <c r="D20" s="19">
        <f t="shared" si="7"/>
        <v>125</v>
      </c>
      <c r="E20" s="19">
        <f t="shared" si="7"/>
        <v>106</v>
      </c>
      <c r="F20" s="19">
        <f t="shared" si="7"/>
        <v>109</v>
      </c>
      <c r="G20" s="19">
        <f t="shared" si="7"/>
        <v>129</v>
      </c>
      <c r="H20" s="19">
        <f t="shared" si="7"/>
        <v>75</v>
      </c>
      <c r="I20" s="19">
        <f t="shared" si="7"/>
        <v>98</v>
      </c>
      <c r="J20" s="19">
        <f t="shared" si="7"/>
        <v>132</v>
      </c>
      <c r="K20" s="19">
        <f t="shared" si="7"/>
        <v>136</v>
      </c>
      <c r="L20" s="19">
        <f t="shared" si="7"/>
        <v>108</v>
      </c>
      <c r="M20" s="19">
        <f t="shared" si="7"/>
        <v>0</v>
      </c>
      <c r="N20" s="19">
        <f t="shared" si="7"/>
        <v>0</v>
      </c>
      <c r="O20" s="19">
        <f t="shared" si="7"/>
        <v>0</v>
      </c>
      <c r="P20" s="19">
        <f t="shared" si="7"/>
        <v>0</v>
      </c>
      <c r="Q20" s="19">
        <f t="shared" si="7"/>
        <v>0</v>
      </c>
      <c r="R20" s="19">
        <f t="shared" si="7"/>
        <v>0</v>
      </c>
      <c r="S20" s="19">
        <f t="shared" si="7"/>
        <v>0</v>
      </c>
      <c r="T20" s="19">
        <f t="shared" si="7"/>
        <v>0</v>
      </c>
      <c r="U20" s="19">
        <f t="shared" si="7"/>
        <v>0</v>
      </c>
      <c r="V20" s="19">
        <f t="shared" si="7"/>
        <v>0</v>
      </c>
      <c r="W20" s="19">
        <f t="shared" si="7"/>
        <v>0</v>
      </c>
      <c r="X20" s="19">
        <f t="shared" si="7"/>
        <v>0</v>
      </c>
    </row>
    <row r="21" spans="1:25" ht="26.25" x14ac:dyDescent="0.4">
      <c r="A21">
        <v>15</v>
      </c>
      <c r="B21" s="22" t="s">
        <v>20</v>
      </c>
      <c r="C21" s="19">
        <f>MAX(C$9:C$14)+$I$5</f>
        <v>0</v>
      </c>
      <c r="D21" s="19">
        <f>MAX(D$9:D$14)+D18</f>
        <v>207</v>
      </c>
      <c r="E21" s="19">
        <f t="shared" ref="E21:X21" si="8">MAX(E$9:E$14)+D18</f>
        <v>188</v>
      </c>
      <c r="F21" s="19">
        <f t="shared" si="8"/>
        <v>193</v>
      </c>
      <c r="G21" s="19">
        <f t="shared" si="8"/>
        <v>217</v>
      </c>
      <c r="H21" s="19">
        <f t="shared" si="8"/>
        <v>159</v>
      </c>
      <c r="I21" s="19">
        <f t="shared" si="8"/>
        <v>184</v>
      </c>
      <c r="J21" s="19">
        <f t="shared" si="8"/>
        <v>220</v>
      </c>
      <c r="K21" s="19">
        <f t="shared" si="8"/>
        <v>223</v>
      </c>
      <c r="L21" s="19">
        <f t="shared" si="8"/>
        <v>195</v>
      </c>
      <c r="M21" s="19">
        <f t="shared" si="8"/>
        <v>88</v>
      </c>
      <c r="N21" s="19">
        <f t="shared" si="8"/>
        <v>88</v>
      </c>
      <c r="O21" s="19">
        <f t="shared" si="8"/>
        <v>88</v>
      </c>
      <c r="P21" s="19">
        <f t="shared" si="8"/>
        <v>88</v>
      </c>
      <c r="Q21" s="19">
        <f t="shared" si="8"/>
        <v>88</v>
      </c>
      <c r="R21" s="19">
        <f t="shared" si="8"/>
        <v>88</v>
      </c>
      <c r="S21" s="19">
        <f t="shared" si="8"/>
        <v>88</v>
      </c>
      <c r="T21" s="19">
        <f t="shared" si="8"/>
        <v>88</v>
      </c>
      <c r="U21" s="19">
        <f t="shared" si="8"/>
        <v>88</v>
      </c>
      <c r="V21" s="19">
        <f t="shared" si="8"/>
        <v>88</v>
      </c>
      <c r="W21" s="19">
        <f t="shared" si="8"/>
        <v>88</v>
      </c>
      <c r="X21" s="19">
        <f t="shared" si="8"/>
        <v>88</v>
      </c>
    </row>
    <row r="22" spans="1:25" ht="26.25" x14ac:dyDescent="0.4">
      <c r="A22">
        <v>16</v>
      </c>
      <c r="B22" s="22" t="s">
        <v>18</v>
      </c>
      <c r="C22" s="19">
        <f>MAX(SUM(C$9:C$11),SUM(C$12:C$14))</f>
        <v>0</v>
      </c>
      <c r="D22" s="19">
        <f t="shared" ref="D22:X22" si="9">MAX(SUM(D$9:D$11),SUM(D$12:D$14))</f>
        <v>327</v>
      </c>
      <c r="E22" s="19">
        <f t="shared" si="9"/>
        <v>312</v>
      </c>
      <c r="F22" s="19">
        <f t="shared" si="9"/>
        <v>286</v>
      </c>
      <c r="G22" s="19">
        <f t="shared" si="9"/>
        <v>356</v>
      </c>
      <c r="H22" s="19">
        <f t="shared" si="9"/>
        <v>75</v>
      </c>
      <c r="I22" s="19">
        <f t="shared" si="9"/>
        <v>275</v>
      </c>
      <c r="J22" s="19">
        <f t="shared" si="9"/>
        <v>329</v>
      </c>
      <c r="K22" s="19">
        <f t="shared" si="9"/>
        <v>315</v>
      </c>
      <c r="L22" s="19">
        <f t="shared" si="9"/>
        <v>269</v>
      </c>
      <c r="M22" s="19">
        <f t="shared" si="9"/>
        <v>0</v>
      </c>
      <c r="N22" s="19">
        <f t="shared" si="9"/>
        <v>0</v>
      </c>
      <c r="O22" s="19">
        <f t="shared" si="9"/>
        <v>0</v>
      </c>
      <c r="P22" s="19">
        <f t="shared" si="9"/>
        <v>0</v>
      </c>
      <c r="Q22" s="19">
        <f t="shared" si="9"/>
        <v>0</v>
      </c>
      <c r="R22" s="19">
        <f t="shared" si="9"/>
        <v>0</v>
      </c>
      <c r="S22" s="19">
        <f t="shared" si="9"/>
        <v>0</v>
      </c>
      <c r="T22" s="19">
        <f t="shared" si="9"/>
        <v>0</v>
      </c>
      <c r="U22" s="19">
        <f t="shared" si="9"/>
        <v>0</v>
      </c>
      <c r="V22" s="19">
        <f t="shared" si="9"/>
        <v>0</v>
      </c>
      <c r="W22" s="19">
        <f t="shared" si="9"/>
        <v>0</v>
      </c>
      <c r="X22" s="19">
        <f t="shared" si="9"/>
        <v>0</v>
      </c>
    </row>
    <row r="23" spans="1:25" ht="26.25" x14ac:dyDescent="0.4">
      <c r="A23">
        <v>17</v>
      </c>
      <c r="B23" s="22" t="s">
        <v>19</v>
      </c>
      <c r="C23" s="19">
        <f>+C22+$I$5*3</f>
        <v>0</v>
      </c>
      <c r="D23" s="19">
        <f>MAX(SUM(D$9:D$11),SUM(D$12:D$14))+D18*3</f>
        <v>573</v>
      </c>
      <c r="E23" s="19">
        <f t="shared" ref="E23:X23" si="10">MAX(SUM(E$9:E$11),SUM(E$12:E$14))+D18*3</f>
        <v>558</v>
      </c>
      <c r="F23" s="19">
        <f t="shared" si="10"/>
        <v>538</v>
      </c>
      <c r="G23" s="19">
        <f t="shared" si="10"/>
        <v>620</v>
      </c>
      <c r="H23" s="19">
        <f t="shared" si="10"/>
        <v>327</v>
      </c>
      <c r="I23" s="19">
        <f t="shared" si="10"/>
        <v>533</v>
      </c>
      <c r="J23" s="19">
        <f t="shared" si="10"/>
        <v>593</v>
      </c>
      <c r="K23" s="19">
        <f t="shared" si="10"/>
        <v>576</v>
      </c>
      <c r="L23" s="19">
        <f t="shared" si="10"/>
        <v>530</v>
      </c>
      <c r="M23" s="19">
        <f t="shared" si="10"/>
        <v>264</v>
      </c>
      <c r="N23" s="19">
        <f t="shared" si="10"/>
        <v>264</v>
      </c>
      <c r="O23" s="19">
        <f t="shared" si="10"/>
        <v>264</v>
      </c>
      <c r="P23" s="19">
        <f t="shared" si="10"/>
        <v>264</v>
      </c>
      <c r="Q23" s="19">
        <f t="shared" si="10"/>
        <v>264</v>
      </c>
      <c r="R23" s="19">
        <f t="shared" si="10"/>
        <v>264</v>
      </c>
      <c r="S23" s="19">
        <f t="shared" si="10"/>
        <v>264</v>
      </c>
      <c r="T23" s="19">
        <f t="shared" si="10"/>
        <v>264</v>
      </c>
      <c r="U23" s="19">
        <f t="shared" si="10"/>
        <v>264</v>
      </c>
      <c r="V23" s="19">
        <f t="shared" si="10"/>
        <v>264</v>
      </c>
      <c r="W23" s="19">
        <f t="shared" si="10"/>
        <v>264</v>
      </c>
      <c r="X23" s="19">
        <f t="shared" si="10"/>
        <v>264</v>
      </c>
    </row>
    <row r="24" spans="1:25" s="19" customFormat="1" ht="13.15" x14ac:dyDescent="0.4">
      <c r="A24">
        <v>18</v>
      </c>
      <c r="B24" s="193" t="s">
        <v>29</v>
      </c>
      <c r="Y24" s="19">
        <f>SUM(C24:X24)</f>
        <v>0</v>
      </c>
    </row>
    <row r="25" spans="1:25" x14ac:dyDescent="0.35">
      <c r="A25">
        <v>19</v>
      </c>
      <c r="C25" s="2"/>
    </row>
    <row r="26" spans="1:25" ht="13.15" x14ac:dyDescent="0.4">
      <c r="A26">
        <v>20</v>
      </c>
      <c r="B26" s="192" t="s">
        <v>76</v>
      </c>
      <c r="C26" s="2"/>
    </row>
    <row r="27" spans="1:25" ht="13.15" x14ac:dyDescent="0.4">
      <c r="A27">
        <v>21</v>
      </c>
      <c r="B27" s="151" t="s">
        <v>77</v>
      </c>
      <c r="C27" s="19">
        <f>MAX(C20)</f>
        <v>0</v>
      </c>
      <c r="D27" s="107">
        <f>MAX($C20:D20)</f>
        <v>125</v>
      </c>
      <c r="E27" s="107">
        <f>MAX($C20:E20)</f>
        <v>125</v>
      </c>
      <c r="F27" s="107">
        <f>MAX($C20:F20)</f>
        <v>125</v>
      </c>
      <c r="G27" s="107">
        <f>MAX($C20:G20)</f>
        <v>129</v>
      </c>
      <c r="H27" s="107">
        <f>MAX($C20:H20)</f>
        <v>129</v>
      </c>
      <c r="I27" s="107">
        <f>MAX($C20:I20)</f>
        <v>129</v>
      </c>
      <c r="J27" s="107">
        <f>MAX($C20:J20)</f>
        <v>132</v>
      </c>
      <c r="K27" s="107">
        <f>MAX($C20:K20)</f>
        <v>136</v>
      </c>
      <c r="L27" s="107">
        <f>MAX($C20:L20)</f>
        <v>136</v>
      </c>
      <c r="M27" s="107">
        <f>MAX($C20:M20)</f>
        <v>136</v>
      </c>
      <c r="N27" s="107">
        <f>MAX($C20:N20)</f>
        <v>136</v>
      </c>
      <c r="O27" s="107">
        <f>MAX($C20:O20)</f>
        <v>136</v>
      </c>
      <c r="P27" s="107">
        <f>MAX($C20:P20)</f>
        <v>136</v>
      </c>
      <c r="Q27" s="107">
        <f>MAX($C20:Q20)</f>
        <v>136</v>
      </c>
      <c r="R27" s="107">
        <f>MAX($C20:R20)</f>
        <v>136</v>
      </c>
      <c r="S27" s="107">
        <f>MAX($C20:S20)</f>
        <v>136</v>
      </c>
      <c r="T27" s="107">
        <f>MAX($C20:T20)</f>
        <v>136</v>
      </c>
      <c r="U27" s="107">
        <f>MAX($C20:U20)</f>
        <v>136</v>
      </c>
      <c r="V27" s="107">
        <f>MAX($C20:V20)</f>
        <v>136</v>
      </c>
      <c r="W27" s="107">
        <f>MAX($C20:W20)</f>
        <v>136</v>
      </c>
      <c r="X27" s="107">
        <f>MAX($C20:X20)</f>
        <v>136</v>
      </c>
    </row>
    <row r="28" spans="1:25" ht="13.15" x14ac:dyDescent="0.4">
      <c r="A28">
        <v>22</v>
      </c>
      <c r="B28" s="151" t="s">
        <v>78</v>
      </c>
      <c r="C28" s="19">
        <f>MAX(C21)</f>
        <v>0</v>
      </c>
      <c r="D28" s="107">
        <f>MAX($C21:D21)</f>
        <v>207</v>
      </c>
      <c r="E28" s="107">
        <f>MAX($C21:E21)</f>
        <v>207</v>
      </c>
      <c r="F28" s="107">
        <f>MAX($C21:F21)</f>
        <v>207</v>
      </c>
      <c r="G28" s="107">
        <f>MAX($C21:G21)</f>
        <v>217</v>
      </c>
      <c r="H28" s="107">
        <f>MAX($C21:H21)</f>
        <v>217</v>
      </c>
      <c r="I28" s="107">
        <f>MAX($C21:I21)</f>
        <v>217</v>
      </c>
      <c r="J28" s="107">
        <f>MAX($C21:J21)</f>
        <v>220</v>
      </c>
      <c r="K28" s="107">
        <f>MAX($C21:K21)</f>
        <v>223</v>
      </c>
      <c r="L28" s="107">
        <f>MAX($C21:L21)</f>
        <v>223</v>
      </c>
      <c r="M28" s="107">
        <f>MAX($C21:M21)</f>
        <v>223</v>
      </c>
      <c r="N28" s="107">
        <f>MAX($C21:N21)</f>
        <v>223</v>
      </c>
      <c r="O28" s="107">
        <f>MAX($C21:O21)</f>
        <v>223</v>
      </c>
      <c r="P28" s="107">
        <f>MAX($C21:P21)</f>
        <v>223</v>
      </c>
      <c r="Q28" s="107">
        <f>MAX($C21:Q21)</f>
        <v>223</v>
      </c>
      <c r="R28" s="107">
        <f>MAX($C21:R21)</f>
        <v>223</v>
      </c>
      <c r="S28" s="107">
        <f>MAX($C21:S21)</f>
        <v>223</v>
      </c>
      <c r="T28" s="107">
        <f>MAX($C21:T21)</f>
        <v>223</v>
      </c>
      <c r="U28" s="107">
        <f>MAX($C21:U21)</f>
        <v>223</v>
      </c>
      <c r="V28" s="107">
        <f>MAX($C21:V21)</f>
        <v>223</v>
      </c>
      <c r="W28" s="107">
        <f>MAX($C21:W21)</f>
        <v>223</v>
      </c>
      <c r="X28" s="107">
        <f>MAX($C21:X21)</f>
        <v>223</v>
      </c>
    </row>
    <row r="29" spans="1:25" ht="26.25" x14ac:dyDescent="0.4">
      <c r="A29">
        <v>23</v>
      </c>
      <c r="B29" s="151" t="s">
        <v>79</v>
      </c>
      <c r="C29" s="19">
        <f>MAX(C22)</f>
        <v>0</v>
      </c>
      <c r="D29" s="107">
        <f>MAX($C22:D22)</f>
        <v>327</v>
      </c>
      <c r="E29" s="107">
        <f>MAX($C22:E22)</f>
        <v>327</v>
      </c>
      <c r="F29" s="107">
        <f>MAX($C22:F22)</f>
        <v>327</v>
      </c>
      <c r="G29" s="107">
        <f>MAX($C22:G22)</f>
        <v>356</v>
      </c>
      <c r="H29" s="107">
        <f>MAX($C22:H22)</f>
        <v>356</v>
      </c>
      <c r="I29" s="107">
        <f>MAX($C22:I22)</f>
        <v>356</v>
      </c>
      <c r="J29" s="107">
        <f>MAX($C22:J22)</f>
        <v>356</v>
      </c>
      <c r="K29" s="107">
        <f>MAX($C22:K22)</f>
        <v>356</v>
      </c>
      <c r="L29" s="107">
        <f>MAX($C22:L22)</f>
        <v>356</v>
      </c>
      <c r="M29" s="107">
        <f>MAX($C22:M22)</f>
        <v>356</v>
      </c>
      <c r="N29" s="107">
        <f>MAX($C22:N22)</f>
        <v>356</v>
      </c>
      <c r="O29" s="107">
        <f>MAX($C22:O22)</f>
        <v>356</v>
      </c>
      <c r="P29" s="107">
        <f>MAX($C22:P22)</f>
        <v>356</v>
      </c>
      <c r="Q29" s="107">
        <f>MAX($C22:Q22)</f>
        <v>356</v>
      </c>
      <c r="R29" s="107">
        <f>MAX($C22:R22)</f>
        <v>356</v>
      </c>
      <c r="S29" s="107">
        <f>MAX($C22:S22)</f>
        <v>356</v>
      </c>
      <c r="T29" s="107">
        <f>MAX($C22:T22)</f>
        <v>356</v>
      </c>
      <c r="U29" s="107">
        <f>MAX($C22:U22)</f>
        <v>356</v>
      </c>
      <c r="V29" s="107">
        <f>MAX($C22:V22)</f>
        <v>356</v>
      </c>
      <c r="W29" s="107">
        <f>MAX($C22:W22)</f>
        <v>356</v>
      </c>
      <c r="X29" s="107">
        <f>MAX($C22:X22)</f>
        <v>356</v>
      </c>
    </row>
    <row r="30" spans="1:25" ht="13.15" x14ac:dyDescent="0.4">
      <c r="A30">
        <v>24</v>
      </c>
      <c r="B30" s="151" t="s">
        <v>80</v>
      </c>
      <c r="C30" s="19">
        <f>MAX(C23)</f>
        <v>0</v>
      </c>
      <c r="D30" s="107">
        <f>MAX($C23:D23)</f>
        <v>573</v>
      </c>
      <c r="E30" s="107">
        <f>MAX($C23:E23)</f>
        <v>573</v>
      </c>
      <c r="F30" s="107">
        <f>MAX($C23:F23)</f>
        <v>573</v>
      </c>
      <c r="G30" s="107">
        <f>MAX($C23:G23)</f>
        <v>620</v>
      </c>
      <c r="H30" s="107">
        <f>MAX($C23:H23)</f>
        <v>620</v>
      </c>
      <c r="I30" s="107">
        <f>MAX($C23:I23)</f>
        <v>620</v>
      </c>
      <c r="J30" s="107">
        <f>MAX($C23:J23)</f>
        <v>620</v>
      </c>
      <c r="K30" s="107">
        <f>MAX($C23:K23)</f>
        <v>620</v>
      </c>
      <c r="L30" s="107">
        <f>MAX($C23:L23)</f>
        <v>620</v>
      </c>
      <c r="M30" s="107">
        <f>MAX($C23:M23)</f>
        <v>620</v>
      </c>
      <c r="N30" s="107">
        <f>MAX($C23:N23)</f>
        <v>620</v>
      </c>
      <c r="O30" s="107">
        <f>MAX($C23:O23)</f>
        <v>620</v>
      </c>
      <c r="P30" s="107">
        <f>MAX($C23:P23)</f>
        <v>620</v>
      </c>
      <c r="Q30" s="107">
        <f>MAX($C23:Q23)</f>
        <v>620</v>
      </c>
      <c r="R30" s="107">
        <f>MAX($C23:R23)</f>
        <v>620</v>
      </c>
      <c r="S30" s="107">
        <f>MAX($C23:S23)</f>
        <v>620</v>
      </c>
      <c r="T30" s="107">
        <f>MAX($C23:T23)</f>
        <v>620</v>
      </c>
      <c r="U30" s="107">
        <f>MAX($C23:U23)</f>
        <v>620</v>
      </c>
      <c r="V30" s="107">
        <f>MAX($C23:V23)</f>
        <v>620</v>
      </c>
      <c r="W30" s="107">
        <f>MAX($C23:W23)</f>
        <v>620</v>
      </c>
      <c r="X30" s="107">
        <f>MAX($C23:X23)</f>
        <v>620</v>
      </c>
    </row>
    <row r="31" spans="1:25" x14ac:dyDescent="0.35">
      <c r="C31" s="2"/>
    </row>
    <row r="32" spans="1:2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22" right="0.46" top="0.49" bottom="1" header="0.5" footer="0.5"/>
  <pageSetup scale="59" orientation="landscape" horizontalDpi="4294967293" r:id="rId1"/>
  <headerFooter alignWithMargins="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>
    <pageSetUpPr fitToPage="1"/>
  </sheetPr>
  <dimension ref="A3:O69"/>
  <sheetViews>
    <sheetView zoomScale="75" workbookViewId="0">
      <selection activeCell="F3" sqref="F3"/>
    </sheetView>
  </sheetViews>
  <sheetFormatPr defaultRowHeight="15" x14ac:dyDescent="0.4"/>
  <cols>
    <col min="1" max="1" width="4.1328125" style="171" customWidth="1"/>
    <col min="2" max="2" width="3" style="172" customWidth="1"/>
    <col min="3" max="3" width="11.6640625" style="27" customWidth="1"/>
    <col min="4" max="4" width="15.46484375" customWidth="1"/>
    <col min="5" max="5" width="13.53125" customWidth="1"/>
    <col min="6" max="6" width="14.1328125" customWidth="1"/>
    <col min="7" max="7" width="33.33203125" style="59" customWidth="1"/>
    <col min="10" max="10" width="10.33203125" bestFit="1" customWidth="1"/>
  </cols>
  <sheetData>
    <row r="3" spans="1:15" ht="18.399999999999999" x14ac:dyDescent="0.85">
      <c r="A3" s="171" t="s">
        <v>84</v>
      </c>
      <c r="F3" s="185" t="s">
        <v>310</v>
      </c>
      <c r="G3" s="185"/>
    </row>
    <row r="4" spans="1:15" x14ac:dyDescent="0.4">
      <c r="B4" s="172" t="s">
        <v>85</v>
      </c>
    </row>
    <row r="5" spans="1:15" x14ac:dyDescent="0.4">
      <c r="C5" s="27" t="s">
        <v>86</v>
      </c>
      <c r="F5" s="173">
        <v>125</v>
      </c>
      <c r="G5" s="174" t="s">
        <v>290</v>
      </c>
      <c r="K5" s="234"/>
      <c r="L5" s="247"/>
      <c r="M5" s="247"/>
      <c r="N5" s="247"/>
      <c r="O5" s="248"/>
    </row>
    <row r="6" spans="1:15" x14ac:dyDescent="0.4">
      <c r="C6" s="27" t="s">
        <v>87</v>
      </c>
      <c r="F6" s="173">
        <v>100</v>
      </c>
      <c r="G6" s="174" t="s">
        <v>291</v>
      </c>
      <c r="K6" s="234"/>
      <c r="L6" s="247"/>
      <c r="M6" s="247"/>
      <c r="N6" s="247"/>
      <c r="O6" s="248"/>
    </row>
    <row r="7" spans="1:15" x14ac:dyDescent="0.4">
      <c r="C7" s="27" t="s">
        <v>88</v>
      </c>
      <c r="F7" s="173">
        <v>75</v>
      </c>
      <c r="G7" s="174" t="s">
        <v>292</v>
      </c>
      <c r="K7" s="234"/>
      <c r="L7" s="247"/>
      <c r="M7" s="256"/>
      <c r="N7" s="256"/>
      <c r="O7" s="248"/>
    </row>
    <row r="9" spans="1:15" x14ac:dyDescent="0.4">
      <c r="B9" s="172" t="s">
        <v>89</v>
      </c>
    </row>
    <row r="10" spans="1:15" x14ac:dyDescent="0.4">
      <c r="C10" s="27" t="s">
        <v>90</v>
      </c>
      <c r="F10" s="173">
        <v>100</v>
      </c>
      <c r="G10" s="174" t="s">
        <v>293</v>
      </c>
    </row>
    <row r="11" spans="1:15" x14ac:dyDescent="0.4">
      <c r="C11" s="27" t="s">
        <v>91</v>
      </c>
      <c r="F11" s="173">
        <v>100</v>
      </c>
      <c r="G11" s="174" t="s">
        <v>296</v>
      </c>
    </row>
    <row r="13" spans="1:15" x14ac:dyDescent="0.4">
      <c r="B13" s="172" t="s">
        <v>92</v>
      </c>
    </row>
    <row r="14" spans="1:15" x14ac:dyDescent="0.4">
      <c r="C14" s="27" t="s">
        <v>90</v>
      </c>
      <c r="F14" s="173">
        <v>100</v>
      </c>
      <c r="G14" s="174" t="s">
        <v>294</v>
      </c>
    </row>
    <row r="15" spans="1:15" x14ac:dyDescent="0.4">
      <c r="C15" s="27" t="s">
        <v>91</v>
      </c>
      <c r="F15" s="173">
        <v>100</v>
      </c>
      <c r="G15" s="174" t="s">
        <v>295</v>
      </c>
    </row>
    <row r="16" spans="1:15" x14ac:dyDescent="0.4">
      <c r="F16" s="271"/>
      <c r="G16" s="72"/>
    </row>
    <row r="17" spans="1:7" x14ac:dyDescent="0.4">
      <c r="B17" s="172" t="s">
        <v>257</v>
      </c>
      <c r="F17" s="173">
        <v>50</v>
      </c>
      <c r="G17" s="174" t="s">
        <v>302</v>
      </c>
    </row>
    <row r="18" spans="1:7" x14ac:dyDescent="0.4">
      <c r="B18" s="172" t="s">
        <v>304</v>
      </c>
      <c r="F18" s="173">
        <v>50</v>
      </c>
      <c r="G18" s="174" t="s">
        <v>297</v>
      </c>
    </row>
    <row r="20" spans="1:7" x14ac:dyDescent="0.4">
      <c r="A20" s="171" t="s">
        <v>93</v>
      </c>
      <c r="F20" s="184">
        <f>+'indiv payout'!J78</f>
        <v>840</v>
      </c>
      <c r="G20" s="174" t="s">
        <v>94</v>
      </c>
    </row>
    <row r="21" spans="1:7" x14ac:dyDescent="0.4">
      <c r="F21" s="211" t="s">
        <v>160</v>
      </c>
    </row>
    <row r="22" spans="1:7" hidden="1" x14ac:dyDescent="0.4">
      <c r="A22" s="171" t="s">
        <v>108</v>
      </c>
      <c r="F22" s="173">
        <f>+'indiv payout'!L78</f>
        <v>0</v>
      </c>
      <c r="G22" s="174" t="s">
        <v>94</v>
      </c>
    </row>
    <row r="23" spans="1:7" hidden="1" x14ac:dyDescent="0.4">
      <c r="F23" s="211" t="s">
        <v>95</v>
      </c>
    </row>
    <row r="24" spans="1:7" x14ac:dyDescent="0.4">
      <c r="A24" s="171" t="s">
        <v>213</v>
      </c>
    </row>
    <row r="25" spans="1:7" x14ac:dyDescent="0.4">
      <c r="B25" s="172" t="s">
        <v>96</v>
      </c>
    </row>
    <row r="26" spans="1:7" x14ac:dyDescent="0.4">
      <c r="C26" s="27" t="s">
        <v>86</v>
      </c>
      <c r="F26" s="173">
        <v>125</v>
      </c>
      <c r="G26" s="174" t="s">
        <v>287</v>
      </c>
    </row>
    <row r="27" spans="1:7" x14ac:dyDescent="0.4">
      <c r="C27" s="27" t="s">
        <v>87</v>
      </c>
      <c r="F27" s="173">
        <v>100</v>
      </c>
      <c r="G27" s="174" t="s">
        <v>288</v>
      </c>
    </row>
    <row r="28" spans="1:7" x14ac:dyDescent="0.4">
      <c r="C28" s="27" t="s">
        <v>88</v>
      </c>
      <c r="F28" s="173">
        <v>75</v>
      </c>
      <c r="G28" s="174" t="s">
        <v>289</v>
      </c>
    </row>
    <row r="30" spans="1:7" x14ac:dyDescent="0.4">
      <c r="B30" s="172" t="s">
        <v>97</v>
      </c>
    </row>
    <row r="31" spans="1:7" x14ac:dyDescent="0.4">
      <c r="C31" s="27" t="s">
        <v>86</v>
      </c>
      <c r="F31" s="173">
        <v>125</v>
      </c>
      <c r="G31" s="174" t="s">
        <v>241</v>
      </c>
    </row>
    <row r="32" spans="1:7" x14ac:dyDescent="0.4">
      <c r="C32" s="27" t="s">
        <v>87</v>
      </c>
      <c r="F32" s="173">
        <v>100</v>
      </c>
      <c r="G32" s="174" t="s">
        <v>300</v>
      </c>
    </row>
    <row r="33" spans="1:10" x14ac:dyDescent="0.4">
      <c r="C33" s="27" t="s">
        <v>88</v>
      </c>
      <c r="F33" s="173">
        <v>75</v>
      </c>
      <c r="G33" s="174" t="s">
        <v>301</v>
      </c>
    </row>
    <row r="35" spans="1:10" x14ac:dyDescent="0.4">
      <c r="B35" s="172" t="s">
        <v>98</v>
      </c>
    </row>
    <row r="36" spans="1:10" x14ac:dyDescent="0.4">
      <c r="C36" s="27" t="s">
        <v>86</v>
      </c>
      <c r="F36" s="173">
        <v>125</v>
      </c>
      <c r="G36" s="174" t="s">
        <v>305</v>
      </c>
    </row>
    <row r="37" spans="1:10" x14ac:dyDescent="0.4">
      <c r="C37" s="27" t="s">
        <v>87</v>
      </c>
      <c r="F37" s="173">
        <v>100</v>
      </c>
      <c r="G37" s="174" t="s">
        <v>306</v>
      </c>
    </row>
    <row r="38" spans="1:10" x14ac:dyDescent="0.4">
      <c r="C38" s="27" t="s">
        <v>88</v>
      </c>
      <c r="F38" s="173">
        <v>75</v>
      </c>
      <c r="G38" s="174" t="s">
        <v>307</v>
      </c>
    </row>
    <row r="40" spans="1:10" x14ac:dyDescent="0.4">
      <c r="A40" s="171" t="s">
        <v>99</v>
      </c>
      <c r="F40" s="175">
        <f>SUM(F5:F38)</f>
        <v>2540</v>
      </c>
      <c r="G40" s="186">
        <f>+F40/F61</f>
        <v>0.28616493916178459</v>
      </c>
    </row>
    <row r="42" spans="1:10" x14ac:dyDescent="0.4">
      <c r="A42" s="171" t="s">
        <v>100</v>
      </c>
    </row>
    <row r="43" spans="1:10" x14ac:dyDescent="0.4">
      <c r="B43" s="172" t="s">
        <v>101</v>
      </c>
      <c r="E43" s="17">
        <v>0.4</v>
      </c>
    </row>
    <row r="44" spans="1:10" x14ac:dyDescent="0.4">
      <c r="C44" s="27" t="s">
        <v>86</v>
      </c>
      <c r="D44" s="181">
        <v>0.31</v>
      </c>
      <c r="E44" s="17"/>
      <c r="F44" s="173">
        <f>ROUND(SUM($F$61-$F$40)*$D44*$E$43,0)</f>
        <v>786</v>
      </c>
      <c r="G44" s="174" t="s">
        <v>242</v>
      </c>
      <c r="J44" s="294"/>
    </row>
    <row r="45" spans="1:10" x14ac:dyDescent="0.4">
      <c r="C45" s="27" t="s">
        <v>87</v>
      </c>
      <c r="D45" s="181">
        <v>0.27</v>
      </c>
      <c r="E45" s="17"/>
      <c r="F45" s="173">
        <f>ROUND(SUM($F$61-$F$40)*$D45*$E$43,0)</f>
        <v>684</v>
      </c>
      <c r="G45" s="174" t="s">
        <v>103</v>
      </c>
    </row>
    <row r="46" spans="1:10" x14ac:dyDescent="0.4">
      <c r="C46" s="27" t="s">
        <v>88</v>
      </c>
      <c r="D46" s="181">
        <v>0.23</v>
      </c>
      <c r="E46" s="17"/>
      <c r="F46" s="173">
        <f>ROUND(SUM($F$61-$F$40)*$D46*$E$43,0)</f>
        <v>583</v>
      </c>
      <c r="G46" s="174" t="s">
        <v>298</v>
      </c>
    </row>
    <row r="47" spans="1:10" x14ac:dyDescent="0.4">
      <c r="C47" s="27" t="s">
        <v>102</v>
      </c>
      <c r="D47" s="181">
        <v>0.19</v>
      </c>
      <c r="E47" s="17"/>
      <c r="F47" s="173">
        <f>ROUND(SUM($F$61-$F$40)*$D47*$E$43,0)</f>
        <v>482</v>
      </c>
      <c r="G47" s="174" t="s">
        <v>299</v>
      </c>
    </row>
    <row r="48" spans="1:10" x14ac:dyDescent="0.4">
      <c r="D48" s="182">
        <f>SUM(D44:D47)</f>
        <v>1</v>
      </c>
      <c r="E48" s="17"/>
    </row>
    <row r="49" spans="1:10" x14ac:dyDescent="0.4">
      <c r="B49" s="172" t="s">
        <v>104</v>
      </c>
      <c r="E49" s="17">
        <v>0.4</v>
      </c>
    </row>
    <row r="50" spans="1:10" x14ac:dyDescent="0.4">
      <c r="C50" s="27" t="s">
        <v>86</v>
      </c>
      <c r="D50" s="181">
        <v>0.31</v>
      </c>
      <c r="E50" s="17"/>
      <c r="F50" s="173">
        <f>ROUND(SUM($F$61-$F$40)*$D50*$E$49,0)</f>
        <v>786</v>
      </c>
      <c r="G50" s="174" t="s">
        <v>298</v>
      </c>
    </row>
    <row r="51" spans="1:10" x14ac:dyDescent="0.4">
      <c r="C51" s="27" t="s">
        <v>87</v>
      </c>
      <c r="D51" s="181">
        <v>0.27</v>
      </c>
      <c r="E51" s="17"/>
      <c r="F51" s="173">
        <f>ROUND(SUM($F$61-$F$40)*$D51*$E$49,0)</f>
        <v>684</v>
      </c>
      <c r="G51" s="174" t="s">
        <v>299</v>
      </c>
    </row>
    <row r="52" spans="1:10" x14ac:dyDescent="0.4">
      <c r="C52" s="27" t="s">
        <v>88</v>
      </c>
      <c r="D52" s="181">
        <v>0.23</v>
      </c>
      <c r="E52" s="17"/>
      <c r="F52" s="173">
        <f>ROUND(SUM($F$61-$F$40)*$D52*$E$49,0)</f>
        <v>583</v>
      </c>
      <c r="G52" s="174" t="s">
        <v>103</v>
      </c>
    </row>
    <row r="53" spans="1:10" x14ac:dyDescent="0.4">
      <c r="C53" s="27" t="s">
        <v>102</v>
      </c>
      <c r="D53" s="181">
        <v>0.19</v>
      </c>
      <c r="E53" s="17"/>
      <c r="F53" s="173">
        <f>ROUND(SUM($F$61-$F$40)*$D53*$E$49,0)</f>
        <v>482</v>
      </c>
      <c r="G53" s="174" t="s">
        <v>242</v>
      </c>
    </row>
    <row r="54" spans="1:10" x14ac:dyDescent="0.4">
      <c r="E54" s="17"/>
    </row>
    <row r="55" spans="1:10" x14ac:dyDescent="0.4">
      <c r="B55" s="172" t="s">
        <v>98</v>
      </c>
      <c r="E55" s="17">
        <v>0.2</v>
      </c>
    </row>
    <row r="56" spans="1:10" x14ac:dyDescent="0.4">
      <c r="C56" s="27" t="s">
        <v>86</v>
      </c>
      <c r="D56" s="181">
        <v>0.31</v>
      </c>
      <c r="F56" s="173">
        <f>ROUND(SUM($F$61-$F$40)*$D56*$E$55,0)</f>
        <v>393</v>
      </c>
      <c r="G56" s="174" t="s">
        <v>242</v>
      </c>
    </row>
    <row r="57" spans="1:10" x14ac:dyDescent="0.4">
      <c r="C57" s="27" t="s">
        <v>87</v>
      </c>
      <c r="D57" s="181">
        <v>0.27</v>
      </c>
      <c r="F57" s="173">
        <f>ROUND(SUM($F$61-$F$40)*$D57*$E$55,0)</f>
        <v>342</v>
      </c>
      <c r="G57" s="174" t="s">
        <v>298</v>
      </c>
    </row>
    <row r="58" spans="1:10" x14ac:dyDescent="0.4">
      <c r="C58" s="27" t="s">
        <v>88</v>
      </c>
      <c r="D58" s="181">
        <v>0.23</v>
      </c>
      <c r="F58" s="173">
        <f>ROUND(SUM($F$61-$F$40)*$D58*$E$55,0)</f>
        <v>291</v>
      </c>
      <c r="G58" s="174" t="s">
        <v>103</v>
      </c>
      <c r="J58" s="294"/>
    </row>
    <row r="59" spans="1:10" x14ac:dyDescent="0.4">
      <c r="C59" s="27" t="s">
        <v>102</v>
      </c>
      <c r="D59" s="181">
        <v>0.19</v>
      </c>
      <c r="F59" s="173">
        <f>ROUND(SUM($F$61-$F$40)*$D59*$E$55,0)</f>
        <v>241</v>
      </c>
      <c r="G59" s="174" t="s">
        <v>299</v>
      </c>
    </row>
    <row r="60" spans="1:10" x14ac:dyDescent="0.4">
      <c r="F60" s="177"/>
    </row>
    <row r="61" spans="1:10" x14ac:dyDescent="0.4">
      <c r="A61" s="171" t="s">
        <v>105</v>
      </c>
      <c r="F61" s="176">
        <v>8876</v>
      </c>
      <c r="J61" s="177"/>
    </row>
    <row r="63" spans="1:10" x14ac:dyDescent="0.4">
      <c r="C63" s="27" t="s">
        <v>111</v>
      </c>
    </row>
    <row r="64" spans="1:10" x14ac:dyDescent="0.4">
      <c r="D64" s="71" t="s">
        <v>298</v>
      </c>
      <c r="F64" s="177">
        <f>F44+F52+F56</f>
        <v>1762</v>
      </c>
    </row>
    <row r="65" spans="4:6" x14ac:dyDescent="0.4">
      <c r="D65" s="71" t="s">
        <v>299</v>
      </c>
      <c r="F65" s="177">
        <f>F46+F53+F59</f>
        <v>1306</v>
      </c>
    </row>
    <row r="66" spans="4:6" x14ac:dyDescent="0.4">
      <c r="D66" s="71" t="s">
        <v>103</v>
      </c>
      <c r="F66" s="177">
        <f>F47+F51+F58</f>
        <v>1457</v>
      </c>
    </row>
    <row r="67" spans="4:6" x14ac:dyDescent="0.4">
      <c r="D67" s="71" t="s">
        <v>242</v>
      </c>
      <c r="F67" s="177">
        <f>F45+F50+F57</f>
        <v>1812</v>
      </c>
    </row>
    <row r="68" spans="4:6" ht="15.4" thickBot="1" x14ac:dyDescent="0.45">
      <c r="F68" s="187">
        <f>SUM(F64:F67)</f>
        <v>6337</v>
      </c>
    </row>
    <row r="69" spans="4:6" ht="15.4" thickTop="1" x14ac:dyDescent="0.4"/>
  </sheetData>
  <phoneticPr fontId="0" type="noConversion"/>
  <pageMargins left="0.75" right="0.75" top="0.53" bottom="0.74" header="0.5" footer="0.45"/>
  <pageSetup scale="80" orientation="portrait" r:id="rId1"/>
  <headerFooter alignWithMargins="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>
    <pageSetUpPr fitToPage="1"/>
  </sheetPr>
  <dimension ref="A1:AK84"/>
  <sheetViews>
    <sheetView zoomScale="90" zoomScaleNormal="90" workbookViewId="0">
      <pane xSplit="1" topLeftCell="O1" activePane="topRight" state="frozen"/>
      <selection pane="topRight" activeCell="AI8" sqref="AI8"/>
    </sheetView>
  </sheetViews>
  <sheetFormatPr defaultRowHeight="12.75" x14ac:dyDescent="0.35"/>
  <cols>
    <col min="1" max="1" width="12.53125" customWidth="1"/>
    <col min="3" max="6" width="9.1328125" style="152"/>
    <col min="7" max="8" width="9.1328125" style="19"/>
    <col min="9" max="9" width="8.1328125" style="19" customWidth="1"/>
    <col min="10" max="10" width="9.1328125" style="152"/>
    <col min="11" max="11" width="8.46484375" hidden="1" customWidth="1"/>
    <col min="12" max="12" width="9.1328125" hidden="1" customWidth="1"/>
    <col min="14" max="14" width="4.46484375" customWidth="1"/>
  </cols>
  <sheetData>
    <row r="1" spans="1:37" ht="13.15" x14ac:dyDescent="0.4">
      <c r="A1" s="1" t="s">
        <v>0</v>
      </c>
    </row>
    <row r="2" spans="1:37" ht="13.15" x14ac:dyDescent="0.4">
      <c r="A2" s="1" t="str">
        <f>+Season</f>
        <v>2016/2017 Season</v>
      </c>
    </row>
    <row r="3" spans="1:37" ht="13.15" x14ac:dyDescent="0.4">
      <c r="A3" s="1" t="s">
        <v>113</v>
      </c>
    </row>
    <row r="5" spans="1:37" x14ac:dyDescent="0.35">
      <c r="L5" s="19"/>
      <c r="M5" s="19"/>
    </row>
    <row r="6" spans="1:37" hidden="1" x14ac:dyDescent="0.35">
      <c r="J6" s="183">
        <v>10</v>
      </c>
      <c r="L6" s="180">
        <v>3</v>
      </c>
      <c r="M6" s="180"/>
      <c r="O6" s="14">
        <v>1</v>
      </c>
      <c r="P6" s="14">
        <v>2</v>
      </c>
      <c r="Q6" s="14">
        <v>3</v>
      </c>
      <c r="R6" s="14">
        <v>4</v>
      </c>
      <c r="S6" s="14">
        <v>5</v>
      </c>
      <c r="T6" s="14">
        <v>6</v>
      </c>
      <c r="U6" s="14">
        <v>7</v>
      </c>
      <c r="V6" s="14">
        <v>8</v>
      </c>
      <c r="W6" s="14">
        <v>9</v>
      </c>
      <c r="X6" s="14">
        <v>10</v>
      </c>
      <c r="Y6" s="14">
        <v>11</v>
      </c>
      <c r="Z6" s="14">
        <v>12</v>
      </c>
      <c r="AA6" s="14">
        <v>13</v>
      </c>
      <c r="AB6" s="14">
        <v>14</v>
      </c>
      <c r="AC6" s="14">
        <v>15</v>
      </c>
      <c r="AD6" s="14">
        <v>16</v>
      </c>
      <c r="AE6" s="14">
        <v>17</v>
      </c>
      <c r="AF6" s="14">
        <v>18</v>
      </c>
      <c r="AG6" s="14">
        <v>19</v>
      </c>
      <c r="AH6" s="14">
        <v>20</v>
      </c>
      <c r="AI6" s="14">
        <v>21</v>
      </c>
      <c r="AJ6" s="14">
        <v>22</v>
      </c>
    </row>
    <row r="7" spans="1:37" ht="63.75" customHeight="1" x14ac:dyDescent="0.4">
      <c r="A7" s="21" t="s">
        <v>2</v>
      </c>
      <c r="B7" s="21" t="s">
        <v>3</v>
      </c>
      <c r="C7" s="103" t="s">
        <v>303</v>
      </c>
      <c r="D7" s="103" t="s">
        <v>258</v>
      </c>
      <c r="E7" s="103" t="s">
        <v>243</v>
      </c>
      <c r="F7" s="103" t="s">
        <v>97</v>
      </c>
      <c r="G7" s="103" t="s">
        <v>106</v>
      </c>
      <c r="H7" s="103" t="s">
        <v>114</v>
      </c>
      <c r="I7" s="103" t="s">
        <v>161</v>
      </c>
      <c r="J7" s="178" t="s">
        <v>109</v>
      </c>
      <c r="K7" s="167" t="s">
        <v>82</v>
      </c>
      <c r="L7" s="167" t="s">
        <v>107</v>
      </c>
      <c r="M7" s="167" t="s">
        <v>112</v>
      </c>
      <c r="O7" s="15">
        <f>dummy!C8</f>
        <v>42648</v>
      </c>
      <c r="P7" s="15">
        <f>dummy!D8</f>
        <v>42655</v>
      </c>
      <c r="Q7" s="15">
        <f>dummy!E8</f>
        <v>42662</v>
      </c>
      <c r="R7" s="15">
        <f>dummy!F8</f>
        <v>42669</v>
      </c>
      <c r="S7" s="15">
        <f>dummy!G8</f>
        <v>42676</v>
      </c>
      <c r="T7" s="15">
        <f>dummy!H8</f>
        <v>42683</v>
      </c>
      <c r="U7" s="15">
        <f>dummy!I8</f>
        <v>42690</v>
      </c>
      <c r="V7" s="15">
        <f>dummy!J8</f>
        <v>42704</v>
      </c>
      <c r="W7" s="15">
        <f>dummy!K8</f>
        <v>42711</v>
      </c>
      <c r="X7" s="15">
        <f>dummy!L8</f>
        <v>42718</v>
      </c>
      <c r="Y7" s="15">
        <f>dummy!M8</f>
        <v>42725</v>
      </c>
      <c r="Z7" s="15">
        <f>dummy!N8</f>
        <v>42739</v>
      </c>
      <c r="AA7" s="15">
        <f>dummy!O8</f>
        <v>42746</v>
      </c>
      <c r="AB7" s="15">
        <f>dummy!P8</f>
        <v>42753</v>
      </c>
      <c r="AC7" s="15">
        <f>dummy!Q8</f>
        <v>42760</v>
      </c>
      <c r="AD7" s="15">
        <f>dummy!R8</f>
        <v>42767</v>
      </c>
      <c r="AE7" s="15">
        <f>dummy!S8</f>
        <v>42774</v>
      </c>
      <c r="AF7" s="15">
        <f>dummy!T8</f>
        <v>42781</v>
      </c>
      <c r="AG7" s="15">
        <f>dummy!U8</f>
        <v>42795</v>
      </c>
      <c r="AH7" s="15">
        <f>dummy!V8</f>
        <v>42802</v>
      </c>
      <c r="AI7" s="15">
        <f>dummy!W8</f>
        <v>42809</v>
      </c>
      <c r="AJ7" s="15">
        <f>dummy!X8</f>
        <v>42816</v>
      </c>
    </row>
    <row r="8" spans="1:37" x14ac:dyDescent="0.35">
      <c r="A8" s="219" t="str">
        <f>+'wkly alpha'!A8</f>
        <v>Albanese</v>
      </c>
      <c r="B8" s="217">
        <f>+'wkly alpha'!B8</f>
        <v>3</v>
      </c>
      <c r="C8" s="218"/>
      <c r="D8" s="218"/>
      <c r="E8" s="218"/>
      <c r="F8" s="218"/>
      <c r="G8" s="218"/>
      <c r="H8" s="218"/>
      <c r="I8" s="218"/>
      <c r="J8" s="218">
        <f t="shared" ref="J8:J54" si="0">+$J$6*AK8</f>
        <v>20</v>
      </c>
      <c r="K8" s="219">
        <f>+'wkly alpha'!M8</f>
        <v>0</v>
      </c>
      <c r="L8" s="220">
        <f t="shared" ref="L8:L54" si="1">+K8*$L$6</f>
        <v>0</v>
      </c>
      <c r="M8" s="220">
        <f t="shared" ref="M8:M42" si="2">SUM(C8:L8)-K8</f>
        <v>20</v>
      </c>
      <c r="N8" s="166"/>
      <c r="AG8">
        <v>2</v>
      </c>
      <c r="AK8">
        <f t="shared" ref="AK8:AK54" si="3">SUM(O8:AJ8)</f>
        <v>2</v>
      </c>
    </row>
    <row r="9" spans="1:37" x14ac:dyDescent="0.35">
      <c r="A9" s="219" t="str">
        <f>+'wkly alpha'!A9</f>
        <v>Albergo</v>
      </c>
      <c r="B9" s="217">
        <f>+'wkly alpha'!B9</f>
        <v>1</v>
      </c>
      <c r="C9" s="218"/>
      <c r="D9" s="218"/>
      <c r="E9" s="218"/>
      <c r="F9" s="218"/>
      <c r="G9" s="218"/>
      <c r="H9" s="218"/>
      <c r="I9" s="218"/>
      <c r="J9" s="218">
        <f t="shared" si="0"/>
        <v>0</v>
      </c>
      <c r="K9" s="219">
        <f>+'wkly alpha'!M9</f>
        <v>0</v>
      </c>
      <c r="L9" s="220">
        <f t="shared" si="1"/>
        <v>0</v>
      </c>
      <c r="M9" s="220">
        <f t="shared" si="2"/>
        <v>0</v>
      </c>
      <c r="N9" s="166"/>
      <c r="AK9">
        <f t="shared" si="3"/>
        <v>0</v>
      </c>
    </row>
    <row r="10" spans="1:37" x14ac:dyDescent="0.35">
      <c r="A10" s="219" t="str">
        <f>+'wkly alpha'!A10</f>
        <v>Barbarisi</v>
      </c>
      <c r="B10" s="217">
        <f>+'wkly alpha'!B10</f>
        <v>4</v>
      </c>
      <c r="C10" s="218"/>
      <c r="D10" s="218"/>
      <c r="E10" s="218"/>
      <c r="F10" s="218"/>
      <c r="G10" s="218"/>
      <c r="H10" s="218"/>
      <c r="I10" s="218"/>
      <c r="J10" s="218">
        <f>+$J$6*AK10</f>
        <v>0</v>
      </c>
      <c r="K10" s="219">
        <f>+'wkly alpha'!M10</f>
        <v>0</v>
      </c>
      <c r="L10" s="220">
        <f>+K10*$L$6</f>
        <v>0</v>
      </c>
      <c r="M10" s="220">
        <f t="shared" ref="M10" si="4">SUM(C10:L10)-K10</f>
        <v>0</v>
      </c>
      <c r="N10" s="166"/>
      <c r="AK10">
        <f>SUM(O10:AJ10)</f>
        <v>0</v>
      </c>
    </row>
    <row r="11" spans="1:37" x14ac:dyDescent="0.35">
      <c r="A11" s="219" t="str">
        <f>+'wkly alpha'!A11</f>
        <v>Barnett</v>
      </c>
      <c r="B11" s="217">
        <f>+'wkly alpha'!B11</f>
        <v>4</v>
      </c>
      <c r="C11" s="218"/>
      <c r="D11" s="218"/>
      <c r="E11" s="218"/>
      <c r="F11" s="218"/>
      <c r="G11" s="218"/>
      <c r="H11" s="218"/>
      <c r="I11" s="218"/>
      <c r="J11" s="218">
        <f t="shared" si="0"/>
        <v>0</v>
      </c>
      <c r="K11" s="219">
        <f>+'wkly alpha'!M11</f>
        <v>0</v>
      </c>
      <c r="L11" s="220">
        <f t="shared" si="1"/>
        <v>0</v>
      </c>
      <c r="M11" s="220">
        <f t="shared" si="2"/>
        <v>0</v>
      </c>
      <c r="N11" s="166"/>
      <c r="AK11">
        <f t="shared" si="3"/>
        <v>0</v>
      </c>
    </row>
    <row r="12" spans="1:37" x14ac:dyDescent="0.35">
      <c r="A12" s="219" t="str">
        <f>+'wkly alpha'!A12</f>
        <v>Belyea</v>
      </c>
      <c r="B12" s="217">
        <f>+'wkly alpha'!B12</f>
        <v>3</v>
      </c>
      <c r="C12" s="218"/>
      <c r="D12" s="218"/>
      <c r="E12" s="218"/>
      <c r="F12" s="218"/>
      <c r="G12" s="218"/>
      <c r="H12" s="218"/>
      <c r="I12" s="218"/>
      <c r="J12" s="218">
        <f t="shared" si="0"/>
        <v>0</v>
      </c>
      <c r="K12" s="219">
        <f>+'wkly alpha'!M12</f>
        <v>0</v>
      </c>
      <c r="L12" s="220">
        <f t="shared" si="1"/>
        <v>0</v>
      </c>
      <c r="M12" s="220">
        <f t="shared" si="2"/>
        <v>0</v>
      </c>
      <c r="N12" s="166"/>
      <c r="AK12">
        <f t="shared" si="3"/>
        <v>0</v>
      </c>
    </row>
    <row r="13" spans="1:37" x14ac:dyDescent="0.35">
      <c r="A13" s="219" t="str">
        <f>+'wkly alpha'!A13</f>
        <v>Bigelsen</v>
      </c>
      <c r="B13" s="217">
        <f>+'wkly alpha'!B13</f>
        <v>2</v>
      </c>
      <c r="C13" s="218"/>
      <c r="D13" s="218"/>
      <c r="E13" s="218"/>
      <c r="F13" s="218"/>
      <c r="G13" s="218"/>
      <c r="H13" s="218"/>
      <c r="I13" s="218"/>
      <c r="J13" s="218">
        <f t="shared" si="0"/>
        <v>10</v>
      </c>
      <c r="K13" s="219">
        <f>+'wkly alpha'!M13</f>
        <v>0</v>
      </c>
      <c r="L13" s="220">
        <f t="shared" si="1"/>
        <v>0</v>
      </c>
      <c r="M13" s="220">
        <f t="shared" si="2"/>
        <v>10</v>
      </c>
      <c r="N13" s="166"/>
      <c r="AD13">
        <v>1</v>
      </c>
      <c r="AK13">
        <f t="shared" si="3"/>
        <v>1</v>
      </c>
    </row>
    <row r="14" spans="1:37" x14ac:dyDescent="0.35">
      <c r="A14" s="219" t="str">
        <f>+'wkly alpha'!A14</f>
        <v>Breslauer</v>
      </c>
      <c r="B14" s="217">
        <f>+'wkly alpha'!B14</f>
        <v>2</v>
      </c>
      <c r="C14" s="218"/>
      <c r="D14" s="218"/>
      <c r="E14" s="218"/>
      <c r="F14" s="218"/>
      <c r="G14" s="218"/>
      <c r="H14" s="218"/>
      <c r="I14" s="218"/>
      <c r="J14" s="218">
        <f t="shared" si="0"/>
        <v>0</v>
      </c>
      <c r="K14" s="219">
        <f>+'wkly alpha'!M14</f>
        <v>0</v>
      </c>
      <c r="L14" s="220">
        <f t="shared" si="1"/>
        <v>0</v>
      </c>
      <c r="M14" s="220">
        <f t="shared" si="2"/>
        <v>0</v>
      </c>
      <c r="N14" s="166"/>
      <c r="AK14">
        <f t="shared" si="3"/>
        <v>0</v>
      </c>
    </row>
    <row r="15" spans="1:37" x14ac:dyDescent="0.35">
      <c r="A15" s="219" t="str">
        <f>+'wkly alpha'!A15</f>
        <v>Brylawski</v>
      </c>
      <c r="B15" s="217">
        <f>+'wkly alpha'!B15</f>
        <v>3</v>
      </c>
      <c r="C15" s="218"/>
      <c r="D15" s="218"/>
      <c r="E15" s="218"/>
      <c r="F15" s="218"/>
      <c r="G15" s="218"/>
      <c r="H15" s="218"/>
      <c r="I15" s="218"/>
      <c r="J15" s="218">
        <f>+$J$6*AK15</f>
        <v>0</v>
      </c>
      <c r="K15" s="219">
        <f>+'wkly alpha'!M15</f>
        <v>0</v>
      </c>
      <c r="L15" s="220">
        <f>+K15*$L$6</f>
        <v>0</v>
      </c>
      <c r="M15" s="220">
        <f t="shared" si="2"/>
        <v>0</v>
      </c>
      <c r="N15" s="166"/>
      <c r="AK15">
        <f>SUM(O15:AJ15)</f>
        <v>0</v>
      </c>
    </row>
    <row r="16" spans="1:37" x14ac:dyDescent="0.35">
      <c r="A16" s="219" t="str">
        <f>+'wkly alpha'!A16</f>
        <v>Campanaro</v>
      </c>
      <c r="B16" s="217">
        <f>+'wkly alpha'!B16</f>
        <v>2</v>
      </c>
      <c r="C16" s="218"/>
      <c r="D16" s="218"/>
      <c r="E16" s="218"/>
      <c r="F16" s="218"/>
      <c r="G16" s="218"/>
      <c r="H16" s="218"/>
      <c r="I16" s="218"/>
      <c r="J16" s="218">
        <f>+$J$6*AK16</f>
        <v>0</v>
      </c>
      <c r="K16" s="219">
        <f>+'wkly alpha'!M16</f>
        <v>0</v>
      </c>
      <c r="L16" s="220">
        <f>+K16*$L$6</f>
        <v>0</v>
      </c>
      <c r="M16" s="220">
        <f t="shared" ref="M16" si="5">SUM(C16:L16)-K16</f>
        <v>0</v>
      </c>
      <c r="N16" s="166"/>
      <c r="AK16">
        <f>SUM(O16:AJ16)</f>
        <v>0</v>
      </c>
    </row>
    <row r="17" spans="1:37" x14ac:dyDescent="0.35">
      <c r="A17" s="219" t="str">
        <f>+'wkly alpha'!A17</f>
        <v>Cassidy</v>
      </c>
      <c r="B17" s="217">
        <f>+'wkly alpha'!B17</f>
        <v>1</v>
      </c>
      <c r="C17" s="218"/>
      <c r="D17" s="218"/>
      <c r="E17" s="218"/>
      <c r="F17" s="218"/>
      <c r="G17" s="218"/>
      <c r="H17" s="218"/>
      <c r="I17" s="218"/>
      <c r="J17" s="218">
        <f t="shared" si="0"/>
        <v>0</v>
      </c>
      <c r="K17" s="219">
        <f>+'wkly alpha'!M17</f>
        <v>0</v>
      </c>
      <c r="L17" s="220">
        <f t="shared" si="1"/>
        <v>0</v>
      </c>
      <c r="M17" s="220">
        <f t="shared" si="2"/>
        <v>0</v>
      </c>
      <c r="N17" s="166"/>
      <c r="AK17">
        <f t="shared" si="3"/>
        <v>0</v>
      </c>
    </row>
    <row r="18" spans="1:37" x14ac:dyDescent="0.35">
      <c r="A18" s="219" t="str">
        <f>+'wkly alpha'!A18</f>
        <v>Dages</v>
      </c>
      <c r="B18" s="217">
        <f>+'wkly alpha'!B18</f>
        <v>4</v>
      </c>
      <c r="C18" s="218"/>
      <c r="D18" s="218"/>
      <c r="E18" s="218"/>
      <c r="F18" s="218"/>
      <c r="G18" s="218"/>
      <c r="H18" s="218"/>
      <c r="I18" s="218"/>
      <c r="J18" s="218">
        <f t="shared" si="0"/>
        <v>0</v>
      </c>
      <c r="K18" s="219">
        <f>+'wkly alpha'!M18</f>
        <v>0</v>
      </c>
      <c r="L18" s="220">
        <f t="shared" si="1"/>
        <v>0</v>
      </c>
      <c r="M18" s="220">
        <f t="shared" si="2"/>
        <v>0</v>
      </c>
      <c r="N18" s="166"/>
      <c r="AK18">
        <f t="shared" si="3"/>
        <v>0</v>
      </c>
    </row>
    <row r="19" spans="1:37" x14ac:dyDescent="0.35">
      <c r="A19" s="219" t="str">
        <f>+'wkly alpha'!A19</f>
        <v>Dagger</v>
      </c>
      <c r="B19" s="217">
        <f>+'wkly alpha'!B19</f>
        <v>1</v>
      </c>
      <c r="C19" s="218"/>
      <c r="D19" s="218"/>
      <c r="E19" s="218"/>
      <c r="F19" s="218"/>
      <c r="G19" s="218"/>
      <c r="H19" s="218"/>
      <c r="I19" s="218"/>
      <c r="J19" s="218">
        <f t="shared" ref="J19:J20" si="6">+$J$6*AK19</f>
        <v>0</v>
      </c>
      <c r="K19" s="219">
        <f>+'wkly alpha'!M19</f>
        <v>0</v>
      </c>
      <c r="L19" s="220">
        <f t="shared" ref="L19:L20" si="7">+K19*$L$6</f>
        <v>0</v>
      </c>
      <c r="M19" s="220">
        <f t="shared" ref="M19" si="8">SUM(C19:L19)-K19</f>
        <v>0</v>
      </c>
      <c r="N19" s="166"/>
      <c r="AK19">
        <f t="shared" ref="AK19" si="9">SUM(O19:AJ19)</f>
        <v>0</v>
      </c>
    </row>
    <row r="20" spans="1:37" x14ac:dyDescent="0.35">
      <c r="A20" s="219" t="str">
        <f>+'wkly alpha'!A20</f>
        <v>Driscoll</v>
      </c>
      <c r="B20" s="217">
        <f>+'wkly alpha'!B20</f>
        <v>4</v>
      </c>
      <c r="C20" s="218"/>
      <c r="D20" s="218"/>
      <c r="E20" s="218"/>
      <c r="F20" s="218"/>
      <c r="G20" s="218"/>
      <c r="H20" s="218"/>
      <c r="I20" s="218"/>
      <c r="J20" s="218">
        <f t="shared" si="6"/>
        <v>0</v>
      </c>
      <c r="K20" s="219">
        <f>+'wkly alpha'!M20</f>
        <v>0</v>
      </c>
      <c r="L20" s="220">
        <f t="shared" si="7"/>
        <v>0</v>
      </c>
      <c r="M20" s="220">
        <f t="shared" ref="M20" si="10">SUM(C20:L20)-K20</f>
        <v>0</v>
      </c>
      <c r="AK20">
        <f t="shared" ref="AK20" si="11">SUM(O20:AJ20)</f>
        <v>0</v>
      </c>
    </row>
    <row r="21" spans="1:37" x14ac:dyDescent="0.35">
      <c r="A21" s="219" t="str">
        <f>+'wkly alpha'!A21</f>
        <v>Emr</v>
      </c>
      <c r="B21" s="217">
        <f>+'wkly alpha'!B21</f>
        <v>4</v>
      </c>
      <c r="C21" s="218"/>
      <c r="D21" s="218"/>
      <c r="E21" s="218"/>
      <c r="F21" s="218"/>
      <c r="G21" s="218"/>
      <c r="H21" s="218"/>
      <c r="I21" s="218"/>
      <c r="J21" s="218">
        <f t="shared" si="0"/>
        <v>0</v>
      </c>
      <c r="K21" s="219">
        <f>+'wkly alpha'!M21</f>
        <v>0</v>
      </c>
      <c r="L21" s="220">
        <f t="shared" si="1"/>
        <v>0</v>
      </c>
      <c r="M21" s="220">
        <f t="shared" si="2"/>
        <v>0</v>
      </c>
      <c r="AK21">
        <f t="shared" si="3"/>
        <v>0</v>
      </c>
    </row>
    <row r="22" spans="1:37" x14ac:dyDescent="0.35">
      <c r="A22" s="219" t="str">
        <f>+'wkly alpha'!A22</f>
        <v>Fricke</v>
      </c>
      <c r="B22" s="217">
        <f>+'wkly alpha'!B22</f>
        <v>4</v>
      </c>
      <c r="C22" s="218"/>
      <c r="D22" s="218"/>
      <c r="E22" s="218"/>
      <c r="F22" s="218"/>
      <c r="G22" s="218"/>
      <c r="H22" s="218"/>
      <c r="I22" s="218"/>
      <c r="J22" s="218">
        <f t="shared" ref="J22" si="12">+$J$6*AK22</f>
        <v>0</v>
      </c>
      <c r="K22" s="219">
        <f>+'wkly alpha'!M22</f>
        <v>0</v>
      </c>
      <c r="L22" s="220">
        <f t="shared" ref="L22" si="13">+K22*$L$6</f>
        <v>0</v>
      </c>
      <c r="M22" s="220">
        <f t="shared" ref="M22" si="14">SUM(C22:L22)-K22</f>
        <v>0</v>
      </c>
      <c r="AK22">
        <f t="shared" ref="AK22" si="15">SUM(O22:AJ22)</f>
        <v>0</v>
      </c>
    </row>
    <row r="23" spans="1:37" x14ac:dyDescent="0.35">
      <c r="A23" s="219" t="str">
        <f>+'wkly alpha'!A23</f>
        <v>Gellert</v>
      </c>
      <c r="B23" s="217">
        <f>+'wkly alpha'!B23</f>
        <v>4</v>
      </c>
      <c r="C23" s="218"/>
      <c r="D23" s="218"/>
      <c r="E23" s="218"/>
      <c r="F23" s="218"/>
      <c r="G23" s="218"/>
      <c r="H23" s="218"/>
      <c r="I23" s="218"/>
      <c r="J23" s="218">
        <f t="shared" si="0"/>
        <v>0</v>
      </c>
      <c r="K23" s="219">
        <f>+'wkly alpha'!M23</f>
        <v>0</v>
      </c>
      <c r="L23" s="220">
        <f t="shared" si="1"/>
        <v>0</v>
      </c>
      <c r="M23" s="220">
        <f t="shared" si="2"/>
        <v>0</v>
      </c>
      <c r="AK23">
        <f t="shared" si="3"/>
        <v>0</v>
      </c>
    </row>
    <row r="24" spans="1:37" x14ac:dyDescent="0.35">
      <c r="A24" s="219" t="str">
        <f>+'wkly alpha'!A24</f>
        <v>Gerity</v>
      </c>
      <c r="B24" s="217">
        <f>+'wkly alpha'!B24</f>
        <v>3</v>
      </c>
      <c r="C24" s="218"/>
      <c r="D24" s="218"/>
      <c r="E24" s="218"/>
      <c r="F24" s="218"/>
      <c r="G24" s="218"/>
      <c r="H24" s="218"/>
      <c r="I24" s="218"/>
      <c r="J24" s="218">
        <f t="shared" ref="J24" si="16">+$J$6*AK24</f>
        <v>20</v>
      </c>
      <c r="K24" s="219">
        <f>+'wkly alpha'!M24</f>
        <v>0</v>
      </c>
      <c r="L24" s="220">
        <f t="shared" ref="L24" si="17">+K24*$L$6</f>
        <v>0</v>
      </c>
      <c r="M24" s="220">
        <f t="shared" ref="M24" si="18">SUM(C24:L24)-K24</f>
        <v>20</v>
      </c>
      <c r="Q24">
        <v>1</v>
      </c>
      <c r="X24">
        <v>1</v>
      </c>
      <c r="AK24">
        <f t="shared" ref="AK24" si="19">SUM(O24:AJ24)</f>
        <v>2</v>
      </c>
    </row>
    <row r="25" spans="1:37" x14ac:dyDescent="0.35">
      <c r="A25" s="219" t="str">
        <f>+'wkly alpha'!A25</f>
        <v>Gittle</v>
      </c>
      <c r="B25" s="217">
        <f>+'wkly alpha'!B25</f>
        <v>1</v>
      </c>
      <c r="C25" s="218"/>
      <c r="D25" s="218"/>
      <c r="E25" s="218"/>
      <c r="F25" s="218"/>
      <c r="G25" s="218"/>
      <c r="H25" s="218"/>
      <c r="I25" s="218"/>
      <c r="J25" s="218">
        <f t="shared" ref="J25" si="20">+$J$6*AK25</f>
        <v>0</v>
      </c>
      <c r="K25" s="219">
        <f>+'wkly alpha'!M25</f>
        <v>0</v>
      </c>
      <c r="L25" s="220">
        <f t="shared" ref="L25" si="21">+K25*$L$6</f>
        <v>0</v>
      </c>
      <c r="M25" s="220">
        <f t="shared" ref="M25" si="22">SUM(C25:L25)-K25</f>
        <v>0</v>
      </c>
      <c r="AK25">
        <f t="shared" ref="AK25" si="23">SUM(O25:AJ25)</f>
        <v>0</v>
      </c>
    </row>
    <row r="26" spans="1:37" x14ac:dyDescent="0.35">
      <c r="A26" s="219" t="str">
        <f>+'wkly alpha'!A26</f>
        <v>Gorman</v>
      </c>
      <c r="B26" s="217">
        <f>+'wkly alpha'!B26</f>
        <v>3</v>
      </c>
      <c r="C26" s="218"/>
      <c r="D26" s="218"/>
      <c r="E26" s="218"/>
      <c r="F26" s="218"/>
      <c r="G26" s="218"/>
      <c r="H26" s="218"/>
      <c r="I26" s="218"/>
      <c r="J26" s="218">
        <f t="shared" ref="J26:J27" si="24">+$J$6*AK26</f>
        <v>0</v>
      </c>
      <c r="K26" s="219">
        <f>+'wkly alpha'!M26</f>
        <v>0</v>
      </c>
      <c r="L26" s="220">
        <f t="shared" ref="L26:L27" si="25">+K26*$L$6</f>
        <v>0</v>
      </c>
      <c r="M26" s="220">
        <f t="shared" ref="M26" si="26">SUM(C26:L26)-K26</f>
        <v>0</v>
      </c>
      <c r="AK26">
        <f t="shared" ref="AK26" si="27">SUM(O26:AJ26)</f>
        <v>0</v>
      </c>
    </row>
    <row r="27" spans="1:37" x14ac:dyDescent="0.35">
      <c r="A27" s="219" t="str">
        <f>+'wkly alpha'!A27</f>
        <v>Gotthelf</v>
      </c>
      <c r="B27" s="217">
        <f>+'wkly alpha'!B27</f>
        <v>2</v>
      </c>
      <c r="C27" s="218"/>
      <c r="D27" s="218"/>
      <c r="E27" s="218"/>
      <c r="F27" s="218"/>
      <c r="G27" s="218"/>
      <c r="H27" s="218"/>
      <c r="I27" s="218"/>
      <c r="J27" s="218">
        <f t="shared" si="24"/>
        <v>0</v>
      </c>
      <c r="K27" s="219">
        <f>+'wkly alpha'!M27</f>
        <v>0</v>
      </c>
      <c r="L27" s="220">
        <f t="shared" si="25"/>
        <v>0</v>
      </c>
      <c r="M27" s="220">
        <f t="shared" ref="M27" si="28">SUM(C27:L27)-K27</f>
        <v>0</v>
      </c>
      <c r="AK27">
        <f t="shared" ref="AK27" si="29">SUM(O27:AJ27)</f>
        <v>0</v>
      </c>
    </row>
    <row r="28" spans="1:37" x14ac:dyDescent="0.35">
      <c r="A28" s="219" t="str">
        <f>+'wkly alpha'!A28</f>
        <v>Grodofsky</v>
      </c>
      <c r="B28" s="217">
        <f>+'wkly alpha'!B28</f>
        <v>2</v>
      </c>
      <c r="C28" s="218"/>
      <c r="D28" s="218"/>
      <c r="E28" s="218"/>
      <c r="F28" s="218"/>
      <c r="G28" s="218"/>
      <c r="H28" s="218"/>
      <c r="I28" s="218"/>
      <c r="J28" s="218">
        <f t="shared" si="0"/>
        <v>0</v>
      </c>
      <c r="K28" s="219">
        <f>+'wkly alpha'!M28</f>
        <v>0</v>
      </c>
      <c r="L28" s="220">
        <f t="shared" si="1"/>
        <v>0</v>
      </c>
      <c r="M28" s="220">
        <f t="shared" si="2"/>
        <v>0</v>
      </c>
      <c r="AK28">
        <f t="shared" si="3"/>
        <v>0</v>
      </c>
    </row>
    <row r="29" spans="1:37" x14ac:dyDescent="0.35">
      <c r="A29" s="219" t="str">
        <f>+'wkly alpha'!A29</f>
        <v>Happer</v>
      </c>
      <c r="B29" s="217">
        <f>+'wkly alpha'!B29</f>
        <v>3</v>
      </c>
      <c r="C29" s="218"/>
      <c r="D29" s="218"/>
      <c r="E29" s="218"/>
      <c r="F29" s="218"/>
      <c r="G29" s="218"/>
      <c r="H29" s="218"/>
      <c r="I29" s="218"/>
      <c r="J29" s="218">
        <f t="shared" si="0"/>
        <v>30</v>
      </c>
      <c r="K29" s="219">
        <f>+'wkly alpha'!M29</f>
        <v>0</v>
      </c>
      <c r="L29" s="220">
        <f t="shared" si="1"/>
        <v>0</v>
      </c>
      <c r="M29" s="220">
        <f t="shared" si="2"/>
        <v>30</v>
      </c>
      <c r="AF29">
        <v>3</v>
      </c>
      <c r="AK29">
        <f t="shared" si="3"/>
        <v>3</v>
      </c>
    </row>
    <row r="30" spans="1:37" x14ac:dyDescent="0.35">
      <c r="A30" s="219" t="str">
        <f>+'wkly alpha'!A30</f>
        <v>Harris</v>
      </c>
      <c r="B30" s="217">
        <f>+'wkly alpha'!B30</f>
        <v>4</v>
      </c>
      <c r="C30" s="218"/>
      <c r="D30" s="218"/>
      <c r="E30" s="218"/>
      <c r="F30" s="218"/>
      <c r="G30" s="218"/>
      <c r="H30" s="218"/>
      <c r="I30" s="218"/>
      <c r="J30" s="218">
        <f t="shared" si="0"/>
        <v>0</v>
      </c>
      <c r="K30" s="219">
        <f>+'wkly alpha'!M30</f>
        <v>0</v>
      </c>
      <c r="L30" s="220">
        <f t="shared" si="1"/>
        <v>0</v>
      </c>
      <c r="M30" s="220">
        <f t="shared" si="2"/>
        <v>0</v>
      </c>
      <c r="AK30">
        <f t="shared" si="3"/>
        <v>0</v>
      </c>
    </row>
    <row r="31" spans="1:37" x14ac:dyDescent="0.35">
      <c r="A31" s="219" t="str">
        <f>+'wkly alpha'!A31</f>
        <v>Harvey</v>
      </c>
      <c r="B31" s="217">
        <f>+'wkly alpha'!B31</f>
        <v>1</v>
      </c>
      <c r="C31" s="218"/>
      <c r="D31" s="218"/>
      <c r="E31" s="218"/>
      <c r="F31" s="218"/>
      <c r="G31" s="218"/>
      <c r="H31" s="218"/>
      <c r="I31" s="218"/>
      <c r="J31" s="218">
        <f t="shared" ref="J31" si="30">+$J$6*AK31</f>
        <v>0</v>
      </c>
      <c r="K31" s="219">
        <f>+'wkly alpha'!M31</f>
        <v>0</v>
      </c>
      <c r="L31" s="220">
        <f t="shared" ref="L31" si="31">+K31*$L$6</f>
        <v>0</v>
      </c>
      <c r="M31" s="220">
        <f t="shared" si="2"/>
        <v>0</v>
      </c>
      <c r="AK31">
        <f t="shared" ref="AK31" si="32">SUM(O31:AJ31)</f>
        <v>0</v>
      </c>
    </row>
    <row r="32" spans="1:37" x14ac:dyDescent="0.35">
      <c r="A32" s="219" t="str">
        <f>+'wkly alpha'!A32</f>
        <v>Hatton</v>
      </c>
      <c r="B32" s="217">
        <f>+'wkly alpha'!B32</f>
        <v>4</v>
      </c>
      <c r="C32" s="218"/>
      <c r="D32" s="218"/>
      <c r="E32" s="218"/>
      <c r="F32" s="218"/>
      <c r="G32" s="218"/>
      <c r="H32" s="218"/>
      <c r="I32" s="218"/>
      <c r="J32" s="218">
        <f t="shared" si="0"/>
        <v>50</v>
      </c>
      <c r="K32" s="219">
        <f>+'wkly alpha'!M32</f>
        <v>0</v>
      </c>
      <c r="L32" s="220">
        <f t="shared" si="1"/>
        <v>0</v>
      </c>
      <c r="M32" s="220">
        <f t="shared" si="2"/>
        <v>50</v>
      </c>
      <c r="O32">
        <v>4</v>
      </c>
      <c r="Q32">
        <v>1</v>
      </c>
      <c r="AK32">
        <f t="shared" si="3"/>
        <v>5</v>
      </c>
    </row>
    <row r="33" spans="1:37" x14ac:dyDescent="0.35">
      <c r="A33" s="219" t="str">
        <f>+'wkly alpha'!A33</f>
        <v>Hilton</v>
      </c>
      <c r="B33" s="217">
        <f>+'wkly alpha'!B33</f>
        <v>2</v>
      </c>
      <c r="C33" s="218"/>
      <c r="D33" s="218"/>
      <c r="E33" s="218"/>
      <c r="F33" s="218"/>
      <c r="G33" s="218"/>
      <c r="H33" s="218"/>
      <c r="I33" s="218"/>
      <c r="J33" s="218">
        <f t="shared" ref="J33" si="33">+$J$6*AK33</f>
        <v>0</v>
      </c>
      <c r="K33" s="219">
        <f>+'wkly alpha'!M33</f>
        <v>0</v>
      </c>
      <c r="L33" s="220">
        <f t="shared" ref="L33" si="34">+K33*$L$6</f>
        <v>0</v>
      </c>
      <c r="M33" s="220">
        <f t="shared" ref="M33" si="35">SUM(C33:L33)-K33</f>
        <v>0</v>
      </c>
      <c r="AK33">
        <f t="shared" ref="AK33" si="36">SUM(O33:AJ33)</f>
        <v>0</v>
      </c>
    </row>
    <row r="34" spans="1:37" x14ac:dyDescent="0.35">
      <c r="A34" s="219" t="str">
        <f>+'wkly alpha'!A34</f>
        <v>Hornyak</v>
      </c>
      <c r="B34" s="217">
        <f>+'wkly alpha'!B34</f>
        <v>2</v>
      </c>
      <c r="C34" s="218"/>
      <c r="D34" s="218"/>
      <c r="E34" s="218"/>
      <c r="F34" s="218"/>
      <c r="G34" s="218"/>
      <c r="H34" s="218"/>
      <c r="I34" s="218"/>
      <c r="J34" s="218">
        <f t="shared" si="0"/>
        <v>10</v>
      </c>
      <c r="K34" s="219">
        <f>+'wkly alpha'!M34</f>
        <v>0</v>
      </c>
      <c r="L34" s="220">
        <f t="shared" si="1"/>
        <v>0</v>
      </c>
      <c r="M34" s="220">
        <f t="shared" si="2"/>
        <v>10</v>
      </c>
      <c r="U34">
        <v>1</v>
      </c>
      <c r="AK34">
        <f t="shared" si="3"/>
        <v>1</v>
      </c>
    </row>
    <row r="35" spans="1:37" x14ac:dyDescent="0.35">
      <c r="A35" s="219" t="str">
        <f>+'wkly alpha'!A35</f>
        <v>Horowitz</v>
      </c>
      <c r="B35" s="217">
        <f>+'wkly alpha'!B35</f>
        <v>2</v>
      </c>
      <c r="C35" s="218"/>
      <c r="D35" s="218"/>
      <c r="E35" s="218"/>
      <c r="F35" s="218"/>
      <c r="G35" s="218"/>
      <c r="H35" s="218"/>
      <c r="I35" s="218"/>
      <c r="J35" s="218">
        <f t="shared" ref="J35" si="37">+$J$6*AK35</f>
        <v>0</v>
      </c>
      <c r="K35" s="219">
        <f>+'wkly alpha'!M35</f>
        <v>0</v>
      </c>
      <c r="L35" s="220">
        <f t="shared" ref="L35" si="38">+K35*$L$6</f>
        <v>0</v>
      </c>
      <c r="M35" s="220">
        <f t="shared" ref="M35" si="39">SUM(C35:L35)-K35</f>
        <v>0</v>
      </c>
      <c r="AK35">
        <f t="shared" ref="AK35" si="40">SUM(O35:AJ35)</f>
        <v>0</v>
      </c>
    </row>
    <row r="36" spans="1:37" x14ac:dyDescent="0.35">
      <c r="A36" s="219" t="str">
        <f>+'wkly alpha'!A36</f>
        <v>Jordan</v>
      </c>
      <c r="B36" s="217">
        <f>+'wkly alpha'!B36</f>
        <v>1</v>
      </c>
      <c r="C36" s="218"/>
      <c r="D36" s="218"/>
      <c r="E36" s="218"/>
      <c r="F36" s="218"/>
      <c r="G36" s="218"/>
      <c r="H36" s="218"/>
      <c r="I36" s="218"/>
      <c r="J36" s="218">
        <f t="shared" ref="J36" si="41">+$J$6*AK36</f>
        <v>0</v>
      </c>
      <c r="K36" s="219">
        <f>+'wkly alpha'!M36</f>
        <v>0</v>
      </c>
      <c r="L36" s="220">
        <f t="shared" ref="L36" si="42">+K36*$L$6</f>
        <v>0</v>
      </c>
      <c r="M36" s="220">
        <f t="shared" ref="M36" si="43">SUM(C36:L36)-K36</f>
        <v>0</v>
      </c>
      <c r="AK36">
        <f t="shared" ref="AK36" si="44">SUM(O36:AJ36)</f>
        <v>0</v>
      </c>
    </row>
    <row r="37" spans="1:37" x14ac:dyDescent="0.35">
      <c r="A37" s="219" t="str">
        <f>+'wkly alpha'!A37</f>
        <v>Kanaris</v>
      </c>
      <c r="B37" s="217">
        <f>+'wkly alpha'!B37</f>
        <v>1</v>
      </c>
      <c r="C37" s="218"/>
      <c r="D37" s="218"/>
      <c r="E37" s="218"/>
      <c r="F37" s="218"/>
      <c r="G37" s="218"/>
      <c r="H37" s="218"/>
      <c r="I37" s="218"/>
      <c r="J37" s="218">
        <f t="shared" ref="J37" si="45">+$J$6*AK37</f>
        <v>30</v>
      </c>
      <c r="K37" s="219">
        <f>+'wkly alpha'!M37</f>
        <v>0</v>
      </c>
      <c r="L37" s="220">
        <f t="shared" ref="L37" si="46">+K37*$L$6</f>
        <v>0</v>
      </c>
      <c r="M37" s="220">
        <f t="shared" ref="M37" si="47">SUM(C37:L37)-K37</f>
        <v>30</v>
      </c>
      <c r="AB37">
        <v>2</v>
      </c>
      <c r="AC37">
        <v>1</v>
      </c>
      <c r="AK37">
        <f t="shared" ref="AK37" si="48">SUM(O37:AJ37)</f>
        <v>3</v>
      </c>
    </row>
    <row r="38" spans="1:37" x14ac:dyDescent="0.35">
      <c r="A38" s="219" t="str">
        <f>+'wkly alpha'!A38</f>
        <v>Karczewski</v>
      </c>
      <c r="B38" s="217">
        <f>+'wkly alpha'!B38</f>
        <v>2</v>
      </c>
      <c r="C38" s="218"/>
      <c r="D38" s="218"/>
      <c r="E38" s="218"/>
      <c r="F38" s="218"/>
      <c r="G38" s="218"/>
      <c r="H38" s="218"/>
      <c r="I38" s="218"/>
      <c r="J38" s="218">
        <f>+$J$6*AK38</f>
        <v>30</v>
      </c>
      <c r="K38" s="219">
        <f>+'wkly alpha'!M38</f>
        <v>0</v>
      </c>
      <c r="L38" s="220">
        <f>+K38*$L$6</f>
        <v>0</v>
      </c>
      <c r="M38" s="220">
        <f t="shared" si="2"/>
        <v>30</v>
      </c>
      <c r="Y38">
        <v>2</v>
      </c>
      <c r="Z38">
        <v>1</v>
      </c>
      <c r="AK38">
        <f>SUM(O38:AJ38)</f>
        <v>3</v>
      </c>
    </row>
    <row r="39" spans="1:37" x14ac:dyDescent="0.35">
      <c r="A39" s="219" t="str">
        <f>+'wkly alpha'!A39</f>
        <v>Kennedy</v>
      </c>
      <c r="B39" s="217">
        <f>+'wkly alpha'!B39</f>
        <v>3</v>
      </c>
      <c r="C39" s="218"/>
      <c r="D39" s="218"/>
      <c r="E39" s="218"/>
      <c r="F39" s="218"/>
      <c r="G39" s="218"/>
      <c r="H39" s="218"/>
      <c r="I39" s="218"/>
      <c r="J39" s="218">
        <f t="shared" si="0"/>
        <v>10</v>
      </c>
      <c r="K39" s="219">
        <f>+'wkly alpha'!M39</f>
        <v>0</v>
      </c>
      <c r="L39" s="220">
        <f t="shared" si="1"/>
        <v>0</v>
      </c>
      <c r="M39" s="220">
        <f t="shared" si="2"/>
        <v>10</v>
      </c>
      <c r="AD39">
        <v>1</v>
      </c>
      <c r="AK39">
        <f t="shared" si="3"/>
        <v>1</v>
      </c>
    </row>
    <row r="40" spans="1:37" x14ac:dyDescent="0.35">
      <c r="A40" s="219" t="str">
        <f>+'wkly alpha'!A40</f>
        <v>Keyt</v>
      </c>
      <c r="B40" s="217">
        <f>+'wkly alpha'!B40</f>
        <v>1</v>
      </c>
      <c r="C40" s="218"/>
      <c r="D40" s="218"/>
      <c r="E40" s="218"/>
      <c r="F40" s="218"/>
      <c r="G40" s="218"/>
      <c r="H40" s="218"/>
      <c r="I40" s="218"/>
      <c r="J40" s="218">
        <f t="shared" ref="J40" si="49">+$J$6*AK40</f>
        <v>0</v>
      </c>
      <c r="K40" s="219">
        <f>+'wkly alpha'!M40</f>
        <v>0</v>
      </c>
      <c r="L40" s="220">
        <f t="shared" ref="L40" si="50">+K40*$L$6</f>
        <v>0</v>
      </c>
      <c r="M40" s="220">
        <f t="shared" si="2"/>
        <v>0</v>
      </c>
      <c r="AK40">
        <f t="shared" ref="AK40" si="51">SUM(O40:AJ40)</f>
        <v>0</v>
      </c>
    </row>
    <row r="41" spans="1:37" x14ac:dyDescent="0.35">
      <c r="A41" s="219" t="str">
        <f>+'wkly alpha'!A41</f>
        <v>Kincey</v>
      </c>
      <c r="B41" s="217">
        <f>+'wkly alpha'!B41</f>
        <v>3</v>
      </c>
      <c r="C41" s="218"/>
      <c r="D41" s="218"/>
      <c r="E41" s="218"/>
      <c r="F41" s="218"/>
      <c r="G41" s="218"/>
      <c r="H41" s="218"/>
      <c r="I41" s="218"/>
      <c r="J41" s="218">
        <f t="shared" si="0"/>
        <v>0</v>
      </c>
      <c r="K41" s="219">
        <f>+'wkly alpha'!M41</f>
        <v>0</v>
      </c>
      <c r="L41" s="220">
        <f t="shared" si="1"/>
        <v>0</v>
      </c>
      <c r="M41" s="220">
        <f t="shared" si="2"/>
        <v>0</v>
      </c>
      <c r="AK41">
        <f t="shared" si="3"/>
        <v>0</v>
      </c>
    </row>
    <row r="42" spans="1:37" x14ac:dyDescent="0.35">
      <c r="A42" s="219" t="str">
        <f>+'wkly alpha'!A42</f>
        <v>Kinney</v>
      </c>
      <c r="B42" s="217">
        <f>+'wkly alpha'!B42</f>
        <v>3</v>
      </c>
      <c r="C42" s="218"/>
      <c r="D42" s="218"/>
      <c r="E42" s="218"/>
      <c r="F42" s="218"/>
      <c r="G42" s="218"/>
      <c r="H42" s="218"/>
      <c r="I42" s="218"/>
      <c r="J42" s="218">
        <f>+$J$6*AK42</f>
        <v>10</v>
      </c>
      <c r="K42" s="219">
        <f>+'wkly alpha'!M42</f>
        <v>0</v>
      </c>
      <c r="L42" s="220">
        <f>+K42*$L$6</f>
        <v>0</v>
      </c>
      <c r="M42" s="220">
        <f t="shared" si="2"/>
        <v>10</v>
      </c>
      <c r="AH42">
        <v>1</v>
      </c>
      <c r="AK42">
        <f>SUM(O42:AJ42)</f>
        <v>1</v>
      </c>
    </row>
    <row r="43" spans="1:37" x14ac:dyDescent="0.35">
      <c r="A43" s="219" t="str">
        <f>+'wkly alpha'!A43</f>
        <v>Koy</v>
      </c>
      <c r="B43" s="217">
        <f>+'wkly alpha'!B43</f>
        <v>4</v>
      </c>
      <c r="C43" s="218"/>
      <c r="D43" s="218"/>
      <c r="E43" s="218"/>
      <c r="F43" s="218"/>
      <c r="G43" s="218"/>
      <c r="H43" s="218"/>
      <c r="I43" s="218"/>
      <c r="J43" s="218">
        <f t="shared" si="0"/>
        <v>0</v>
      </c>
      <c r="K43" s="219">
        <f>+'wkly alpha'!M43</f>
        <v>0</v>
      </c>
      <c r="L43" s="220">
        <f t="shared" si="1"/>
        <v>0</v>
      </c>
      <c r="M43" s="220">
        <f t="shared" ref="M43:M72" si="52">SUM(C43:L43)-K43</f>
        <v>0</v>
      </c>
      <c r="AK43">
        <f t="shared" si="3"/>
        <v>0</v>
      </c>
    </row>
    <row r="44" spans="1:37" x14ac:dyDescent="0.35">
      <c r="A44" s="219" t="str">
        <f>+'wkly alpha'!A44</f>
        <v>Kuehm</v>
      </c>
      <c r="B44" s="217">
        <f>+'wkly alpha'!B44</f>
        <v>2</v>
      </c>
      <c r="C44" s="218"/>
      <c r="D44" s="218"/>
      <c r="E44" s="218"/>
      <c r="F44" s="218"/>
      <c r="G44" s="218"/>
      <c r="H44" s="218"/>
      <c r="I44" s="218"/>
      <c r="J44" s="218">
        <f t="shared" si="0"/>
        <v>10</v>
      </c>
      <c r="K44" s="219">
        <f>+'wkly alpha'!M44</f>
        <v>0</v>
      </c>
      <c r="L44" s="220">
        <f t="shared" si="1"/>
        <v>0</v>
      </c>
      <c r="M44" s="220">
        <f t="shared" si="52"/>
        <v>10</v>
      </c>
      <c r="AA44">
        <v>1</v>
      </c>
      <c r="AK44">
        <f t="shared" si="3"/>
        <v>1</v>
      </c>
    </row>
    <row r="45" spans="1:37" x14ac:dyDescent="0.35">
      <c r="A45" s="219" t="str">
        <f>+'wkly alpha'!A45</f>
        <v>Lalin</v>
      </c>
      <c r="B45" s="217">
        <f>+'wkly alpha'!B45</f>
        <v>1</v>
      </c>
      <c r="C45" s="218"/>
      <c r="D45" s="218"/>
      <c r="E45" s="218"/>
      <c r="F45" s="218"/>
      <c r="G45" s="218"/>
      <c r="H45" s="218"/>
      <c r="I45" s="218"/>
      <c r="J45" s="218">
        <f t="shared" ref="J45:J50" si="53">+$J$6*AK45</f>
        <v>0</v>
      </c>
      <c r="K45" s="219">
        <f>+'wkly alpha'!M45</f>
        <v>0</v>
      </c>
      <c r="L45" s="220">
        <f t="shared" ref="L45:L51" si="54">+K45*$L$6</f>
        <v>0</v>
      </c>
      <c r="M45" s="220">
        <f t="shared" si="52"/>
        <v>0</v>
      </c>
      <c r="AK45">
        <f t="shared" ref="AK45:AK50" si="55">SUM(O45:AJ45)</f>
        <v>0</v>
      </c>
    </row>
    <row r="46" spans="1:37" x14ac:dyDescent="0.35">
      <c r="A46" s="219" t="str">
        <f>+'wkly alpha'!A46</f>
        <v>Lamb</v>
      </c>
      <c r="B46" s="217">
        <f>+'wkly alpha'!B46</f>
        <v>4</v>
      </c>
      <c r="C46" s="218"/>
      <c r="D46" s="218"/>
      <c r="E46" s="218"/>
      <c r="F46" s="218"/>
      <c r="G46" s="218"/>
      <c r="H46" s="218"/>
      <c r="I46" s="218"/>
      <c r="J46" s="218">
        <f t="shared" si="53"/>
        <v>0</v>
      </c>
      <c r="K46" s="219">
        <f>+'wkly alpha'!M46</f>
        <v>0</v>
      </c>
      <c r="L46" s="220">
        <f t="shared" si="54"/>
        <v>0</v>
      </c>
      <c r="M46" s="220">
        <f t="shared" ref="M46" si="56">SUM(C46:L46)-K46</f>
        <v>0</v>
      </c>
      <c r="AK46">
        <f t="shared" si="55"/>
        <v>0</v>
      </c>
    </row>
    <row r="47" spans="1:37" x14ac:dyDescent="0.35">
      <c r="A47" s="219" t="str">
        <f>+'wkly alpha'!A47</f>
        <v>Lewis, B</v>
      </c>
      <c r="B47" s="217">
        <f>+'wkly alpha'!B47</f>
        <v>1</v>
      </c>
      <c r="C47" s="218"/>
      <c r="D47" s="218"/>
      <c r="E47" s="218"/>
      <c r="F47" s="218"/>
      <c r="G47" s="218"/>
      <c r="H47" s="218"/>
      <c r="I47" s="218"/>
      <c r="J47" s="218">
        <f t="shared" si="53"/>
        <v>20</v>
      </c>
      <c r="K47" s="219">
        <f>+'wkly alpha'!M47</f>
        <v>0</v>
      </c>
      <c r="L47" s="220">
        <f t="shared" si="54"/>
        <v>0</v>
      </c>
      <c r="M47" s="220">
        <f t="shared" ref="M47" si="57">SUM(C47:L47)-K47</f>
        <v>20</v>
      </c>
      <c r="S47">
        <v>2</v>
      </c>
      <c r="AK47">
        <f t="shared" si="55"/>
        <v>2</v>
      </c>
    </row>
    <row r="48" spans="1:37" x14ac:dyDescent="0.35">
      <c r="A48" s="219" t="str">
        <f>+'wkly alpha'!A48</f>
        <v>Lewis, D</v>
      </c>
      <c r="B48" s="217">
        <f>+'wkly alpha'!B48</f>
        <v>1</v>
      </c>
      <c r="C48" s="218"/>
      <c r="D48" s="218"/>
      <c r="E48" s="218"/>
      <c r="F48" s="218"/>
      <c r="G48" s="218"/>
      <c r="H48" s="218"/>
      <c r="I48" s="218"/>
      <c r="J48" s="218">
        <f t="shared" si="53"/>
        <v>20</v>
      </c>
      <c r="K48" s="219">
        <f>+'wkly alpha'!M48</f>
        <v>0</v>
      </c>
      <c r="L48" s="220">
        <f t="shared" si="54"/>
        <v>0</v>
      </c>
      <c r="M48" s="220">
        <f t="shared" si="52"/>
        <v>20</v>
      </c>
      <c r="U48">
        <v>1</v>
      </c>
      <c r="AA48">
        <v>1</v>
      </c>
      <c r="AK48">
        <f t="shared" si="55"/>
        <v>2</v>
      </c>
    </row>
    <row r="49" spans="1:37" x14ac:dyDescent="0.35">
      <c r="A49" s="219" t="str">
        <f>+'wkly alpha'!A49</f>
        <v>Lowell</v>
      </c>
      <c r="B49" s="217">
        <f>+'wkly alpha'!B49</f>
        <v>2</v>
      </c>
      <c r="C49" s="218"/>
      <c r="D49" s="218"/>
      <c r="E49" s="218"/>
      <c r="F49" s="218"/>
      <c r="G49" s="218"/>
      <c r="H49" s="218"/>
      <c r="I49" s="218"/>
      <c r="J49" s="218">
        <f t="shared" si="53"/>
        <v>0</v>
      </c>
      <c r="K49" s="219">
        <f>+'wkly alpha'!M49</f>
        <v>0</v>
      </c>
      <c r="L49" s="220">
        <f t="shared" si="54"/>
        <v>0</v>
      </c>
      <c r="M49" s="220">
        <f t="shared" ref="M49" si="58">SUM(C49:L49)-K49</f>
        <v>0</v>
      </c>
      <c r="AK49">
        <f t="shared" si="55"/>
        <v>0</v>
      </c>
    </row>
    <row r="50" spans="1:37" x14ac:dyDescent="0.35">
      <c r="A50" s="219" t="str">
        <f>+'wkly alpha'!A50</f>
        <v>Luzzi</v>
      </c>
      <c r="B50" s="217">
        <f>+'wkly alpha'!B50</f>
        <v>2</v>
      </c>
      <c r="C50" s="218"/>
      <c r="D50" s="218"/>
      <c r="E50" s="218"/>
      <c r="F50" s="218"/>
      <c r="G50" s="218"/>
      <c r="H50" s="218"/>
      <c r="I50" s="218"/>
      <c r="J50" s="218">
        <f t="shared" si="53"/>
        <v>0</v>
      </c>
      <c r="K50" s="219">
        <f>+'wkly alpha'!M50</f>
        <v>0</v>
      </c>
      <c r="L50" s="220">
        <f t="shared" si="54"/>
        <v>0</v>
      </c>
      <c r="M50" s="220">
        <f t="shared" si="52"/>
        <v>0</v>
      </c>
      <c r="AK50">
        <f t="shared" si="55"/>
        <v>0</v>
      </c>
    </row>
    <row r="51" spans="1:37" x14ac:dyDescent="0.35">
      <c r="A51" s="219" t="str">
        <f>+'wkly alpha'!A51</f>
        <v>Maione</v>
      </c>
      <c r="B51" s="217">
        <f>+'wkly alpha'!B51</f>
        <v>1</v>
      </c>
      <c r="C51" s="218"/>
      <c r="D51" s="218"/>
      <c r="E51" s="218"/>
      <c r="F51" s="218"/>
      <c r="G51" s="218"/>
      <c r="H51" s="218"/>
      <c r="I51" s="218"/>
      <c r="J51" s="218">
        <f t="shared" ref="J51" si="59">+$J$6*AK51</f>
        <v>10</v>
      </c>
      <c r="K51" s="219">
        <f>+'wkly alpha'!M51</f>
        <v>0</v>
      </c>
      <c r="L51" s="220">
        <f t="shared" si="54"/>
        <v>0</v>
      </c>
      <c r="M51" s="220">
        <f t="shared" ref="M51" si="60">SUM(C51:L51)-K51</f>
        <v>10</v>
      </c>
      <c r="AE51">
        <v>1</v>
      </c>
      <c r="AK51">
        <f t="shared" ref="AK51" si="61">SUM(O51:AJ51)</f>
        <v>1</v>
      </c>
    </row>
    <row r="52" spans="1:37" x14ac:dyDescent="0.35">
      <c r="A52" s="219" t="str">
        <f>+'wkly alpha'!A52</f>
        <v>Malady</v>
      </c>
      <c r="B52" s="217">
        <f>+'wkly alpha'!B52</f>
        <v>4</v>
      </c>
      <c r="C52" s="218"/>
      <c r="D52" s="218"/>
      <c r="E52" s="218"/>
      <c r="F52" s="218"/>
      <c r="G52" s="218"/>
      <c r="H52" s="218"/>
      <c r="I52" s="218"/>
      <c r="J52" s="218">
        <f t="shared" si="0"/>
        <v>0</v>
      </c>
      <c r="K52" s="219">
        <f>+'wkly alpha'!M52</f>
        <v>0</v>
      </c>
      <c r="L52" s="220">
        <f t="shared" si="1"/>
        <v>0</v>
      </c>
      <c r="M52" s="220">
        <f t="shared" si="52"/>
        <v>0</v>
      </c>
      <c r="AK52">
        <f t="shared" si="3"/>
        <v>0</v>
      </c>
    </row>
    <row r="53" spans="1:37" x14ac:dyDescent="0.35">
      <c r="A53" s="219" t="str">
        <f>+'wkly alpha'!A53</f>
        <v>Martorana</v>
      </c>
      <c r="B53" s="217">
        <f>+'wkly alpha'!B53</f>
        <v>3</v>
      </c>
      <c r="C53" s="218"/>
      <c r="D53" s="218"/>
      <c r="E53" s="218"/>
      <c r="F53" s="218"/>
      <c r="G53" s="218"/>
      <c r="H53" s="218"/>
      <c r="I53" s="218"/>
      <c r="J53" s="218">
        <f t="shared" si="0"/>
        <v>0</v>
      </c>
      <c r="K53" s="219">
        <f>+'wkly alpha'!M53</f>
        <v>0</v>
      </c>
      <c r="L53" s="220">
        <f t="shared" si="1"/>
        <v>0</v>
      </c>
      <c r="M53" s="220">
        <f t="shared" si="52"/>
        <v>0</v>
      </c>
      <c r="AK53">
        <f t="shared" si="3"/>
        <v>0</v>
      </c>
    </row>
    <row r="54" spans="1:37" x14ac:dyDescent="0.35">
      <c r="A54" s="219" t="str">
        <f>+'wkly alpha'!A54</f>
        <v>Maute</v>
      </c>
      <c r="B54" s="217">
        <f>+'wkly alpha'!B54</f>
        <v>4</v>
      </c>
      <c r="C54" s="218"/>
      <c r="D54" s="218"/>
      <c r="E54" s="218"/>
      <c r="F54" s="218"/>
      <c r="G54" s="218"/>
      <c r="H54" s="218"/>
      <c r="I54" s="218"/>
      <c r="J54" s="218">
        <f t="shared" si="0"/>
        <v>0</v>
      </c>
      <c r="K54" s="219">
        <f>+'wkly alpha'!M54</f>
        <v>0</v>
      </c>
      <c r="L54" s="220">
        <f t="shared" si="1"/>
        <v>0</v>
      </c>
      <c r="M54" s="220">
        <f t="shared" si="52"/>
        <v>0</v>
      </c>
      <c r="AK54">
        <f t="shared" si="3"/>
        <v>0</v>
      </c>
    </row>
    <row r="55" spans="1:37" x14ac:dyDescent="0.35">
      <c r="A55" s="219" t="str">
        <f>+'wkly alpha'!A55</f>
        <v>Moran</v>
      </c>
      <c r="B55" s="217">
        <f>+'wkly alpha'!B55</f>
        <v>4</v>
      </c>
      <c r="C55" s="218"/>
      <c r="D55" s="218"/>
      <c r="E55" s="218"/>
      <c r="F55" s="218"/>
      <c r="G55" s="218"/>
      <c r="H55" s="218"/>
      <c r="I55" s="218"/>
      <c r="J55" s="218">
        <f t="shared" ref="J55:J57" si="62">+$J$6*AK55</f>
        <v>60</v>
      </c>
      <c r="K55" s="219">
        <f>+'wkly alpha'!M55</f>
        <v>0</v>
      </c>
      <c r="L55" s="220">
        <f t="shared" ref="L55:L57" si="63">+K55*$L$6</f>
        <v>0</v>
      </c>
      <c r="M55" s="220">
        <f t="shared" si="52"/>
        <v>60</v>
      </c>
      <c r="AA55">
        <v>1</v>
      </c>
      <c r="AE55">
        <v>3</v>
      </c>
      <c r="AG55">
        <v>2</v>
      </c>
      <c r="AK55">
        <f t="shared" ref="AK55:AK57" si="64">SUM(O55:AJ55)</f>
        <v>6</v>
      </c>
    </row>
    <row r="56" spans="1:37" x14ac:dyDescent="0.35">
      <c r="A56" s="219" t="str">
        <f>+'wkly alpha'!A56</f>
        <v>Nix</v>
      </c>
      <c r="B56" s="217">
        <f>+'wkly alpha'!B56</f>
        <v>1</v>
      </c>
      <c r="C56" s="218"/>
      <c r="D56" s="218"/>
      <c r="E56" s="218"/>
      <c r="F56" s="218"/>
      <c r="G56" s="218"/>
      <c r="H56" s="218"/>
      <c r="I56" s="218"/>
      <c r="J56" s="218">
        <f t="shared" si="62"/>
        <v>10</v>
      </c>
      <c r="K56" s="219">
        <f>+'wkly alpha'!M56</f>
        <v>0</v>
      </c>
      <c r="L56" s="220">
        <f t="shared" si="63"/>
        <v>0</v>
      </c>
      <c r="M56" s="220">
        <f t="shared" si="52"/>
        <v>10</v>
      </c>
      <c r="Y56">
        <v>1</v>
      </c>
      <c r="AK56">
        <f t="shared" si="64"/>
        <v>1</v>
      </c>
    </row>
    <row r="57" spans="1:37" x14ac:dyDescent="0.35">
      <c r="A57" s="219" t="str">
        <f>+'wkly alpha'!A57</f>
        <v>Pond</v>
      </c>
      <c r="B57" s="217">
        <f>+'wkly alpha'!B57</f>
        <v>2</v>
      </c>
      <c r="C57" s="218"/>
      <c r="D57" s="218"/>
      <c r="E57" s="218"/>
      <c r="F57" s="218"/>
      <c r="G57" s="218"/>
      <c r="H57" s="218"/>
      <c r="I57" s="218"/>
      <c r="J57" s="218">
        <f t="shared" si="62"/>
        <v>60</v>
      </c>
      <c r="K57" s="219">
        <f>+'wkly alpha'!M57</f>
        <v>0</v>
      </c>
      <c r="L57" s="220">
        <f t="shared" si="63"/>
        <v>0</v>
      </c>
      <c r="M57" s="220">
        <f t="shared" si="52"/>
        <v>60</v>
      </c>
      <c r="R57">
        <v>4</v>
      </c>
      <c r="AC57">
        <v>2</v>
      </c>
      <c r="AK57">
        <f t="shared" si="64"/>
        <v>6</v>
      </c>
    </row>
    <row r="58" spans="1:37" x14ac:dyDescent="0.35">
      <c r="A58" s="219" t="str">
        <f>+'wkly alpha'!A58</f>
        <v>Proudlove</v>
      </c>
      <c r="B58" s="217">
        <f>+'wkly alpha'!B58</f>
        <v>1</v>
      </c>
      <c r="C58" s="218"/>
      <c r="D58" s="218"/>
      <c r="E58" s="218"/>
      <c r="F58" s="218"/>
      <c r="G58" s="218"/>
      <c r="H58" s="218"/>
      <c r="I58" s="218"/>
      <c r="J58" s="218">
        <f t="shared" ref="J58:J77" si="65">+$J$6*AK58</f>
        <v>0</v>
      </c>
      <c r="K58" s="219">
        <f>+'wkly alpha'!M58</f>
        <v>0</v>
      </c>
      <c r="L58" s="220">
        <f t="shared" ref="L58:L77" si="66">+K58*$L$6</f>
        <v>0</v>
      </c>
      <c r="M58" s="220">
        <f t="shared" si="52"/>
        <v>0</v>
      </c>
      <c r="AK58">
        <f t="shared" ref="AK58:AK77" si="67">SUM(O58:AJ58)</f>
        <v>0</v>
      </c>
    </row>
    <row r="59" spans="1:37" x14ac:dyDescent="0.35">
      <c r="A59" s="219" t="str">
        <f>+'wkly alpha'!A59</f>
        <v>Ramich</v>
      </c>
      <c r="B59" s="217">
        <f>+'wkly alpha'!B59</f>
        <v>3</v>
      </c>
      <c r="C59" s="218"/>
      <c r="D59" s="218"/>
      <c r="E59" s="218"/>
      <c r="F59" s="218"/>
      <c r="G59" s="218"/>
      <c r="H59" s="218"/>
      <c r="I59" s="218"/>
      <c r="J59" s="218">
        <f t="shared" si="65"/>
        <v>0</v>
      </c>
      <c r="K59" s="219">
        <f>+'wkly alpha'!M59</f>
        <v>0</v>
      </c>
      <c r="L59" s="220">
        <f t="shared" si="66"/>
        <v>0</v>
      </c>
      <c r="M59" s="220">
        <f t="shared" si="52"/>
        <v>0</v>
      </c>
      <c r="AK59">
        <f t="shared" si="67"/>
        <v>0</v>
      </c>
    </row>
    <row r="60" spans="1:37" x14ac:dyDescent="0.35">
      <c r="A60" s="219" t="str">
        <f>+'wkly alpha'!A60</f>
        <v>Renahan</v>
      </c>
      <c r="B60" s="217">
        <f>+'wkly alpha'!B60</f>
        <v>1</v>
      </c>
      <c r="C60" s="218"/>
      <c r="D60" s="218"/>
      <c r="E60" s="218"/>
      <c r="F60" s="218"/>
      <c r="G60" s="218"/>
      <c r="H60" s="218"/>
      <c r="I60" s="218"/>
      <c r="J60" s="218">
        <f t="shared" si="65"/>
        <v>0</v>
      </c>
      <c r="K60" s="219">
        <f>+'wkly alpha'!M60</f>
        <v>0</v>
      </c>
      <c r="L60" s="220">
        <f t="shared" si="66"/>
        <v>0</v>
      </c>
      <c r="M60" s="220">
        <f t="shared" si="52"/>
        <v>0</v>
      </c>
      <c r="AK60">
        <f t="shared" si="67"/>
        <v>0</v>
      </c>
    </row>
    <row r="61" spans="1:37" x14ac:dyDescent="0.35">
      <c r="A61" s="219" t="str">
        <f>+'wkly alpha'!A61</f>
        <v>Rioux</v>
      </c>
      <c r="B61" s="217">
        <f>+'wkly alpha'!B61</f>
        <v>2</v>
      </c>
      <c r="C61" s="218"/>
      <c r="D61" s="218"/>
      <c r="E61" s="218"/>
      <c r="F61" s="218"/>
      <c r="G61" s="218"/>
      <c r="H61" s="218"/>
      <c r="I61" s="218"/>
      <c r="J61" s="218">
        <f t="shared" ref="J61" si="68">+$J$6*AK61</f>
        <v>0</v>
      </c>
      <c r="K61" s="219">
        <f>+'wkly alpha'!M61</f>
        <v>0</v>
      </c>
      <c r="L61" s="220">
        <f t="shared" ref="L61" si="69">+K61*$L$6</f>
        <v>0</v>
      </c>
      <c r="M61" s="220">
        <f t="shared" ref="M61" si="70">SUM(C61:L61)-K61</f>
        <v>0</v>
      </c>
      <c r="AK61">
        <f t="shared" ref="AK61" si="71">SUM(O61:AJ61)</f>
        <v>0</v>
      </c>
    </row>
    <row r="62" spans="1:37" x14ac:dyDescent="0.35">
      <c r="A62" s="219" t="str">
        <f>+'wkly alpha'!A62</f>
        <v>Rogers</v>
      </c>
      <c r="B62" s="217">
        <f>+'wkly alpha'!B62</f>
        <v>1</v>
      </c>
      <c r="C62" s="218"/>
      <c r="D62" s="218"/>
      <c r="E62" s="218"/>
      <c r="F62" s="218"/>
      <c r="G62" s="218"/>
      <c r="H62" s="218"/>
      <c r="I62" s="218"/>
      <c r="J62" s="218">
        <f t="shared" si="65"/>
        <v>0</v>
      </c>
      <c r="K62" s="219">
        <f>+'wkly alpha'!M62</f>
        <v>0</v>
      </c>
      <c r="L62" s="220">
        <f t="shared" si="66"/>
        <v>0</v>
      </c>
      <c r="M62" s="220">
        <f t="shared" si="52"/>
        <v>0</v>
      </c>
      <c r="AK62">
        <f t="shared" si="67"/>
        <v>0</v>
      </c>
    </row>
    <row r="63" spans="1:37" x14ac:dyDescent="0.35">
      <c r="A63" s="219" t="str">
        <f>+'wkly alpha'!A63</f>
        <v>Rose</v>
      </c>
      <c r="B63" s="217">
        <f>+'wkly alpha'!B63</f>
        <v>2</v>
      </c>
      <c r="C63" s="218"/>
      <c r="D63" s="218"/>
      <c r="E63" s="218"/>
      <c r="F63" s="218"/>
      <c r="G63" s="218"/>
      <c r="H63" s="218"/>
      <c r="I63" s="218"/>
      <c r="J63" s="218">
        <f t="shared" ref="J63" si="72">+$J$6*AK63</f>
        <v>50</v>
      </c>
      <c r="K63" s="219">
        <f>+'wkly alpha'!M63</f>
        <v>0</v>
      </c>
      <c r="L63" s="220">
        <f t="shared" ref="L63" si="73">+K63*$L$6</f>
        <v>0</v>
      </c>
      <c r="M63" s="220">
        <f t="shared" ref="M63" si="74">SUM(C63:L63)-K63</f>
        <v>50</v>
      </c>
      <c r="W63">
        <v>4</v>
      </c>
      <c r="AA63">
        <v>1</v>
      </c>
      <c r="AK63">
        <f t="shared" ref="AK63" si="75">SUM(O63:AJ63)</f>
        <v>5</v>
      </c>
    </row>
    <row r="64" spans="1:37" x14ac:dyDescent="0.35">
      <c r="A64" s="219" t="str">
        <f>+'wkly alpha'!A64</f>
        <v>Schneider</v>
      </c>
      <c r="B64" s="217">
        <f>+'wkly alpha'!B64</f>
        <v>4</v>
      </c>
      <c r="C64" s="218"/>
      <c r="D64" s="218"/>
      <c r="E64" s="218"/>
      <c r="F64" s="218"/>
      <c r="G64" s="218"/>
      <c r="H64" s="218"/>
      <c r="I64" s="218"/>
      <c r="J64" s="218">
        <f t="shared" ref="J64" si="76">+$J$6*AK64</f>
        <v>50</v>
      </c>
      <c r="K64" s="219">
        <f>+'wkly alpha'!M64</f>
        <v>0</v>
      </c>
      <c r="L64" s="220">
        <f t="shared" ref="L64" si="77">+K64*$L$6</f>
        <v>0</v>
      </c>
      <c r="M64" s="220">
        <f t="shared" ref="M64" si="78">SUM(C64:L64)-K64</f>
        <v>50</v>
      </c>
      <c r="P64">
        <v>2</v>
      </c>
      <c r="S64">
        <v>2</v>
      </c>
      <c r="Z64">
        <v>1</v>
      </c>
      <c r="AK64">
        <f t="shared" ref="AK64" si="79">SUM(O64:AJ64)</f>
        <v>5</v>
      </c>
    </row>
    <row r="65" spans="1:37" x14ac:dyDescent="0.35">
      <c r="A65" s="219" t="str">
        <f>+'wkly alpha'!A65</f>
        <v>Scolaro</v>
      </c>
      <c r="B65" s="217">
        <f>+'wkly alpha'!B65</f>
        <v>3</v>
      </c>
      <c r="C65" s="218"/>
      <c r="D65" s="218"/>
      <c r="E65" s="218"/>
      <c r="F65" s="218"/>
      <c r="G65" s="218"/>
      <c r="H65" s="218"/>
      <c r="I65" s="218"/>
      <c r="J65" s="218">
        <f t="shared" si="65"/>
        <v>110</v>
      </c>
      <c r="K65" s="219">
        <f>+'wkly alpha'!M65</f>
        <v>0</v>
      </c>
      <c r="L65" s="220">
        <f t="shared" si="66"/>
        <v>0</v>
      </c>
      <c r="M65" s="220">
        <f t="shared" si="52"/>
        <v>110</v>
      </c>
      <c r="P65">
        <v>2</v>
      </c>
      <c r="Q65">
        <v>1</v>
      </c>
      <c r="T65">
        <v>4</v>
      </c>
      <c r="Z65">
        <v>1</v>
      </c>
      <c r="AB65">
        <v>2</v>
      </c>
      <c r="AF65">
        <v>1</v>
      </c>
      <c r="AK65">
        <f t="shared" si="67"/>
        <v>11</v>
      </c>
    </row>
    <row r="66" spans="1:37" x14ac:dyDescent="0.35">
      <c r="A66" s="219" t="str">
        <f>+'wkly alpha'!A66</f>
        <v>Shaw, S</v>
      </c>
      <c r="B66" s="217">
        <f>+'wkly alpha'!B66</f>
        <v>3</v>
      </c>
      <c r="C66" s="218"/>
      <c r="D66" s="218"/>
      <c r="E66" s="218"/>
      <c r="F66" s="218"/>
      <c r="G66" s="218"/>
      <c r="H66" s="218"/>
      <c r="I66" s="218"/>
      <c r="J66" s="218">
        <f>+$J$6*AK66</f>
        <v>0</v>
      </c>
      <c r="K66" s="219">
        <f>+'wkly alpha'!M66</f>
        <v>0</v>
      </c>
      <c r="L66" s="220">
        <f>+K66*$L$6</f>
        <v>0</v>
      </c>
      <c r="M66" s="220">
        <f t="shared" ref="M66" si="80">SUM(C66:L66)-K66</f>
        <v>0</v>
      </c>
      <c r="AK66">
        <f>SUM(O66:AJ66)</f>
        <v>0</v>
      </c>
    </row>
    <row r="67" spans="1:37" x14ac:dyDescent="0.35">
      <c r="A67" s="219" t="str">
        <f>+'wkly alpha'!A67</f>
        <v>Shepherd</v>
      </c>
      <c r="B67" s="217">
        <f>+'wkly alpha'!B67</f>
        <v>4</v>
      </c>
      <c r="C67" s="218"/>
      <c r="D67" s="218"/>
      <c r="E67" s="218"/>
      <c r="F67" s="218"/>
      <c r="G67" s="218"/>
      <c r="H67" s="218"/>
      <c r="I67" s="218"/>
      <c r="J67" s="218">
        <f>+$J$6*AK67</f>
        <v>40</v>
      </c>
      <c r="K67" s="219">
        <f>+'wkly alpha'!M67</f>
        <v>0</v>
      </c>
      <c r="L67" s="220">
        <f>+K67*$L$6</f>
        <v>0</v>
      </c>
      <c r="M67" s="220">
        <f t="shared" si="52"/>
        <v>40</v>
      </c>
      <c r="Q67">
        <v>1</v>
      </c>
      <c r="V67">
        <v>2</v>
      </c>
      <c r="AC67">
        <v>1</v>
      </c>
      <c r="AK67">
        <f>SUM(O67:AJ67)</f>
        <v>4</v>
      </c>
    </row>
    <row r="68" spans="1:37" x14ac:dyDescent="0.35">
      <c r="A68" s="219" t="str">
        <f>+'wkly alpha'!A68</f>
        <v>Smith, M</v>
      </c>
      <c r="B68" s="217">
        <f>+'wkly alpha'!B68</f>
        <v>2</v>
      </c>
      <c r="C68" s="218"/>
      <c r="D68" s="218"/>
      <c r="E68" s="218"/>
      <c r="F68" s="218"/>
      <c r="G68" s="218"/>
      <c r="H68" s="218"/>
      <c r="I68" s="218"/>
      <c r="J68" s="218">
        <f t="shared" si="65"/>
        <v>20</v>
      </c>
      <c r="K68" s="219">
        <f>+'wkly alpha'!M68</f>
        <v>0</v>
      </c>
      <c r="L68" s="220">
        <f t="shared" si="66"/>
        <v>0</v>
      </c>
      <c r="M68" s="220">
        <f t="shared" si="52"/>
        <v>20</v>
      </c>
      <c r="AD68">
        <v>2</v>
      </c>
      <c r="AK68">
        <f t="shared" si="67"/>
        <v>2</v>
      </c>
    </row>
    <row r="69" spans="1:37" x14ac:dyDescent="0.35">
      <c r="A69" s="219" t="str">
        <f>+'wkly alpha'!A69</f>
        <v>Stanton</v>
      </c>
      <c r="B69" s="217">
        <f>+'wkly alpha'!B69</f>
        <v>2</v>
      </c>
      <c r="C69" s="218"/>
      <c r="D69" s="218"/>
      <c r="E69" s="218"/>
      <c r="F69" s="218"/>
      <c r="G69" s="218"/>
      <c r="H69" s="218"/>
      <c r="I69" s="218"/>
      <c r="J69" s="218">
        <f t="shared" si="65"/>
        <v>10</v>
      </c>
      <c r="K69" s="219">
        <f>+'wkly alpha'!M69</f>
        <v>0</v>
      </c>
      <c r="L69" s="220">
        <f t="shared" si="66"/>
        <v>0</v>
      </c>
      <c r="M69" s="220">
        <f t="shared" ref="M69" si="81">SUM(C69:L69)-K69</f>
        <v>10</v>
      </c>
      <c r="AD69">
        <v>1</v>
      </c>
      <c r="AK69">
        <f t="shared" si="67"/>
        <v>1</v>
      </c>
    </row>
    <row r="70" spans="1:37" x14ac:dyDescent="0.35">
      <c r="A70" s="219" t="str">
        <f>+'wkly alpha'!A70</f>
        <v>Stuss</v>
      </c>
      <c r="B70" s="217">
        <f>+'wkly alpha'!B70</f>
        <v>1</v>
      </c>
      <c r="C70" s="218"/>
      <c r="D70" s="218"/>
      <c r="E70" s="218"/>
      <c r="F70" s="218"/>
      <c r="G70" s="218"/>
      <c r="H70" s="218"/>
      <c r="I70" s="218"/>
      <c r="J70" s="218">
        <f t="shared" ref="J70" si="82">+$J$6*AK70</f>
        <v>20</v>
      </c>
      <c r="K70" s="219">
        <f>+'wkly alpha'!M70</f>
        <v>0</v>
      </c>
      <c r="L70" s="220">
        <f t="shared" ref="L70" si="83">+K70*$L$6</f>
        <v>0</v>
      </c>
      <c r="M70" s="220">
        <f t="shared" ref="M70" si="84">SUM(C70:L70)-K70</f>
        <v>20</v>
      </c>
      <c r="AH70">
        <v>2</v>
      </c>
      <c r="AK70">
        <f t="shared" ref="AK70" si="85">SUM(O70:AJ70)</f>
        <v>2</v>
      </c>
    </row>
    <row r="71" spans="1:37" x14ac:dyDescent="0.35">
      <c r="A71" s="219" t="str">
        <f>+'wkly alpha'!A71</f>
        <v>Sullivan</v>
      </c>
      <c r="B71" s="217">
        <f>+'wkly alpha'!B71</f>
        <v>3</v>
      </c>
      <c r="C71" s="218"/>
      <c r="D71" s="218"/>
      <c r="E71" s="218"/>
      <c r="F71" s="218"/>
      <c r="G71" s="218"/>
      <c r="H71" s="218"/>
      <c r="I71" s="218"/>
      <c r="J71" s="218">
        <f t="shared" si="65"/>
        <v>0</v>
      </c>
      <c r="K71" s="219">
        <f>+'wkly alpha'!M71</f>
        <v>0</v>
      </c>
      <c r="L71" s="220">
        <f t="shared" si="66"/>
        <v>0</v>
      </c>
      <c r="M71" s="220">
        <f t="shared" si="52"/>
        <v>0</v>
      </c>
      <c r="AK71">
        <f t="shared" si="67"/>
        <v>0</v>
      </c>
    </row>
    <row r="72" spans="1:37" x14ac:dyDescent="0.35">
      <c r="A72" s="219" t="str">
        <f>+'wkly alpha'!A72</f>
        <v>Tellie</v>
      </c>
      <c r="B72" s="217">
        <f>+'wkly alpha'!B72</f>
        <v>4</v>
      </c>
      <c r="C72" s="218"/>
      <c r="D72" s="218"/>
      <c r="E72" s="218"/>
      <c r="F72" s="218"/>
      <c r="G72" s="218"/>
      <c r="H72" s="218"/>
      <c r="I72" s="218"/>
      <c r="J72" s="218">
        <f t="shared" ref="J72" si="86">+$J$6*AK72</f>
        <v>0</v>
      </c>
      <c r="K72" s="219">
        <f>+'wkly alpha'!M72</f>
        <v>0</v>
      </c>
      <c r="L72" s="220">
        <f t="shared" ref="L72" si="87">+K72*$L$6</f>
        <v>0</v>
      </c>
      <c r="M72" s="220">
        <f t="shared" si="52"/>
        <v>0</v>
      </c>
      <c r="AK72">
        <f t="shared" ref="AK72" si="88">SUM(O72:AJ72)</f>
        <v>0</v>
      </c>
    </row>
    <row r="73" spans="1:37" x14ac:dyDescent="0.35">
      <c r="A73" s="219" t="str">
        <f>+'wkly alpha'!A73</f>
        <v>Terhune</v>
      </c>
      <c r="B73" s="217">
        <f>+'wkly alpha'!B73</f>
        <v>1</v>
      </c>
      <c r="C73" s="218"/>
      <c r="D73" s="218"/>
      <c r="E73" s="218"/>
      <c r="F73" s="218"/>
      <c r="G73" s="218"/>
      <c r="H73" s="218"/>
      <c r="I73" s="218"/>
      <c r="J73" s="218">
        <f>+$J$6*AK73</f>
        <v>30</v>
      </c>
      <c r="K73" s="219">
        <f>+'wkly alpha'!M73</f>
        <v>0</v>
      </c>
      <c r="L73" s="220">
        <f>+K73*$L$6</f>
        <v>0</v>
      </c>
      <c r="M73" s="220">
        <f t="shared" ref="M73:M77" si="89">SUM(C73:L73)-K73</f>
        <v>30</v>
      </c>
      <c r="X73">
        <v>1</v>
      </c>
      <c r="Z73">
        <v>1</v>
      </c>
      <c r="AB73">
        <v>1</v>
      </c>
      <c r="AK73">
        <f>SUM(O73:AJ73)</f>
        <v>3</v>
      </c>
    </row>
    <row r="74" spans="1:37" x14ac:dyDescent="0.35">
      <c r="A74" s="219" t="str">
        <f>+'wkly alpha'!A74</f>
        <v>Thompson</v>
      </c>
      <c r="B74" s="217">
        <f>+'wkly alpha'!B74</f>
        <v>2</v>
      </c>
      <c r="C74" s="218"/>
      <c r="D74" s="218"/>
      <c r="E74" s="218"/>
      <c r="F74" s="218"/>
      <c r="G74" s="218"/>
      <c r="H74" s="218"/>
      <c r="I74" s="218"/>
      <c r="J74" s="218">
        <f>+$J$6*AK74</f>
        <v>10</v>
      </c>
      <c r="K74" s="219">
        <f>+'wkly alpha'!M74</f>
        <v>0</v>
      </c>
      <c r="L74" s="220">
        <f>+K74*$L$6</f>
        <v>0</v>
      </c>
      <c r="M74" s="220">
        <f t="shared" si="89"/>
        <v>10</v>
      </c>
      <c r="X74">
        <v>1</v>
      </c>
      <c r="AK74">
        <f>SUM(O74:AJ74)</f>
        <v>1</v>
      </c>
    </row>
    <row r="75" spans="1:37" x14ac:dyDescent="0.35">
      <c r="A75" s="219" t="str">
        <f>+'wkly alpha'!A75</f>
        <v>Thomson</v>
      </c>
      <c r="B75" s="217">
        <f>+'wkly alpha'!B75</f>
        <v>4</v>
      </c>
      <c r="C75" s="218"/>
      <c r="D75" s="218"/>
      <c r="E75" s="218"/>
      <c r="F75" s="218"/>
      <c r="G75" s="218"/>
      <c r="H75" s="218"/>
      <c r="I75" s="218"/>
      <c r="J75" s="218">
        <f t="shared" si="65"/>
        <v>60</v>
      </c>
      <c r="K75" s="219">
        <f>+'wkly alpha'!M75</f>
        <v>0</v>
      </c>
      <c r="L75" s="220">
        <f t="shared" si="66"/>
        <v>0</v>
      </c>
      <c r="M75" s="220">
        <f t="shared" si="89"/>
        <v>60</v>
      </c>
      <c r="U75">
        <v>2</v>
      </c>
      <c r="V75">
        <v>1</v>
      </c>
      <c r="X75">
        <v>1</v>
      </c>
      <c r="AC75">
        <v>1</v>
      </c>
      <c r="AH75">
        <v>1</v>
      </c>
      <c r="AK75">
        <f t="shared" si="67"/>
        <v>6</v>
      </c>
    </row>
    <row r="76" spans="1:37" x14ac:dyDescent="0.35">
      <c r="A76" s="219" t="str">
        <f>+'wkly alpha'!A76</f>
        <v>Walker</v>
      </c>
      <c r="B76" s="217">
        <f>+'wkly alpha'!B76</f>
        <v>2</v>
      </c>
      <c r="C76" s="218"/>
      <c r="D76" s="218"/>
      <c r="E76" s="218"/>
      <c r="F76" s="218"/>
      <c r="G76" s="218"/>
      <c r="H76" s="218"/>
      <c r="I76" s="218"/>
      <c r="J76" s="218">
        <f t="shared" ref="J76" si="90">+$J$6*AK76</f>
        <v>30</v>
      </c>
      <c r="K76" s="219">
        <f>+'wkly alpha'!M76</f>
        <v>0</v>
      </c>
      <c r="L76" s="220">
        <f t="shared" ref="L76" si="91">+K76*$L$6</f>
        <v>0</v>
      </c>
      <c r="M76" s="220">
        <f t="shared" ref="M76" si="92">SUM(C76:L76)-K76</f>
        <v>30</v>
      </c>
      <c r="V76">
        <v>2</v>
      </c>
      <c r="Y76">
        <v>1</v>
      </c>
      <c r="AK76">
        <f t="shared" ref="AK76" si="93">SUM(O76:AJ76)</f>
        <v>3</v>
      </c>
    </row>
    <row r="77" spans="1:37" x14ac:dyDescent="0.35">
      <c r="A77" s="219" t="str">
        <f>+'wkly alpha'!A77</f>
        <v>Wolkenstein</v>
      </c>
      <c r="B77" s="217">
        <f>+'wkly alpha'!B77</f>
        <v>4</v>
      </c>
      <c r="C77" s="218"/>
      <c r="D77" s="218"/>
      <c r="E77" s="218"/>
      <c r="F77" s="218"/>
      <c r="G77" s="218"/>
      <c r="H77" s="218"/>
      <c r="I77" s="218"/>
      <c r="J77" s="218">
        <f t="shared" si="65"/>
        <v>0</v>
      </c>
      <c r="K77" s="219">
        <f>+'wkly alpha'!M77</f>
        <v>0</v>
      </c>
      <c r="L77" s="220">
        <f t="shared" si="66"/>
        <v>0</v>
      </c>
      <c r="M77" s="220">
        <f t="shared" si="89"/>
        <v>0</v>
      </c>
      <c r="AK77">
        <f t="shared" si="67"/>
        <v>0</v>
      </c>
    </row>
    <row r="78" spans="1:37" ht="13.15" thickBot="1" x14ac:dyDescent="0.4">
      <c r="C78" s="221">
        <f t="shared" ref="C78:M78" si="94">SUM(C8:C77)</f>
        <v>0</v>
      </c>
      <c r="D78" s="221">
        <f t="shared" si="94"/>
        <v>0</v>
      </c>
      <c r="E78" s="221">
        <f t="shared" si="94"/>
        <v>0</v>
      </c>
      <c r="F78" s="221">
        <f t="shared" si="94"/>
        <v>0</v>
      </c>
      <c r="G78" s="221">
        <f t="shared" si="94"/>
        <v>0</v>
      </c>
      <c r="H78" s="221">
        <f t="shared" si="94"/>
        <v>0</v>
      </c>
      <c r="I78" s="221">
        <f t="shared" si="94"/>
        <v>0</v>
      </c>
      <c r="J78" s="221">
        <f t="shared" si="94"/>
        <v>840</v>
      </c>
      <c r="K78" s="221">
        <f t="shared" si="94"/>
        <v>0</v>
      </c>
      <c r="L78" s="221">
        <f t="shared" si="94"/>
        <v>0</v>
      </c>
      <c r="M78" s="221">
        <f t="shared" si="94"/>
        <v>840</v>
      </c>
      <c r="O78" s="179">
        <f t="shared" ref="O78:AK78" si="95">SUM(O8:O77)</f>
        <v>4</v>
      </c>
      <c r="P78" s="179">
        <f t="shared" si="95"/>
        <v>4</v>
      </c>
      <c r="Q78" s="179">
        <f t="shared" si="95"/>
        <v>4</v>
      </c>
      <c r="R78" s="179">
        <f t="shared" si="95"/>
        <v>4</v>
      </c>
      <c r="S78" s="179">
        <f t="shared" si="95"/>
        <v>4</v>
      </c>
      <c r="T78" s="179">
        <f t="shared" si="95"/>
        <v>4</v>
      </c>
      <c r="U78" s="179">
        <f t="shared" si="95"/>
        <v>4</v>
      </c>
      <c r="V78" s="179">
        <f t="shared" si="95"/>
        <v>5</v>
      </c>
      <c r="W78" s="179">
        <f t="shared" si="95"/>
        <v>4</v>
      </c>
      <c r="X78" s="179">
        <f t="shared" si="95"/>
        <v>4</v>
      </c>
      <c r="Y78" s="179">
        <f t="shared" si="95"/>
        <v>4</v>
      </c>
      <c r="Z78" s="179">
        <f t="shared" si="95"/>
        <v>4</v>
      </c>
      <c r="AA78" s="179">
        <f t="shared" si="95"/>
        <v>4</v>
      </c>
      <c r="AB78" s="179">
        <f t="shared" si="95"/>
        <v>5</v>
      </c>
      <c r="AC78" s="179">
        <f t="shared" si="95"/>
        <v>5</v>
      </c>
      <c r="AD78" s="179">
        <f t="shared" si="95"/>
        <v>5</v>
      </c>
      <c r="AE78" s="179">
        <f t="shared" si="95"/>
        <v>4</v>
      </c>
      <c r="AF78" s="179">
        <f t="shared" si="95"/>
        <v>4</v>
      </c>
      <c r="AG78" s="179">
        <f t="shared" si="95"/>
        <v>4</v>
      </c>
      <c r="AH78" s="179">
        <f t="shared" si="95"/>
        <v>4</v>
      </c>
      <c r="AI78" s="179">
        <f t="shared" si="95"/>
        <v>0</v>
      </c>
      <c r="AJ78" s="179">
        <f t="shared" si="95"/>
        <v>0</v>
      </c>
      <c r="AK78" s="179">
        <f t="shared" si="95"/>
        <v>84</v>
      </c>
    </row>
    <row r="79" spans="1:37" ht="13.15" thickTop="1" x14ac:dyDescent="0.35"/>
    <row r="83" spans="1:10" x14ac:dyDescent="0.35">
      <c r="A83" t="s">
        <v>68</v>
      </c>
      <c r="C83" s="102">
        <v>7</v>
      </c>
      <c r="D83" s="102">
        <v>7</v>
      </c>
      <c r="E83" s="102">
        <v>7</v>
      </c>
      <c r="F83" s="102">
        <v>10</v>
      </c>
      <c r="G83" s="26">
        <v>8</v>
      </c>
      <c r="H83" s="26"/>
      <c r="I83" s="26"/>
      <c r="J83" s="102">
        <v>9</v>
      </c>
    </row>
    <row r="84" spans="1:10" x14ac:dyDescent="0.35">
      <c r="A84" t="s">
        <v>69</v>
      </c>
      <c r="C84" s="152">
        <f>+C83+3</f>
        <v>10</v>
      </c>
      <c r="D84" s="152">
        <f>+D83+3</f>
        <v>10</v>
      </c>
      <c r="E84" s="152">
        <f>+E83+3</f>
        <v>10</v>
      </c>
      <c r="F84" s="152">
        <f>+F83+3</f>
        <v>13</v>
      </c>
      <c r="G84" s="19">
        <f>+G83+3</f>
        <v>11</v>
      </c>
      <c r="J84" s="107">
        <f>+J83+3</f>
        <v>12</v>
      </c>
    </row>
  </sheetData>
  <phoneticPr fontId="0" type="noConversion"/>
  <pageMargins left="1" right="0.37" top="0.49" bottom="1" header="0.5" footer="0.5"/>
  <pageSetup scale="64" orientation="portrait" r:id="rId1"/>
  <headerFooter alignWithMargins="0">
    <oddFooter>&amp;L&amp;F=&amp;A&amp;C&amp;D</oddFooter>
  </headerFooter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F108"/>
  <sheetViews>
    <sheetView zoomScaleNormal="100" workbookViewId="0">
      <selection activeCell="G64" sqref="G64"/>
    </sheetView>
  </sheetViews>
  <sheetFormatPr defaultRowHeight="12.75" x14ac:dyDescent="0.35"/>
  <cols>
    <col min="1" max="1" width="13.1328125" customWidth="1"/>
    <col min="2" max="2" width="9.1328125" style="28"/>
    <col min="3" max="3" width="9.1328125" style="222"/>
    <col min="4" max="4" width="9.53125" style="28" bestFit="1" customWidth="1"/>
    <col min="5" max="5" width="5.53125" customWidth="1"/>
    <col min="6" max="6" width="43.53125" bestFit="1" customWidth="1"/>
  </cols>
  <sheetData>
    <row r="1" spans="1:6" ht="13.15" x14ac:dyDescent="0.4">
      <c r="A1" s="1" t="s">
        <v>0</v>
      </c>
    </row>
    <row r="2" spans="1:6" ht="13.15" x14ac:dyDescent="0.4">
      <c r="A2" s="1" t="s">
        <v>259</v>
      </c>
    </row>
    <row r="3" spans="1:6" ht="13.15" x14ac:dyDescent="0.4">
      <c r="A3" s="1" t="s">
        <v>36</v>
      </c>
    </row>
    <row r="4" spans="1:6" ht="13.15" x14ac:dyDescent="0.4">
      <c r="A4" s="188" t="s">
        <v>115</v>
      </c>
      <c r="B4" s="233"/>
      <c r="C4" s="223"/>
      <c r="D4" s="93"/>
    </row>
    <row r="7" spans="1:6" ht="13.15" x14ac:dyDescent="0.4">
      <c r="A7" s="3" t="s">
        <v>2</v>
      </c>
      <c r="B7" s="3" t="s">
        <v>3</v>
      </c>
      <c r="C7" s="215" t="s">
        <v>166</v>
      </c>
      <c r="D7" s="3" t="s">
        <v>192</v>
      </c>
      <c r="F7" s="301" t="s">
        <v>262</v>
      </c>
    </row>
    <row r="8" spans="1:6" x14ac:dyDescent="0.35">
      <c r="A8" s="265" t="s">
        <v>158</v>
      </c>
      <c r="B8" s="266">
        <v>3</v>
      </c>
      <c r="C8" s="267">
        <v>147.79166666666666</v>
      </c>
      <c r="D8" s="266">
        <v>47</v>
      </c>
      <c r="F8" s="302" t="s">
        <v>261</v>
      </c>
    </row>
    <row r="9" spans="1:6" x14ac:dyDescent="0.35">
      <c r="A9" s="263" t="s">
        <v>180</v>
      </c>
      <c r="B9" s="264">
        <v>1</v>
      </c>
      <c r="C9" s="268">
        <v>146.73333333333332</v>
      </c>
      <c r="D9" s="264">
        <v>48</v>
      </c>
      <c r="F9" s="302" t="s">
        <v>264</v>
      </c>
    </row>
    <row r="10" spans="1:6" x14ac:dyDescent="0.35">
      <c r="A10" s="263" t="s">
        <v>268</v>
      </c>
      <c r="B10" s="264">
        <v>4</v>
      </c>
      <c r="C10" s="268">
        <v>127.48275862068965</v>
      </c>
      <c r="D10" s="264">
        <v>65</v>
      </c>
    </row>
    <row r="11" spans="1:6" x14ac:dyDescent="0.35">
      <c r="A11" s="263" t="s">
        <v>206</v>
      </c>
      <c r="B11" s="264">
        <v>4</v>
      </c>
      <c r="C11" s="268">
        <v>132.16666666666666</v>
      </c>
      <c r="D11" s="264">
        <v>61</v>
      </c>
    </row>
    <row r="12" spans="1:6" x14ac:dyDescent="0.35">
      <c r="A12" s="263" t="s">
        <v>23</v>
      </c>
      <c r="B12" s="264">
        <v>3</v>
      </c>
      <c r="C12" s="268">
        <v>134.89473684210526</v>
      </c>
      <c r="D12" s="264">
        <v>59</v>
      </c>
      <c r="F12" s="294"/>
    </row>
    <row r="13" spans="1:6" ht="13.15" x14ac:dyDescent="0.4">
      <c r="A13" s="263" t="s">
        <v>230</v>
      </c>
      <c r="B13" s="264">
        <v>2</v>
      </c>
      <c r="C13" s="268">
        <v>125.84313725490196</v>
      </c>
      <c r="D13" s="264">
        <v>67</v>
      </c>
      <c r="F13" s="301" t="s">
        <v>263</v>
      </c>
    </row>
    <row r="14" spans="1:6" x14ac:dyDescent="0.35">
      <c r="A14" s="263" t="s">
        <v>240</v>
      </c>
      <c r="B14" s="264">
        <v>2</v>
      </c>
      <c r="C14" s="268">
        <v>127.13333333333334</v>
      </c>
      <c r="D14" s="264">
        <v>66</v>
      </c>
      <c r="F14" s="302" t="s">
        <v>260</v>
      </c>
    </row>
    <row r="15" spans="1:6" x14ac:dyDescent="0.35">
      <c r="A15" s="263" t="s">
        <v>27</v>
      </c>
      <c r="B15" s="264">
        <v>3</v>
      </c>
      <c r="C15" s="268">
        <v>125.11111111111111</v>
      </c>
      <c r="D15" s="264">
        <v>67</v>
      </c>
      <c r="F15" s="302" t="s">
        <v>308</v>
      </c>
    </row>
    <row r="16" spans="1:6" x14ac:dyDescent="0.35">
      <c r="A16" s="263" t="s">
        <v>276</v>
      </c>
      <c r="B16" s="264">
        <v>2</v>
      </c>
      <c r="C16" s="268">
        <v>126.81818181818181</v>
      </c>
      <c r="D16" s="264">
        <v>66</v>
      </c>
    </row>
    <row r="17" spans="1:6" ht="13.15" x14ac:dyDescent="0.4">
      <c r="A17" s="263" t="s">
        <v>150</v>
      </c>
      <c r="B17" s="264">
        <v>1</v>
      </c>
      <c r="C17" s="268">
        <v>134.8235294117647</v>
      </c>
      <c r="D17" s="264">
        <v>59</v>
      </c>
      <c r="F17" s="27" t="s">
        <v>196</v>
      </c>
    </row>
    <row r="18" spans="1:6" x14ac:dyDescent="0.35">
      <c r="A18" s="263" t="s">
        <v>220</v>
      </c>
      <c r="B18" s="264">
        <v>4</v>
      </c>
      <c r="C18" s="268">
        <v>129.33333333333334</v>
      </c>
      <c r="D18" s="264">
        <v>64</v>
      </c>
    </row>
    <row r="19" spans="1:6" x14ac:dyDescent="0.35">
      <c r="A19" s="263" t="s">
        <v>267</v>
      </c>
      <c r="B19" s="264">
        <v>1</v>
      </c>
      <c r="C19" s="268">
        <v>99.2</v>
      </c>
      <c r="D19" s="264">
        <v>91</v>
      </c>
      <c r="F19" s="236" t="s">
        <v>197</v>
      </c>
    </row>
    <row r="20" spans="1:6" x14ac:dyDescent="0.35">
      <c r="A20" s="263" t="s">
        <v>34</v>
      </c>
      <c r="B20" s="264">
        <v>4</v>
      </c>
      <c r="C20" s="268">
        <v>149.32835820895522</v>
      </c>
      <c r="D20" s="264">
        <v>46</v>
      </c>
      <c r="F20" s="237" t="s">
        <v>194</v>
      </c>
    </row>
    <row r="21" spans="1:6" x14ac:dyDescent="0.35">
      <c r="A21" s="263" t="s">
        <v>280</v>
      </c>
      <c r="B21" s="264">
        <v>4</v>
      </c>
      <c r="C21" s="268">
        <v>97</v>
      </c>
      <c r="D21" s="264">
        <v>93</v>
      </c>
    </row>
    <row r="22" spans="1:6" x14ac:dyDescent="0.35">
      <c r="A22" s="263" t="s">
        <v>221</v>
      </c>
      <c r="B22" s="264">
        <v>4</v>
      </c>
      <c r="C22" s="268">
        <v>104</v>
      </c>
      <c r="D22" s="264">
        <v>73</v>
      </c>
      <c r="F22" s="236" t="s">
        <v>193</v>
      </c>
    </row>
    <row r="23" spans="1:6" x14ac:dyDescent="0.35">
      <c r="A23" s="263" t="s">
        <v>265</v>
      </c>
      <c r="B23" s="264">
        <v>1</v>
      </c>
      <c r="C23" s="268">
        <v>145.22222222222223</v>
      </c>
      <c r="D23" s="264">
        <v>49</v>
      </c>
      <c r="F23" s="237" t="s">
        <v>195</v>
      </c>
    </row>
    <row r="24" spans="1:6" x14ac:dyDescent="0.35">
      <c r="A24" s="263" t="s">
        <v>270</v>
      </c>
      <c r="B24" s="264">
        <v>3</v>
      </c>
      <c r="C24" s="268">
        <v>81.333333333333329</v>
      </c>
      <c r="D24" s="264">
        <v>107</v>
      </c>
      <c r="F24" s="237" t="s">
        <v>198</v>
      </c>
    </row>
    <row r="25" spans="1:6" x14ac:dyDescent="0.35">
      <c r="A25" s="263" t="s">
        <v>282</v>
      </c>
      <c r="B25" s="264">
        <v>2</v>
      </c>
      <c r="C25" s="268">
        <v>96.411764705882348</v>
      </c>
      <c r="D25" s="264">
        <v>93</v>
      </c>
      <c r="F25" s="238"/>
    </row>
    <row r="26" spans="1:6" x14ac:dyDescent="0.35">
      <c r="A26" s="263" t="s">
        <v>57</v>
      </c>
      <c r="B26" s="264">
        <v>2</v>
      </c>
      <c r="C26" s="268">
        <v>118.5</v>
      </c>
      <c r="D26" s="264">
        <v>73</v>
      </c>
      <c r="F26" s="237" t="s">
        <v>199</v>
      </c>
    </row>
    <row r="27" spans="1:6" x14ac:dyDescent="0.35">
      <c r="A27" s="263" t="s">
        <v>31</v>
      </c>
      <c r="B27" s="264">
        <v>3</v>
      </c>
      <c r="C27" s="268">
        <v>150.42622950819671</v>
      </c>
      <c r="D27" s="264">
        <v>45</v>
      </c>
      <c r="F27" s="237" t="s">
        <v>200</v>
      </c>
    </row>
    <row r="28" spans="1:6" x14ac:dyDescent="0.35">
      <c r="A28" s="263" t="s">
        <v>226</v>
      </c>
      <c r="B28" s="264">
        <v>4</v>
      </c>
      <c r="C28" s="268">
        <v>126.83333333333333</v>
      </c>
      <c r="D28" s="264">
        <v>66</v>
      </c>
      <c r="F28" s="237" t="s">
        <v>201</v>
      </c>
    </row>
    <row r="29" spans="1:6" x14ac:dyDescent="0.35">
      <c r="A29" s="263" t="s">
        <v>256</v>
      </c>
      <c r="B29" s="264">
        <v>1</v>
      </c>
      <c r="C29" s="268">
        <v>127.11538461538461</v>
      </c>
      <c r="D29" s="264">
        <v>66</v>
      </c>
    </row>
    <row r="30" spans="1:6" x14ac:dyDescent="0.35">
      <c r="A30" s="263" t="s">
        <v>156</v>
      </c>
      <c r="B30" s="264">
        <v>4</v>
      </c>
      <c r="C30" s="268">
        <v>145.44999999999999</v>
      </c>
      <c r="D30" s="264">
        <v>49</v>
      </c>
    </row>
    <row r="31" spans="1:6" x14ac:dyDescent="0.35">
      <c r="A31" s="263" t="s">
        <v>152</v>
      </c>
      <c r="B31" s="264">
        <v>2</v>
      </c>
      <c r="C31" s="268">
        <v>137.45454545454547</v>
      </c>
      <c r="D31" s="264">
        <v>56</v>
      </c>
    </row>
    <row r="32" spans="1:6" x14ac:dyDescent="0.35">
      <c r="A32" s="263" t="s">
        <v>279</v>
      </c>
      <c r="B32" s="264">
        <v>1</v>
      </c>
      <c r="C32" s="268">
        <v>107.88888888888889</v>
      </c>
      <c r="D32" s="264">
        <v>83</v>
      </c>
    </row>
    <row r="33" spans="1:4" x14ac:dyDescent="0.35">
      <c r="A33" s="263" t="s">
        <v>231</v>
      </c>
      <c r="B33" s="264">
        <v>2</v>
      </c>
      <c r="C33" s="268">
        <v>133.20754716981133</v>
      </c>
      <c r="D33" s="264">
        <v>60</v>
      </c>
    </row>
    <row r="34" spans="1:4" x14ac:dyDescent="0.35">
      <c r="A34" s="263" t="s">
        <v>33</v>
      </c>
      <c r="B34" s="264">
        <v>3</v>
      </c>
      <c r="C34" s="268">
        <v>147.48717948717947</v>
      </c>
      <c r="D34" s="264">
        <v>47</v>
      </c>
    </row>
    <row r="35" spans="1:4" x14ac:dyDescent="0.35">
      <c r="A35" s="263" t="s">
        <v>252</v>
      </c>
      <c r="B35" s="264">
        <v>1</v>
      </c>
      <c r="C35" s="268">
        <v>140.83333333333334</v>
      </c>
      <c r="D35" s="264">
        <v>53</v>
      </c>
    </row>
    <row r="36" spans="1:4" x14ac:dyDescent="0.35">
      <c r="A36" s="263" t="s">
        <v>153</v>
      </c>
      <c r="B36" s="264">
        <v>3</v>
      </c>
      <c r="C36" s="268">
        <v>114.66666666666667</v>
      </c>
      <c r="D36" s="264">
        <v>77</v>
      </c>
    </row>
    <row r="37" spans="1:4" x14ac:dyDescent="0.35">
      <c r="A37" s="263" t="s">
        <v>35</v>
      </c>
      <c r="B37" s="264">
        <v>3</v>
      </c>
      <c r="C37" s="268">
        <v>152.98113207547169</v>
      </c>
      <c r="D37" s="264">
        <v>42</v>
      </c>
    </row>
    <row r="38" spans="1:4" x14ac:dyDescent="0.35">
      <c r="A38" s="263" t="s">
        <v>228</v>
      </c>
      <c r="B38" s="264">
        <v>4</v>
      </c>
      <c r="C38" s="268">
        <v>113.6</v>
      </c>
      <c r="D38" s="264">
        <v>78</v>
      </c>
    </row>
    <row r="39" spans="1:4" x14ac:dyDescent="0.35">
      <c r="A39" s="263" t="s">
        <v>181</v>
      </c>
      <c r="B39" s="264">
        <v>2</v>
      </c>
      <c r="C39" s="268">
        <v>125.52631578947368</v>
      </c>
      <c r="D39" s="264">
        <v>67</v>
      </c>
    </row>
    <row r="40" spans="1:4" x14ac:dyDescent="0.35">
      <c r="A40" s="263" t="s">
        <v>154</v>
      </c>
      <c r="B40" s="264">
        <v>1</v>
      </c>
      <c r="C40" s="268">
        <v>141.05263157894737</v>
      </c>
      <c r="D40" s="264">
        <v>53</v>
      </c>
    </row>
    <row r="41" spans="1:4" x14ac:dyDescent="0.35">
      <c r="A41" s="263" t="s">
        <v>285</v>
      </c>
      <c r="B41" s="264">
        <v>1</v>
      </c>
      <c r="C41" s="268">
        <v>116.21052631578948</v>
      </c>
      <c r="D41" s="264">
        <v>75</v>
      </c>
    </row>
    <row r="42" spans="1:4" x14ac:dyDescent="0.35">
      <c r="A42" s="263" t="s">
        <v>284</v>
      </c>
      <c r="B42" s="264">
        <v>1</v>
      </c>
      <c r="C42" s="268">
        <v>134.40909090909091</v>
      </c>
      <c r="D42" s="264">
        <v>59</v>
      </c>
    </row>
    <row r="43" spans="1:4" x14ac:dyDescent="0.35">
      <c r="A43" s="263" t="s">
        <v>281</v>
      </c>
      <c r="B43" s="264">
        <v>2</v>
      </c>
      <c r="C43" s="268">
        <v>117.1875</v>
      </c>
      <c r="D43" s="264">
        <v>75</v>
      </c>
    </row>
    <row r="44" spans="1:4" x14ac:dyDescent="0.35">
      <c r="A44" s="263" t="s">
        <v>253</v>
      </c>
      <c r="B44" s="264">
        <v>2</v>
      </c>
      <c r="C44" s="268">
        <v>130.46153846153845</v>
      </c>
      <c r="D44" s="264">
        <v>63</v>
      </c>
    </row>
    <row r="45" spans="1:4" x14ac:dyDescent="0.35">
      <c r="A45" s="263" t="s">
        <v>184</v>
      </c>
      <c r="B45" s="264">
        <v>4</v>
      </c>
      <c r="C45" s="268">
        <v>133.16666666666666</v>
      </c>
      <c r="D45" s="264">
        <v>60</v>
      </c>
    </row>
    <row r="46" spans="1:4" x14ac:dyDescent="0.35">
      <c r="A46" s="263" t="s">
        <v>218</v>
      </c>
      <c r="B46" s="264">
        <v>3</v>
      </c>
      <c r="C46" s="268">
        <v>141.375</v>
      </c>
      <c r="D46" s="264">
        <v>53</v>
      </c>
    </row>
    <row r="47" spans="1:4" x14ac:dyDescent="0.35">
      <c r="A47" s="263" t="s">
        <v>212</v>
      </c>
      <c r="B47" s="264">
        <v>4</v>
      </c>
      <c r="C47" s="268">
        <v>144.70588235294119</v>
      </c>
      <c r="D47" s="264">
        <v>50</v>
      </c>
    </row>
    <row r="48" spans="1:4" x14ac:dyDescent="0.35">
      <c r="A48" s="263" t="s">
        <v>174</v>
      </c>
      <c r="B48" s="264">
        <v>4</v>
      </c>
      <c r="C48" s="268">
        <v>160.17391304347825</v>
      </c>
      <c r="D48" s="264">
        <v>36</v>
      </c>
    </row>
    <row r="49" spans="1:4" x14ac:dyDescent="0.35">
      <c r="A49" s="263" t="s">
        <v>26</v>
      </c>
      <c r="B49" s="264">
        <v>1</v>
      </c>
      <c r="C49" s="268">
        <v>130.72549019607843</v>
      </c>
      <c r="D49" s="264">
        <v>62</v>
      </c>
    </row>
    <row r="50" spans="1:4" x14ac:dyDescent="0.35">
      <c r="A50" s="263" t="s">
        <v>216</v>
      </c>
      <c r="B50" s="264">
        <v>2</v>
      </c>
      <c r="C50" s="268">
        <v>152.22222222222223</v>
      </c>
      <c r="D50" s="264">
        <v>43</v>
      </c>
    </row>
    <row r="51" spans="1:4" x14ac:dyDescent="0.35">
      <c r="A51" s="263" t="s">
        <v>225</v>
      </c>
      <c r="B51" s="264">
        <v>1</v>
      </c>
      <c r="C51" s="268">
        <v>102.3</v>
      </c>
      <c r="D51" s="264">
        <v>88</v>
      </c>
    </row>
    <row r="52" spans="1:4" x14ac:dyDescent="0.35">
      <c r="A52" s="263" t="s">
        <v>30</v>
      </c>
      <c r="B52" s="264">
        <v>3</v>
      </c>
      <c r="C52" s="268">
        <v>134.11111111111111</v>
      </c>
      <c r="D52" s="264">
        <v>59</v>
      </c>
    </row>
    <row r="53" spans="1:4" x14ac:dyDescent="0.35">
      <c r="A53" s="263" t="s">
        <v>178</v>
      </c>
      <c r="B53" s="264">
        <v>1</v>
      </c>
      <c r="C53" s="268">
        <v>131.3896103896104</v>
      </c>
      <c r="D53" s="264">
        <v>62</v>
      </c>
    </row>
    <row r="54" spans="1:4" x14ac:dyDescent="0.35">
      <c r="A54" s="263" t="s">
        <v>275</v>
      </c>
      <c r="B54" s="264">
        <v>2</v>
      </c>
      <c r="C54" s="268">
        <v>122</v>
      </c>
      <c r="D54" s="264">
        <v>70</v>
      </c>
    </row>
    <row r="55" spans="1:4" x14ac:dyDescent="0.35">
      <c r="A55" s="263" t="s">
        <v>208</v>
      </c>
      <c r="B55" s="264">
        <v>1</v>
      </c>
      <c r="C55" s="268">
        <v>138.47619047619048</v>
      </c>
      <c r="D55" s="264">
        <v>55</v>
      </c>
    </row>
    <row r="56" spans="1:4" x14ac:dyDescent="0.35">
      <c r="A56" s="263" t="s">
        <v>286</v>
      </c>
      <c r="B56" s="264">
        <v>2</v>
      </c>
      <c r="C56" s="268">
        <v>140.04761904761904</v>
      </c>
      <c r="D56" s="264">
        <v>54</v>
      </c>
    </row>
    <row r="57" spans="1:4" x14ac:dyDescent="0.35">
      <c r="A57" s="263" t="s">
        <v>204</v>
      </c>
      <c r="B57" s="264">
        <v>3</v>
      </c>
      <c r="C57" s="268">
        <v>156.72222222222223</v>
      </c>
      <c r="D57" s="264">
        <v>39</v>
      </c>
    </row>
    <row r="58" spans="1:4" x14ac:dyDescent="0.35">
      <c r="A58" s="263" t="s">
        <v>272</v>
      </c>
      <c r="B58" s="264">
        <v>3</v>
      </c>
      <c r="C58" s="268">
        <v>117</v>
      </c>
      <c r="D58" s="264">
        <v>75</v>
      </c>
    </row>
    <row r="59" spans="1:4" x14ac:dyDescent="0.35">
      <c r="A59" s="263" t="s">
        <v>248</v>
      </c>
      <c r="B59" s="264">
        <v>4</v>
      </c>
      <c r="C59" s="268">
        <v>142.97560975609755</v>
      </c>
      <c r="D59" s="264">
        <v>51</v>
      </c>
    </row>
    <row r="60" spans="1:4" x14ac:dyDescent="0.35">
      <c r="A60" s="263" t="s">
        <v>247</v>
      </c>
      <c r="B60" s="264">
        <v>2</v>
      </c>
      <c r="C60" s="268">
        <v>141.09375</v>
      </c>
      <c r="D60" s="264">
        <v>53</v>
      </c>
    </row>
    <row r="61" spans="1:4" x14ac:dyDescent="0.35">
      <c r="A61" s="263" t="s">
        <v>273</v>
      </c>
      <c r="B61" s="264">
        <v>1</v>
      </c>
      <c r="C61" s="268">
        <v>106.76923076923077</v>
      </c>
      <c r="D61" s="264">
        <v>84</v>
      </c>
    </row>
    <row r="62" spans="1:4" x14ac:dyDescent="0.35">
      <c r="A62" s="263" t="s">
        <v>55</v>
      </c>
      <c r="B62" s="264">
        <v>3</v>
      </c>
      <c r="C62" s="268">
        <v>139.4848484848485</v>
      </c>
      <c r="D62" s="264">
        <v>54</v>
      </c>
    </row>
    <row r="63" spans="1:4" x14ac:dyDescent="0.35">
      <c r="A63" s="263" t="s">
        <v>245</v>
      </c>
      <c r="B63" s="264">
        <v>4</v>
      </c>
      <c r="C63" s="268">
        <v>115.07142857142857</v>
      </c>
      <c r="D63" s="264">
        <v>76</v>
      </c>
    </row>
    <row r="64" spans="1:4" x14ac:dyDescent="0.35">
      <c r="A64" s="263" t="s">
        <v>202</v>
      </c>
      <c r="B64" s="264">
        <v>1</v>
      </c>
      <c r="C64" s="268">
        <v>153.69999999999999</v>
      </c>
      <c r="D64" s="264">
        <v>42</v>
      </c>
    </row>
    <row r="65" spans="1:4" x14ac:dyDescent="0.35">
      <c r="A65" s="263" t="s">
        <v>249</v>
      </c>
      <c r="B65" s="264">
        <v>2</v>
      </c>
      <c r="C65" s="268">
        <v>138.35714285714286</v>
      </c>
      <c r="D65" s="264">
        <v>55</v>
      </c>
    </row>
    <row r="66" spans="1:4" x14ac:dyDescent="0.35">
      <c r="A66" s="263" t="s">
        <v>223</v>
      </c>
      <c r="B66" s="264">
        <v>4</v>
      </c>
      <c r="C66" s="268">
        <v>143.73134328358208</v>
      </c>
      <c r="D66" s="264">
        <v>51</v>
      </c>
    </row>
    <row r="67" spans="1:4" x14ac:dyDescent="0.35">
      <c r="A67" s="263" t="s">
        <v>233</v>
      </c>
      <c r="B67" s="264">
        <v>2</v>
      </c>
      <c r="C67" s="307">
        <v>133.75</v>
      </c>
      <c r="D67" s="264">
        <v>60</v>
      </c>
    </row>
    <row r="108" spans="3:3" x14ac:dyDescent="0.35">
      <c r="C108" s="295"/>
    </row>
  </sheetData>
  <phoneticPr fontId="15" type="noConversion"/>
  <pageMargins left="0.75" right="0.75" top="0.5" bottom="0.5" header="0.5" footer="0.5"/>
  <pageSetup paperSize="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78</vt:i4>
      </vt:variant>
    </vt:vector>
  </HeadingPairs>
  <TitlesOfParts>
    <vt:vector size="159" baseType="lpstr">
      <vt:lpstr>Instructions</vt:lpstr>
      <vt:lpstr>wkly alpha</vt:lpstr>
      <vt:lpstr>YTD alpha</vt:lpstr>
      <vt:lpstr>wkly high average</vt:lpstr>
      <vt:lpstr>team scoring</vt:lpstr>
      <vt:lpstr>High Games </vt:lpstr>
      <vt:lpstr>ytd highs</vt:lpstr>
      <vt:lpstr>dummy</vt:lpstr>
      <vt:lpstr>Albanese</vt:lpstr>
      <vt:lpstr>Albergo</vt:lpstr>
      <vt:lpstr>Barbarisi</vt:lpstr>
      <vt:lpstr>Barnett</vt:lpstr>
      <vt:lpstr>Belyea</vt:lpstr>
      <vt:lpstr>Bigelsen</vt:lpstr>
      <vt:lpstr>Breslauer</vt:lpstr>
      <vt:lpstr>Brylawski</vt:lpstr>
      <vt:lpstr>Campanaro</vt:lpstr>
      <vt:lpstr>Cassidy</vt:lpstr>
      <vt:lpstr>Dages</vt:lpstr>
      <vt:lpstr>Dagger</vt:lpstr>
      <vt:lpstr>Driscoll</vt:lpstr>
      <vt:lpstr>Emr</vt:lpstr>
      <vt:lpstr>Fricke</vt:lpstr>
      <vt:lpstr>Gellert</vt:lpstr>
      <vt:lpstr>Gerity</vt:lpstr>
      <vt:lpstr>Gittle</vt:lpstr>
      <vt:lpstr>Gorman</vt:lpstr>
      <vt:lpstr>Gotthelf</vt:lpstr>
      <vt:lpstr>Grodofsky</vt:lpstr>
      <vt:lpstr>Happer</vt:lpstr>
      <vt:lpstr>Harris</vt:lpstr>
      <vt:lpstr>Harvey</vt:lpstr>
      <vt:lpstr>Hatton</vt:lpstr>
      <vt:lpstr>Hilton</vt:lpstr>
      <vt:lpstr>Hornyak</vt:lpstr>
      <vt:lpstr>Horowitz</vt:lpstr>
      <vt:lpstr>Jordan</vt:lpstr>
      <vt:lpstr>Kanaris</vt:lpstr>
      <vt:lpstr>Karczewski</vt:lpstr>
      <vt:lpstr>Kennedy</vt:lpstr>
      <vt:lpstr>Keyt</vt:lpstr>
      <vt:lpstr>Kincey</vt:lpstr>
      <vt:lpstr>Kinney</vt:lpstr>
      <vt:lpstr>Koy</vt:lpstr>
      <vt:lpstr>Kuehm</vt:lpstr>
      <vt:lpstr>Lalin</vt:lpstr>
      <vt:lpstr>Lamb</vt:lpstr>
      <vt:lpstr>LewisB</vt:lpstr>
      <vt:lpstr>LewisD</vt:lpstr>
      <vt:lpstr>Lowell</vt:lpstr>
      <vt:lpstr>Luzzi</vt:lpstr>
      <vt:lpstr>Maione</vt:lpstr>
      <vt:lpstr>Malady</vt:lpstr>
      <vt:lpstr>Martorana</vt:lpstr>
      <vt:lpstr>Maute</vt:lpstr>
      <vt:lpstr>Moran</vt:lpstr>
      <vt:lpstr>Nix</vt:lpstr>
      <vt:lpstr>Pond</vt:lpstr>
      <vt:lpstr>Proudlove</vt:lpstr>
      <vt:lpstr>Ramich</vt:lpstr>
      <vt:lpstr>Renahan</vt:lpstr>
      <vt:lpstr>Rioux</vt:lpstr>
      <vt:lpstr>Rogers</vt:lpstr>
      <vt:lpstr>Rose</vt:lpstr>
      <vt:lpstr>Schneider</vt:lpstr>
      <vt:lpstr>Scolaro</vt:lpstr>
      <vt:lpstr>ShawS</vt:lpstr>
      <vt:lpstr>Shepherd</vt:lpstr>
      <vt:lpstr>SmithM</vt:lpstr>
      <vt:lpstr>Stanton</vt:lpstr>
      <vt:lpstr>Stuss</vt:lpstr>
      <vt:lpstr>Sullivan</vt:lpstr>
      <vt:lpstr>Tellie</vt:lpstr>
      <vt:lpstr>Terhune</vt:lpstr>
      <vt:lpstr>Thompson</vt:lpstr>
      <vt:lpstr>Thomson</vt:lpstr>
      <vt:lpstr>Walker</vt:lpstr>
      <vt:lpstr>Wolkenstein</vt:lpstr>
      <vt:lpstr>Payout Formula</vt:lpstr>
      <vt:lpstr>indiv payout</vt:lpstr>
      <vt:lpstr>final handicap</vt:lpstr>
      <vt:lpstr>_10_13_2004</vt:lpstr>
      <vt:lpstr>first_week</vt:lpstr>
      <vt:lpstr>'High Games '!Print_Area</vt:lpstr>
      <vt:lpstr>'indiv payout'!Print_Area</vt:lpstr>
      <vt:lpstr>'Payout Formula'!Print_Area</vt:lpstr>
      <vt:lpstr>'wkly alpha'!Print_Area</vt:lpstr>
      <vt:lpstr>Season</vt:lpstr>
      <vt:lpstr>Albanese!Week</vt:lpstr>
      <vt:lpstr>Albergo!Week</vt:lpstr>
      <vt:lpstr>Barbarisi!Week</vt:lpstr>
      <vt:lpstr>Barnett!Week</vt:lpstr>
      <vt:lpstr>Belyea!Week</vt:lpstr>
      <vt:lpstr>Bigelsen!Week</vt:lpstr>
      <vt:lpstr>Breslauer!Week</vt:lpstr>
      <vt:lpstr>Brylawski!Week</vt:lpstr>
      <vt:lpstr>Campanaro!Week</vt:lpstr>
      <vt:lpstr>Cassidy!Week</vt:lpstr>
      <vt:lpstr>Dages!Week</vt:lpstr>
      <vt:lpstr>Dagger!Week</vt:lpstr>
      <vt:lpstr>Driscoll!Week</vt:lpstr>
      <vt:lpstr>dummy!Week</vt:lpstr>
      <vt:lpstr>Emr!Week</vt:lpstr>
      <vt:lpstr>Fricke!Week</vt:lpstr>
      <vt:lpstr>Gellert!Week</vt:lpstr>
      <vt:lpstr>Gerity!Week</vt:lpstr>
      <vt:lpstr>Gittle!Week</vt:lpstr>
      <vt:lpstr>Gorman!Week</vt:lpstr>
      <vt:lpstr>Gotthelf!Week</vt:lpstr>
      <vt:lpstr>Grodofsky!Week</vt:lpstr>
      <vt:lpstr>Happer!Week</vt:lpstr>
      <vt:lpstr>Harris!Week</vt:lpstr>
      <vt:lpstr>Harvey!Week</vt:lpstr>
      <vt:lpstr>Hatton!Week</vt:lpstr>
      <vt:lpstr>Hilton!Week</vt:lpstr>
      <vt:lpstr>Hornyak!Week</vt:lpstr>
      <vt:lpstr>Horowitz!Week</vt:lpstr>
      <vt:lpstr>Jordan!Week</vt:lpstr>
      <vt:lpstr>Kanaris!Week</vt:lpstr>
      <vt:lpstr>Karczewski!Week</vt:lpstr>
      <vt:lpstr>Kennedy!Week</vt:lpstr>
      <vt:lpstr>Keyt!Week</vt:lpstr>
      <vt:lpstr>Kincey!Week</vt:lpstr>
      <vt:lpstr>Kinney!Week</vt:lpstr>
      <vt:lpstr>Koy!Week</vt:lpstr>
      <vt:lpstr>Kuehm!Week</vt:lpstr>
      <vt:lpstr>Lalin!Week</vt:lpstr>
      <vt:lpstr>Lamb!Week</vt:lpstr>
      <vt:lpstr>LewisB!Week</vt:lpstr>
      <vt:lpstr>LewisD!Week</vt:lpstr>
      <vt:lpstr>Lowell!Week</vt:lpstr>
      <vt:lpstr>Luzzi!Week</vt:lpstr>
      <vt:lpstr>Maione!Week</vt:lpstr>
      <vt:lpstr>Malady!Week</vt:lpstr>
      <vt:lpstr>Martorana!Week</vt:lpstr>
      <vt:lpstr>Maute!Week</vt:lpstr>
      <vt:lpstr>Moran!Week</vt:lpstr>
      <vt:lpstr>Nix!Week</vt:lpstr>
      <vt:lpstr>Pond!Week</vt:lpstr>
      <vt:lpstr>Proudlove!Week</vt:lpstr>
      <vt:lpstr>Ramich!Week</vt:lpstr>
      <vt:lpstr>Renahan!Week</vt:lpstr>
      <vt:lpstr>Rioux!Week</vt:lpstr>
      <vt:lpstr>Rogers!Week</vt:lpstr>
      <vt:lpstr>Rose!Week</vt:lpstr>
      <vt:lpstr>Schneider!Week</vt:lpstr>
      <vt:lpstr>Scolaro!Week</vt:lpstr>
      <vt:lpstr>ShawS!Week</vt:lpstr>
      <vt:lpstr>Shepherd!Week</vt:lpstr>
      <vt:lpstr>SmithM!Week</vt:lpstr>
      <vt:lpstr>Stanton!Week</vt:lpstr>
      <vt:lpstr>Stuss!Week</vt:lpstr>
      <vt:lpstr>Sullivan!Week</vt:lpstr>
      <vt:lpstr>Tellie!Week</vt:lpstr>
      <vt:lpstr>Terhune!Week</vt:lpstr>
      <vt:lpstr>Thompson!Week</vt:lpstr>
      <vt:lpstr>Thomson!Week</vt:lpstr>
      <vt:lpstr>Walker!Week</vt:lpstr>
      <vt:lpstr>Wolkenstein!Week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Ferguson</dc:creator>
  <cp:lastModifiedBy>Peter Nix</cp:lastModifiedBy>
  <cp:lastPrinted>2017-03-11T21:22:04Z</cp:lastPrinted>
  <dcterms:created xsi:type="dcterms:W3CDTF">2003-10-17T19:54:09Z</dcterms:created>
  <dcterms:modified xsi:type="dcterms:W3CDTF">2017-03-11T21:24:10Z</dcterms:modified>
</cp:coreProperties>
</file>